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Assumptions" sheetId="3" state="visible" r:id="rId5"/>
    <sheet name="Employees" sheetId="4" state="visible" r:id="rId6"/>
  </sheets>
  <definedNames>
    <definedName function="false" hidden="true" localSheetId="3" name="_xlnm._FilterDatabase" vbProcedure="false">Employees!$A$1:$R$301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<sst xmlns="http://schemas.openxmlformats.org/spreadsheetml/2006/main" count="1382" uniqueCount="405">
  <si>
    <t xml:space="preserve">HR Workforce &amp; Attrition Analytics</t>
  </si>
  <si>
    <t xml:space="preserve">Business scenario</t>
  </si>
  <si>
    <t xml:space="preserve">A mid-sized Kenyan company has rising staff turnover. HR needs to know the attrition rate, which departments and tenure bands lose people, why they leave, and what turnover costs.</t>
  </si>
  <si>
    <t xml:space="preserve">Sheets</t>
  </si>
  <si>
    <t xml:space="preserve">Assumptions: as-of date, 12-month window, replacement-cost multiplier, attrition and absenteeism targets.</t>
  </si>
  <si>
    <t xml:space="preserve">Employees: 300 synthetic staff records (inputs) plus formula columns for status, tenure, 12-month leaver flag and replacement cost.</t>
  </si>
  <si>
    <t xml:space="preserve">Dashboard: headcount, attrition rate, regrettable losses, cost of turnover, tables by department, tenure band and exit reason, and charts.</t>
  </si>
  <si>
    <t xml:space="preserve">Colour legend</t>
  </si>
  <si>
    <t xml:space="preserve">Blue text on yellow = editable input (Assumptions sheet).</t>
  </si>
  <si>
    <t xml:space="preserve">Blue header on Data sheet = raw input columns; green header = formula columns (do not overwrite).</t>
  </si>
  <si>
    <t xml:space="preserve">Black text = formula. Everything on the Dashboard recalculates when Assumptions or Data change.</t>
  </si>
  <si>
    <t xml:space="preserve">Data note</t>
  </si>
  <si>
    <t xml:space="preserve">All data is SYNTHETIC, generated for portfolio demonstration. Targets and thresholds are illustrative. Not client data.</t>
  </si>
  <si>
    <t xml:space="preserve">Skills demonstrated</t>
  </si>
  <si>
    <t xml:space="preserve">HR metrics (attrition, tenure, absenteeism)</t>
  </si>
  <si>
    <t xml:space="preserve">Date logic and helper flags</t>
  </si>
  <si>
    <t xml:space="preserve">AVERAGEIFS / COUNTIFS / SUMIFS</t>
  </si>
  <si>
    <t xml:space="preserve">Cost-of-turnover modelling</t>
  </si>
  <si>
    <t xml:space="preserve">Dashboard design</t>
  </si>
  <si>
    <t xml:space="preserve">HR Workforce &amp; Attrition Dashboard</t>
  </si>
  <si>
    <t xml:space="preserve">Synthetic data | KES | 12-month window ending on the as-of date</t>
  </si>
  <si>
    <t xml:space="preserve">Key metrics</t>
  </si>
  <si>
    <t xml:space="preserve">Active headcount</t>
  </si>
  <si>
    <t xml:space="preserve">Headcount at window start</t>
  </si>
  <si>
    <t xml:space="preserve">Leavers in last 12 months</t>
  </si>
  <si>
    <t xml:space="preserve">Annual attrition rate</t>
  </si>
  <si>
    <t xml:space="preserve">Attrition vs target</t>
  </si>
  <si>
    <t xml:space="preserve">Regrettable leavers</t>
  </si>
  <si>
    <t xml:space="preserve">Replacement cost of leavers (KES)</t>
  </si>
  <si>
    <t xml:space="preserve">Annual payroll, active staff (KES)</t>
  </si>
  <si>
    <t xml:space="preserve">Avg days absent, active staff</t>
  </si>
  <si>
    <t xml:space="preserve">Insights (auto-updating)</t>
  </si>
  <si>
    <t xml:space="preserve">Highest-attrition department</t>
  </si>
  <si>
    <t xml:space="preserve">Top exit reason</t>
  </si>
  <si>
    <t xml:space="preserve">Share of leavers with under 1 yr tenure</t>
  </si>
  <si>
    <t xml:space="preserve">By department</t>
  </si>
  <si>
    <t xml:space="preserve">Department</t>
  </si>
  <si>
    <t xml:space="preserve">Active now</t>
  </si>
  <si>
    <t xml:space="preserve">Active at start</t>
  </si>
  <si>
    <t xml:space="preserve">Leavers 12m</t>
  </si>
  <si>
    <t xml:space="preserve">Attrition %</t>
  </si>
  <si>
    <t xml:space="preserve">Avg days absent</t>
  </si>
  <si>
    <t xml:space="preserve">Avg monthly salary (KES)</t>
  </si>
  <si>
    <t xml:space="preserve">Replacement cost (KES)</t>
  </si>
  <si>
    <t xml:space="preserve">vs target</t>
  </si>
  <si>
    <t xml:space="preserve">Sales</t>
  </si>
  <si>
    <t xml:space="preserve">Operations</t>
  </si>
  <si>
    <t xml:space="preserve">Finance</t>
  </si>
  <si>
    <t xml:space="preserve">IT</t>
  </si>
  <si>
    <t xml:space="preserve">HR</t>
  </si>
  <si>
    <t xml:space="preserve">Customer Service</t>
  </si>
  <si>
    <t xml:space="preserve">Leavers by tenure band</t>
  </si>
  <si>
    <t xml:space="preserve">Tenure band</t>
  </si>
  <si>
    <t xml:space="preserve">Share of leavers</t>
  </si>
  <si>
    <t xml:space="preserve">Under 1 yr</t>
  </si>
  <si>
    <t xml:space="preserve">1 to 3 yrs</t>
  </si>
  <si>
    <t xml:space="preserve">3 to 5 yrs</t>
  </si>
  <si>
    <t xml:space="preserve">5+ yrs</t>
  </si>
  <si>
    <t xml:space="preserve">Exit reasons (last 12 months)</t>
  </si>
  <si>
    <t xml:space="preserve">Reason</t>
  </si>
  <si>
    <t xml:space="preserve">Leavers</t>
  </si>
  <si>
    <t xml:space="preserve">Share</t>
  </si>
  <si>
    <t xml:space="preserve">Better pay elsewhere</t>
  </si>
  <si>
    <t xml:space="preserve">Career growth</t>
  </si>
  <si>
    <t xml:space="preserve">Relocation</t>
  </si>
  <si>
    <t xml:space="preserve">Personal / family</t>
  </si>
  <si>
    <t xml:space="preserve">Poor management</t>
  </si>
  <si>
    <t xml:space="preserve">Contract ended</t>
  </si>
  <si>
    <t xml:space="preserve">Dismissal</t>
  </si>
  <si>
    <t xml:space="preserve">Assumptions (edit the yellow cells)</t>
  </si>
  <si>
    <t xml:space="preserve">Parameter</t>
  </si>
  <si>
    <t xml:space="preserve">Value</t>
  </si>
  <si>
    <t xml:space="preserve">Note</t>
  </si>
  <si>
    <t xml:space="preserve">As-of date</t>
  </si>
  <si>
    <t xml:space="preserve">Reporting date for headcount and tenure.</t>
  </si>
  <si>
    <t xml:space="preserve">12-month window start</t>
  </si>
  <si>
    <t xml:space="preserve">Formula: as-of date minus 365 days.</t>
  </si>
  <si>
    <t xml:space="preserve">Replacement cost (% of annual salary)</t>
  </si>
  <si>
    <t xml:space="preserve">Illustrative: recruitment, onboarding and lost productivity.</t>
  </si>
  <si>
    <t xml:space="preserve">Target annual attrition</t>
  </si>
  <si>
    <t xml:space="preserve">Illustrative target.</t>
  </si>
  <si>
    <t xml:space="preserve">Absenteeism target (days / person / year)</t>
  </si>
  <si>
    <t xml:space="preserve">Regrettable-loss rating threshold (&gt;=)</t>
  </si>
  <si>
    <t xml:space="preserve">Leavers rated at or above this count as regrettable.</t>
  </si>
  <si>
    <t xml:space="preserve">Employee ID</t>
  </si>
  <si>
    <t xml:space="preserve">Level</t>
  </si>
  <si>
    <t xml:space="preserve">Gender</t>
  </si>
  <si>
    <t xml:space="preserve">Hire date</t>
  </si>
  <si>
    <t xml:space="preserve">Exit date</t>
  </si>
  <si>
    <t xml:space="preserve">Exit reason</t>
  </si>
  <si>
    <t xml:space="preserve">Monthly salary (KES)</t>
  </si>
  <si>
    <t xml:space="preserve">Days absent (12m)</t>
  </si>
  <si>
    <t xml:space="preserve">Performance rating (1-5)</t>
  </si>
  <si>
    <t xml:space="preserve">Status</t>
  </si>
  <si>
    <t xml:space="preserve">Tenure (years)</t>
  </si>
  <si>
    <t xml:space="preserve">Annual salary (KES)</t>
  </si>
  <si>
    <t xml:space="preserve">Active at window start</t>
  </si>
  <si>
    <t xml:space="preserve">Left in window</t>
  </si>
  <si>
    <t xml:space="preserve">Regrettable loss</t>
  </si>
  <si>
    <t xml:space="preserve">EMP2001</t>
  </si>
  <si>
    <t xml:space="preserve">Junior</t>
  </si>
  <si>
    <t xml:space="preserve">M</t>
  </si>
  <si>
    <t xml:space="preserve">EMP2002</t>
  </si>
  <si>
    <t xml:space="preserve">EMP2003</t>
  </si>
  <si>
    <t xml:space="preserve">Senior</t>
  </si>
  <si>
    <t xml:space="preserve">F</t>
  </si>
  <si>
    <t xml:space="preserve">EMP2004</t>
  </si>
  <si>
    <t xml:space="preserve">EMP2005</t>
  </si>
  <si>
    <t xml:space="preserve">Officer</t>
  </si>
  <si>
    <t xml:space="preserve">EMP2006</t>
  </si>
  <si>
    <t xml:space="preserve">EMP2007</t>
  </si>
  <si>
    <t xml:space="preserve">EMP2008</t>
  </si>
  <si>
    <t xml:space="preserve">EMP2009</t>
  </si>
  <si>
    <t xml:space="preserve">EMP2010</t>
  </si>
  <si>
    <t xml:space="preserve">EMP2011</t>
  </si>
  <si>
    <t xml:space="preserve">EMP2012</t>
  </si>
  <si>
    <t xml:space="preserve">EMP2013</t>
  </si>
  <si>
    <t xml:space="preserve">EMP2014</t>
  </si>
  <si>
    <t xml:space="preserve">EMP2015</t>
  </si>
  <si>
    <t xml:space="preserve">EMP2016</t>
  </si>
  <si>
    <t xml:space="preserve">EMP2017</t>
  </si>
  <si>
    <t xml:space="preserve">EMP2018</t>
  </si>
  <si>
    <t xml:space="preserve">EMP2019</t>
  </si>
  <si>
    <t xml:space="preserve">EMP2020</t>
  </si>
  <si>
    <t xml:space="preserve">EMP2021</t>
  </si>
  <si>
    <t xml:space="preserve">Manager</t>
  </si>
  <si>
    <t xml:space="preserve">EMP2022</t>
  </si>
  <si>
    <t xml:space="preserve">EMP2023</t>
  </si>
  <si>
    <t xml:space="preserve">EMP2024</t>
  </si>
  <si>
    <t xml:space="preserve">EMP2025</t>
  </si>
  <si>
    <t xml:space="preserve">EMP2026</t>
  </si>
  <si>
    <t xml:space="preserve">EMP2027</t>
  </si>
  <si>
    <t xml:space="preserve">EMP2028</t>
  </si>
  <si>
    <t xml:space="preserve">EMP2029</t>
  </si>
  <si>
    <t xml:space="preserve">EMP2030</t>
  </si>
  <si>
    <t xml:space="preserve">EMP2031</t>
  </si>
  <si>
    <t xml:space="preserve">EMP2032</t>
  </si>
  <si>
    <t xml:space="preserve">EMP2033</t>
  </si>
  <si>
    <t xml:space="preserve">EMP2034</t>
  </si>
  <si>
    <t xml:space="preserve">EMP2035</t>
  </si>
  <si>
    <t xml:space="preserve">EMP2036</t>
  </si>
  <si>
    <t xml:space="preserve">EMP2037</t>
  </si>
  <si>
    <t xml:space="preserve">EMP2038</t>
  </si>
  <si>
    <t xml:space="preserve">EMP2039</t>
  </si>
  <si>
    <t xml:space="preserve">EMP2040</t>
  </si>
  <si>
    <t xml:space="preserve">EMP2041</t>
  </si>
  <si>
    <t xml:space="preserve">EMP2042</t>
  </si>
  <si>
    <t xml:space="preserve">EMP2043</t>
  </si>
  <si>
    <t xml:space="preserve">EMP2044</t>
  </si>
  <si>
    <t xml:space="preserve">EMP2045</t>
  </si>
  <si>
    <t xml:space="preserve">EMP2046</t>
  </si>
  <si>
    <t xml:space="preserve">EMP2047</t>
  </si>
  <si>
    <t xml:space="preserve">EMP2048</t>
  </si>
  <si>
    <t xml:space="preserve">EMP2049</t>
  </si>
  <si>
    <t xml:space="preserve">EMP2050</t>
  </si>
  <si>
    <t xml:space="preserve">EMP2051</t>
  </si>
  <si>
    <t xml:space="preserve">EMP2052</t>
  </si>
  <si>
    <t xml:space="preserve">EMP2053</t>
  </si>
  <si>
    <t xml:space="preserve">EMP2054</t>
  </si>
  <si>
    <t xml:space="preserve">EMP2055</t>
  </si>
  <si>
    <t xml:space="preserve">EMP2056</t>
  </si>
  <si>
    <t xml:space="preserve">EMP2057</t>
  </si>
  <si>
    <t xml:space="preserve">EMP2058</t>
  </si>
  <si>
    <t xml:space="preserve">EMP2059</t>
  </si>
  <si>
    <t xml:space="preserve">EMP2060</t>
  </si>
  <si>
    <t xml:space="preserve">EMP2061</t>
  </si>
  <si>
    <t xml:space="preserve">EMP2062</t>
  </si>
  <si>
    <t xml:space="preserve">EMP2063</t>
  </si>
  <si>
    <t xml:space="preserve">EMP2064</t>
  </si>
  <si>
    <t xml:space="preserve">EMP2065</t>
  </si>
  <si>
    <t xml:space="preserve">EMP2066</t>
  </si>
  <si>
    <t xml:space="preserve">EMP2067</t>
  </si>
  <si>
    <t xml:space="preserve">EMP2068</t>
  </si>
  <si>
    <t xml:space="preserve">EMP2069</t>
  </si>
  <si>
    <t xml:space="preserve">EMP2070</t>
  </si>
  <si>
    <t xml:space="preserve">EMP2071</t>
  </si>
  <si>
    <t xml:space="preserve">EMP2072</t>
  </si>
  <si>
    <t xml:space="preserve">EMP2073</t>
  </si>
  <si>
    <t xml:space="preserve">EMP2074</t>
  </si>
  <si>
    <t xml:space="preserve">EMP2075</t>
  </si>
  <si>
    <t xml:space="preserve">EMP2076</t>
  </si>
  <si>
    <t xml:space="preserve">EMP2077</t>
  </si>
  <si>
    <t xml:space="preserve">EMP2078</t>
  </si>
  <si>
    <t xml:space="preserve">EMP2079</t>
  </si>
  <si>
    <t xml:space="preserve">EMP2080</t>
  </si>
  <si>
    <t xml:space="preserve">EMP2081</t>
  </si>
  <si>
    <t xml:space="preserve">EMP2082</t>
  </si>
  <si>
    <t xml:space="preserve">EMP2083</t>
  </si>
  <si>
    <t xml:space="preserve">EMP2084</t>
  </si>
  <si>
    <t xml:space="preserve">EMP2085</t>
  </si>
  <si>
    <t xml:space="preserve">EMP2086</t>
  </si>
  <si>
    <t xml:space="preserve">EMP2087</t>
  </si>
  <si>
    <t xml:space="preserve">EMP2088</t>
  </si>
  <si>
    <t xml:space="preserve">EMP2089</t>
  </si>
  <si>
    <t xml:space="preserve">EMP2090</t>
  </si>
  <si>
    <t xml:space="preserve">EMP2091</t>
  </si>
  <si>
    <t xml:space="preserve">EMP2092</t>
  </si>
  <si>
    <t xml:space="preserve">EMP2093</t>
  </si>
  <si>
    <t xml:space="preserve">EMP2094</t>
  </si>
  <si>
    <t xml:space="preserve">EMP2095</t>
  </si>
  <si>
    <t xml:space="preserve">EMP2096</t>
  </si>
  <si>
    <t xml:space="preserve">EMP2097</t>
  </si>
  <si>
    <t xml:space="preserve">EMP2098</t>
  </si>
  <si>
    <t xml:space="preserve">EMP2099</t>
  </si>
  <si>
    <t xml:space="preserve">EMP2100</t>
  </si>
  <si>
    <t xml:space="preserve">EMP2101</t>
  </si>
  <si>
    <t xml:space="preserve">EMP2102</t>
  </si>
  <si>
    <t xml:space="preserve">EMP2103</t>
  </si>
  <si>
    <t xml:space="preserve">EMP2104</t>
  </si>
  <si>
    <t xml:space="preserve">EMP2105</t>
  </si>
  <si>
    <t xml:space="preserve">EMP2106</t>
  </si>
  <si>
    <t xml:space="preserve">EMP2107</t>
  </si>
  <si>
    <t xml:space="preserve">EMP2108</t>
  </si>
  <si>
    <t xml:space="preserve">EMP2109</t>
  </si>
  <si>
    <t xml:space="preserve">EMP2110</t>
  </si>
  <si>
    <t xml:space="preserve">EMP2111</t>
  </si>
  <si>
    <t xml:space="preserve">EMP2112</t>
  </si>
  <si>
    <t xml:space="preserve">EMP2113</t>
  </si>
  <si>
    <t xml:space="preserve">EMP2114</t>
  </si>
  <si>
    <t xml:space="preserve">EMP2115</t>
  </si>
  <si>
    <t xml:space="preserve">EMP2116</t>
  </si>
  <si>
    <t xml:space="preserve">EMP2117</t>
  </si>
  <si>
    <t xml:space="preserve">EMP2118</t>
  </si>
  <si>
    <t xml:space="preserve">EMP2119</t>
  </si>
  <si>
    <t xml:space="preserve">EMP2120</t>
  </si>
  <si>
    <t xml:space="preserve">EMP2121</t>
  </si>
  <si>
    <t xml:space="preserve">EMP2122</t>
  </si>
  <si>
    <t xml:space="preserve">EMP2123</t>
  </si>
  <si>
    <t xml:space="preserve">EMP2124</t>
  </si>
  <si>
    <t xml:space="preserve">EMP2125</t>
  </si>
  <si>
    <t xml:space="preserve">EMP2126</t>
  </si>
  <si>
    <t xml:space="preserve">EMP2127</t>
  </si>
  <si>
    <t xml:space="preserve">EMP2128</t>
  </si>
  <si>
    <t xml:space="preserve">EMP2129</t>
  </si>
  <si>
    <t xml:space="preserve">EMP2130</t>
  </si>
  <si>
    <t xml:space="preserve">EMP2131</t>
  </si>
  <si>
    <t xml:space="preserve">EMP2132</t>
  </si>
  <si>
    <t xml:space="preserve">EMP2133</t>
  </si>
  <si>
    <t xml:space="preserve">EMP2134</t>
  </si>
  <si>
    <t xml:space="preserve">EMP2135</t>
  </si>
  <si>
    <t xml:space="preserve">EMP2136</t>
  </si>
  <si>
    <t xml:space="preserve">EMP2137</t>
  </si>
  <si>
    <t xml:space="preserve">EMP2138</t>
  </si>
  <si>
    <t xml:space="preserve">EMP2139</t>
  </si>
  <si>
    <t xml:space="preserve">EMP2140</t>
  </si>
  <si>
    <t xml:space="preserve">EMP2141</t>
  </si>
  <si>
    <t xml:space="preserve">EMP2142</t>
  </si>
  <si>
    <t xml:space="preserve">EMP2143</t>
  </si>
  <si>
    <t xml:space="preserve">EMP2144</t>
  </si>
  <si>
    <t xml:space="preserve">EMP2145</t>
  </si>
  <si>
    <t xml:space="preserve">EMP2146</t>
  </si>
  <si>
    <t xml:space="preserve">EMP2147</t>
  </si>
  <si>
    <t xml:space="preserve">EMP2148</t>
  </si>
  <si>
    <t xml:space="preserve">EMP2149</t>
  </si>
  <si>
    <t xml:space="preserve">EMP2150</t>
  </si>
  <si>
    <t xml:space="preserve">EMP2151</t>
  </si>
  <si>
    <t xml:space="preserve">EMP2152</t>
  </si>
  <si>
    <t xml:space="preserve">EMP2153</t>
  </si>
  <si>
    <t xml:space="preserve">EMP2154</t>
  </si>
  <si>
    <t xml:space="preserve">EMP2155</t>
  </si>
  <si>
    <t xml:space="preserve">EMP2156</t>
  </si>
  <si>
    <t xml:space="preserve">EMP2157</t>
  </si>
  <si>
    <t xml:space="preserve">EMP2158</t>
  </si>
  <si>
    <t xml:space="preserve">EMP2159</t>
  </si>
  <si>
    <t xml:space="preserve">EMP2160</t>
  </si>
  <si>
    <t xml:space="preserve">EMP2161</t>
  </si>
  <si>
    <t xml:space="preserve">EMP2162</t>
  </si>
  <si>
    <t xml:space="preserve">EMP2163</t>
  </si>
  <si>
    <t xml:space="preserve">EMP2164</t>
  </si>
  <si>
    <t xml:space="preserve">EMP2165</t>
  </si>
  <si>
    <t xml:space="preserve">EMP2166</t>
  </si>
  <si>
    <t xml:space="preserve">EMP2167</t>
  </si>
  <si>
    <t xml:space="preserve">EMP2168</t>
  </si>
  <si>
    <t xml:space="preserve">EMP2169</t>
  </si>
  <si>
    <t xml:space="preserve">EMP2170</t>
  </si>
  <si>
    <t xml:space="preserve">EMP2171</t>
  </si>
  <si>
    <t xml:space="preserve">EMP2172</t>
  </si>
  <si>
    <t xml:space="preserve">EMP2173</t>
  </si>
  <si>
    <t xml:space="preserve">EMP2174</t>
  </si>
  <si>
    <t xml:space="preserve">EMP2175</t>
  </si>
  <si>
    <t xml:space="preserve">EMP2176</t>
  </si>
  <si>
    <t xml:space="preserve">EMP2177</t>
  </si>
  <si>
    <t xml:space="preserve">EMP2178</t>
  </si>
  <si>
    <t xml:space="preserve">EMP2179</t>
  </si>
  <si>
    <t xml:space="preserve">EMP2180</t>
  </si>
  <si>
    <t xml:space="preserve">EMP2181</t>
  </si>
  <si>
    <t xml:space="preserve">EMP2182</t>
  </si>
  <si>
    <t xml:space="preserve">EMP2183</t>
  </si>
  <si>
    <t xml:space="preserve">EMP2184</t>
  </si>
  <si>
    <t xml:space="preserve">EMP2185</t>
  </si>
  <si>
    <t xml:space="preserve">EMP2186</t>
  </si>
  <si>
    <t xml:space="preserve">EMP2187</t>
  </si>
  <si>
    <t xml:space="preserve">EMP2188</t>
  </si>
  <si>
    <t xml:space="preserve">EMP2189</t>
  </si>
  <si>
    <t xml:space="preserve">EMP2190</t>
  </si>
  <si>
    <t xml:space="preserve">EMP2191</t>
  </si>
  <si>
    <t xml:space="preserve">EMP2192</t>
  </si>
  <si>
    <t xml:space="preserve">EMP2193</t>
  </si>
  <si>
    <t xml:space="preserve">EMP2194</t>
  </si>
  <si>
    <t xml:space="preserve">EMP2195</t>
  </si>
  <si>
    <t xml:space="preserve">EMP2196</t>
  </si>
  <si>
    <t xml:space="preserve">EMP2197</t>
  </si>
  <si>
    <t xml:space="preserve">EMP2198</t>
  </si>
  <si>
    <t xml:space="preserve">EMP2199</t>
  </si>
  <si>
    <t xml:space="preserve">EMP2200</t>
  </si>
  <si>
    <t xml:space="preserve">EMP2201</t>
  </si>
  <si>
    <t xml:space="preserve">EMP2202</t>
  </si>
  <si>
    <t xml:space="preserve">EMP2203</t>
  </si>
  <si>
    <t xml:space="preserve">EMP2204</t>
  </si>
  <si>
    <t xml:space="preserve">EMP2205</t>
  </si>
  <si>
    <t xml:space="preserve">EMP2206</t>
  </si>
  <si>
    <t xml:space="preserve">EMP2207</t>
  </si>
  <si>
    <t xml:space="preserve">EMP2208</t>
  </si>
  <si>
    <t xml:space="preserve">EMP2209</t>
  </si>
  <si>
    <t xml:space="preserve">EMP2210</t>
  </si>
  <si>
    <t xml:space="preserve">EMP2211</t>
  </si>
  <si>
    <t xml:space="preserve">EMP2212</t>
  </si>
  <si>
    <t xml:space="preserve">EMP2213</t>
  </si>
  <si>
    <t xml:space="preserve">EMP2214</t>
  </si>
  <si>
    <t xml:space="preserve">EMP2215</t>
  </si>
  <si>
    <t xml:space="preserve">EMP2216</t>
  </si>
  <si>
    <t xml:space="preserve">EMP2217</t>
  </si>
  <si>
    <t xml:space="preserve">EMP2218</t>
  </si>
  <si>
    <t xml:space="preserve">EMP2219</t>
  </si>
  <si>
    <t xml:space="preserve">EMP2220</t>
  </si>
  <si>
    <t xml:space="preserve">EMP2221</t>
  </si>
  <si>
    <t xml:space="preserve">EMP2222</t>
  </si>
  <si>
    <t xml:space="preserve">EMP2223</t>
  </si>
  <si>
    <t xml:space="preserve">EMP2224</t>
  </si>
  <si>
    <t xml:space="preserve">EMP2225</t>
  </si>
  <si>
    <t xml:space="preserve">EMP2226</t>
  </si>
  <si>
    <t xml:space="preserve">EMP2227</t>
  </si>
  <si>
    <t xml:space="preserve">EMP2228</t>
  </si>
  <si>
    <t xml:space="preserve">EMP2229</t>
  </si>
  <si>
    <t xml:space="preserve">EMP2230</t>
  </si>
  <si>
    <t xml:space="preserve">EMP2231</t>
  </si>
  <si>
    <t xml:space="preserve">EMP2232</t>
  </si>
  <si>
    <t xml:space="preserve">EMP2233</t>
  </si>
  <si>
    <t xml:space="preserve">EMP2234</t>
  </si>
  <si>
    <t xml:space="preserve">EMP2235</t>
  </si>
  <si>
    <t xml:space="preserve">EMP2236</t>
  </si>
  <si>
    <t xml:space="preserve">EMP2237</t>
  </si>
  <si>
    <t xml:space="preserve">EMP2238</t>
  </si>
  <si>
    <t xml:space="preserve">EMP2239</t>
  </si>
  <si>
    <t xml:space="preserve">EMP2240</t>
  </si>
  <si>
    <t xml:space="preserve">EMP2241</t>
  </si>
  <si>
    <t xml:space="preserve">EMP2242</t>
  </si>
  <si>
    <t xml:space="preserve">EMP2243</t>
  </si>
  <si>
    <t xml:space="preserve">EMP2244</t>
  </si>
  <si>
    <t xml:space="preserve">EMP2245</t>
  </si>
  <si>
    <t xml:space="preserve">EMP2246</t>
  </si>
  <si>
    <t xml:space="preserve">EMP2247</t>
  </si>
  <si>
    <t xml:space="preserve">EMP2248</t>
  </si>
  <si>
    <t xml:space="preserve">EMP2249</t>
  </si>
  <si>
    <t xml:space="preserve">EMP2250</t>
  </si>
  <si>
    <t xml:space="preserve">EMP2251</t>
  </si>
  <si>
    <t xml:space="preserve">EMP2252</t>
  </si>
  <si>
    <t xml:space="preserve">EMP2253</t>
  </si>
  <si>
    <t xml:space="preserve">EMP2254</t>
  </si>
  <si>
    <t xml:space="preserve">EMP2255</t>
  </si>
  <si>
    <t xml:space="preserve">EMP2256</t>
  </si>
  <si>
    <t xml:space="preserve">EMP2257</t>
  </si>
  <si>
    <t xml:space="preserve">EMP2258</t>
  </si>
  <si>
    <t xml:space="preserve">EMP2259</t>
  </si>
  <si>
    <t xml:space="preserve">EMP2260</t>
  </si>
  <si>
    <t xml:space="preserve">EMP2261</t>
  </si>
  <si>
    <t xml:space="preserve">EMP2262</t>
  </si>
  <si>
    <t xml:space="preserve">EMP2263</t>
  </si>
  <si>
    <t xml:space="preserve">EMP2264</t>
  </si>
  <si>
    <t xml:space="preserve">EMP2265</t>
  </si>
  <si>
    <t xml:space="preserve">EMP2266</t>
  </si>
  <si>
    <t xml:space="preserve">EMP2267</t>
  </si>
  <si>
    <t xml:space="preserve">EMP2268</t>
  </si>
  <si>
    <t xml:space="preserve">EMP2269</t>
  </si>
  <si>
    <t xml:space="preserve">EMP2270</t>
  </si>
  <si>
    <t xml:space="preserve">EMP2271</t>
  </si>
  <si>
    <t xml:space="preserve">EMP2272</t>
  </si>
  <si>
    <t xml:space="preserve">EMP2273</t>
  </si>
  <si>
    <t xml:space="preserve">EMP2274</t>
  </si>
  <si>
    <t xml:space="preserve">EMP2275</t>
  </si>
  <si>
    <t xml:space="preserve">EMP2276</t>
  </si>
  <si>
    <t xml:space="preserve">EMP2277</t>
  </si>
  <si>
    <t xml:space="preserve">EMP2278</t>
  </si>
  <si>
    <t xml:space="preserve">EMP2279</t>
  </si>
  <si>
    <t xml:space="preserve">EMP2280</t>
  </si>
  <si>
    <t xml:space="preserve">EMP2281</t>
  </si>
  <si>
    <t xml:space="preserve">EMP2282</t>
  </si>
  <si>
    <t xml:space="preserve">EMP2283</t>
  </si>
  <si>
    <t xml:space="preserve">EMP2284</t>
  </si>
  <si>
    <t xml:space="preserve">EMP2285</t>
  </si>
  <si>
    <t xml:space="preserve">EMP2286</t>
  </si>
  <si>
    <t xml:space="preserve">EMP2287</t>
  </si>
  <si>
    <t xml:space="preserve">EMP2288</t>
  </si>
  <si>
    <t xml:space="preserve">EMP2289</t>
  </si>
  <si>
    <t xml:space="preserve">EMP2290</t>
  </si>
  <si>
    <t xml:space="preserve">EMP2291</t>
  </si>
  <si>
    <t xml:space="preserve">EMP2292</t>
  </si>
  <si>
    <t xml:space="preserve">EMP2293</t>
  </si>
  <si>
    <t xml:space="preserve">EMP2294</t>
  </si>
  <si>
    <t xml:space="preserve">EMP2295</t>
  </si>
  <si>
    <t xml:space="preserve">EMP2296</t>
  </si>
  <si>
    <t xml:space="preserve">EMP2297</t>
  </si>
  <si>
    <t xml:space="preserve">EMP2298</t>
  </si>
  <si>
    <t xml:space="preserve">EMP2299</t>
  </si>
  <si>
    <t xml:space="preserve">EMP2300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</si>
</sst>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@"/>
    <numFmt numFmtId="168" formatCode="0.0"/>
    <numFmt numFmtId="169" formatCode="dd\-mmm\-yyyy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Dashboard!E21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Dashboard!$A$22:$A$27</c:f>
              <c:strCache>
                <c:ptCount val="6"/>
                <c:pt idx="0">
                  <c:v>Sales</c:v>
                </c:pt>
                <c:pt idx="1">
                  <c:v>Operations</c:v>
                </c:pt>
                <c:pt idx="2">
                  <c:v>Finance</c:v>
                </c:pt>
                <c:pt idx="3">
                  <c:v>IT</c:v>
                </c:pt>
                <c:pt idx="4">
                  <c:v>HR</c:v>
                </c:pt>
                <c:pt idx="5">
                  <c:v>Customer Service</c:v>
                </c:pt>
              </c:strCache>
            </c:strRef>
          </c:cat>
          <c:val>
            <c:numRef>
              <c:f>Dashboard!$E$22:$E$27</c:f>
              <c:numCache>
                <c:formatCode>0.0%</c:formatCode>
                <c:ptCount val="6"/>
                <c:pt idx="0">
                  <c:v>0.293577981651376</c:v>
                </c:pt>
                <c:pt idx="1">
                  <c:v>0.178217821782178</c:v>
                </c:pt>
                <c:pt idx="2">
                  <c:v>0.135593220338983</c:v>
                </c:pt>
                <c:pt idx="3">
                  <c:v>0.526315789473684</c:v>
                </c:pt>
                <c:pt idx="4">
                  <c:v>0.0689655172413793</c:v>
                </c:pt>
                <c:pt idx="5">
                  <c:v>0.263565891472868</c:v>
                </c:pt>
              </c:numCache>
            </c:numRef>
          </c:val>
        </c:ser>
        <c:gapWidth val="150"/>
        <c:overlap val="0"/>
        <c:axId val="76768188"/>
        <c:axId val="73976059"/>
      </c:barChart>
      <c:catAx>
        <c:axId val="767681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76059"/>
        <c:crosses val="autoZero"/>
        <c:auto val="1"/>
        <c:lblAlgn val="ctr"/>
        <c:lblOffset val="100"/>
        <c:noMultiLvlLbl val="0"/>
      </c:catAx>
      <c:valAx>
        <c:axId val="73976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681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Leavers by exit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Dashboard!B39</c:f>
              <c:strCache>
                <c:ptCount val="1"/>
                <c:pt idx="0">
                  <c:v>Leavers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Dashboard!$A$40:$A$46</c:f>
              <c:strCache>
                <c:ptCount val="7"/>
                <c:pt idx="0">
                  <c:v>Better pay elsewhere</c:v>
                </c:pt>
                <c:pt idx="1">
                  <c:v>Career growth</c:v>
                </c:pt>
                <c:pt idx="2">
                  <c:v>Relocation</c:v>
                </c:pt>
                <c:pt idx="3">
                  <c:v>Personal / family</c:v>
                </c:pt>
                <c:pt idx="4">
                  <c:v>Poor management</c:v>
                </c:pt>
                <c:pt idx="5">
                  <c:v>Contract ended</c:v>
                </c:pt>
                <c:pt idx="6">
                  <c:v>Dismissal</c:v>
                </c:pt>
              </c:strCache>
            </c:strRef>
          </c:cat>
          <c:val>
            <c:numRef>
              <c:f>Dashboard!$B$40:$B$46</c:f>
              <c:numCache>
                <c:formatCode>#,##0</c:formatCode>
                <c:ptCount val="7"/>
                <c:pt idx="0">
                  <c:v>18</c:v>
                </c:pt>
                <c:pt idx="1">
                  <c:v>16</c:v>
                </c:pt>
                <c:pt idx="2">
                  <c:v>5</c:v>
                </c:pt>
                <c:pt idx="3">
                  <c:v>9</c:v>
                </c:pt>
                <c:pt idx="4">
                  <c:v>6</c:v>
                </c:pt>
                <c:pt idx="5">
                  <c:v>7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14238151"/>
        <c:axId val="59536615"/>
      </c:barChart>
      <c:catAx>
        <c:axId val="14238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36615"/>
        <c:crosses val="autoZero"/>
        <c:auto val="1"/>
        <c:lblAlgn val="ctr"/>
        <c:lblOffset val="100"/>
        <c:noMultiLvlLbl val="0"/>
      </c:catAx>
      <c:valAx>
        <c:axId val="59536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381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Leavers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Dashboard!C31</c:f>
              <c:strCache>
                <c:ptCount val="1"/>
                <c:pt idx="0">
                  <c:v>Leavers 12m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Dashboard!$A$32:$A$35</c:f>
              <c:strCache>
                <c:ptCount val="4"/>
                <c:pt idx="0">
                  <c:v>Under 1 yr</c:v>
                </c:pt>
                <c:pt idx="1">
                  <c:v>1 to 3 yrs</c:v>
                </c:pt>
                <c:pt idx="2">
                  <c:v>3 to 5 yrs</c:v>
                </c:pt>
                <c:pt idx="3">
                  <c:v>5+ yrs</c:v>
                </c:pt>
              </c:strCache>
            </c:strRef>
          </c:cat>
          <c:val>
            <c:numRef>
              <c:f>Dashboard!$C$32:$C$35</c:f>
              <c:numCache>
                <c:formatCode>#,##0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7</c:v>
                </c:pt>
                <c:pt idx="3">
                  <c:v>37</c:v>
                </c:pt>
              </c:numCache>
            </c:numRef>
          </c:val>
        </c:ser>
        <c:gapWidth val="150"/>
        <c:overlap val="0"/>
        <c:axId val="72253187"/>
        <c:axId val="34639578"/>
      </c:barChart>
      <c:catAx>
        <c:axId val="722531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39578"/>
        <c:crosses val="autoZero"/>
        <c:auto val="1"/>
        <c:lblAlgn val="ctr"/>
        <c:lblOffset val="100"/>
        <c:noMultiLvlLbl val="0"/>
      </c:catAx>
      <c:valAx>
        <c:axId val="346395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531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131040</xdr:rowOff>
    </xdr:from>
    <xdr:to>
      <xdr:col>19</xdr:col>
      <xdr:colOff>507600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131580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130680</xdr:rowOff>
    </xdr:from>
    <xdr:to>
      <xdr:col>19</xdr:col>
      <xdr:colOff>507600</xdr:colOff>
      <xdr:row>30</xdr:row>
      <xdr:rowOff>353880</xdr:rowOff>
    </xdr:to>
    <xdr:graphicFrame>
      <xdr:nvGraphicFramePr>
        <xdr:cNvPr id="1" name="Chart 2"/>
        <xdr:cNvGraphicFramePr/>
      </xdr:nvGraphicFramePr>
      <xdr:xfrm>
        <a:off x="131580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34</xdr:row>
      <xdr:rowOff>130680</xdr:rowOff>
    </xdr:from>
    <xdr:to>
      <xdr:col>19</xdr:col>
      <xdr:colOff>507600</xdr:colOff>
      <xdr:row>47</xdr:row>
      <xdr:rowOff>163440</xdr:rowOff>
    </xdr:to>
    <xdr:graphicFrame>
      <xdr:nvGraphicFramePr>
        <xdr:cNvPr id="2" name="Chart 3"/>
        <xdr:cNvGraphicFramePr/>
      </xdr:nvGraphicFramePr>
      <xdr:xfrm>
        <a:off x="13158000" y="7048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2" t="s">
        <v>3</v>
      </c>
      <c r="B5" s="3" t="s">
        <v>4</v>
      </c>
    </row>
    <row r="6" customFormat="false" ht="23.85" hidden="false" customHeight="false" outlineLevel="0" collapsed="false">
      <c r="B6" s="3" t="s">
        <v>5</v>
      </c>
    </row>
    <row r="7" customFormat="false" ht="23.85" hidden="false" customHeight="false" outlineLevel="0" collapsed="false">
      <c r="B7" s="3" t="s">
        <v>6</v>
      </c>
    </row>
    <row r="9" customFormat="false" ht="15" hidden="false" customHeight="false" outlineLevel="0" collapsed="false">
      <c r="A9" s="2" t="s">
        <v>7</v>
      </c>
      <c r="B9" s="3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3" t="s">
        <v>10</v>
      </c>
    </row>
    <row r="13" customFormat="false" ht="15" hidden="false" customHeight="false" outlineLevel="0" collapsed="false">
      <c r="A13" s="2" t="s">
        <v>11</v>
      </c>
      <c r="B13" s="3" t="s">
        <v>12</v>
      </c>
    </row>
    <row r="15" customFormat="false" ht="15" hidden="false" customHeight="false" outlineLevel="0" collapsed="false">
      <c r="A15" s="2" t="s">
        <v>13</v>
      </c>
      <c r="B15" s="3" t="s">
        <v>14</v>
      </c>
    </row>
    <row r="16" customFormat="false" ht="15" hidden="false" customHeight="false" outlineLevel="0" collapsed="false">
      <c r="B16" s="3" t="s">
        <v>15</v>
      </c>
    </row>
    <row r="17" customFormat="false" ht="15" hidden="false" customHeight="false" outlineLevel="0" collapsed="false">
      <c r="B17" s="3" t="s">
        <v>16</v>
      </c>
    </row>
    <row r="18" customFormat="false" ht="15" hidden="false" customHeight="false" outlineLevel="0" collapsed="false">
      <c r="B18" s="3" t="s">
        <v>17</v>
      </c>
    </row>
    <row r="19" customFormat="false" ht="15" hidden="false" customHeight="false" outlineLevel="0" collapsed="false">
      <c r="B19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0" min="3" style="0" width="16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</row>
    <row r="4" customFormat="false" ht="15" hidden="false" customHeight="false" outlineLevel="0" collapsed="false">
      <c r="A4" s="5" t="s">
        <v>21</v>
      </c>
    </row>
    <row r="5" customFormat="false" ht="15" hidden="false" customHeight="false" outlineLevel="0" collapsed="false">
      <c r="A5" s="2" t="s">
        <v>22</v>
      </c>
      <c r="B5" s="6" t="n">
        <f aca="false">COUNTIFS(Employees!$K$2:$K$301,"Active")</f>
        <v>224</v>
      </c>
    </row>
    <row r="6" customFormat="false" ht="15" hidden="false" customHeight="false" outlineLevel="0" collapsed="false">
      <c r="A6" s="2" t="s">
        <v>23</v>
      </c>
      <c r="B6" s="6" t="n">
        <f aca="false">SUM(Employees!$O$2:$O$301)</f>
        <v>260</v>
      </c>
    </row>
    <row r="7" customFormat="false" ht="15" hidden="false" customHeight="false" outlineLevel="0" collapsed="false">
      <c r="A7" s="2" t="s">
        <v>24</v>
      </c>
      <c r="B7" s="6" t="n">
        <f aca="false">SUM(Employees!$P$2:$P$301)</f>
        <v>62</v>
      </c>
    </row>
    <row r="8" customFormat="false" ht="15" hidden="false" customHeight="false" outlineLevel="0" collapsed="false">
      <c r="A8" s="2" t="s">
        <v>25</v>
      </c>
      <c r="B8" s="7" t="n">
        <f aca="false">IF((B5+B6)=0,0,B7/AVERAGE(B5,B6))</f>
        <v>0.256198347107438</v>
      </c>
    </row>
    <row r="9" customFormat="false" ht="15" hidden="false" customHeight="false" outlineLevel="0" collapsed="false">
      <c r="A9" s="2" t="s">
        <v>26</v>
      </c>
      <c r="B9" s="8" t="str">
        <f aca="false">IF(B8&lt;=Assumptions!$B$8,"Within target","Above target")</f>
        <v>Above target</v>
      </c>
    </row>
    <row r="10" customFormat="false" ht="15" hidden="false" customHeight="false" outlineLevel="0" collapsed="false">
      <c r="A10" s="2" t="s">
        <v>27</v>
      </c>
      <c r="B10" s="6" t="n">
        <f aca="false">SUM(Employees!$R$2:$R$301)</f>
        <v>23</v>
      </c>
    </row>
    <row r="11" customFormat="false" ht="15" hidden="false" customHeight="false" outlineLevel="0" collapsed="false">
      <c r="A11" s="2" t="s">
        <v>28</v>
      </c>
      <c r="B11" s="6" t="n">
        <f aca="false">SUM(Employees!$Q$2:$Q$301)</f>
        <v>34398000</v>
      </c>
    </row>
    <row r="12" customFormat="false" ht="15" hidden="false" customHeight="false" outlineLevel="0" collapsed="false">
      <c r="A12" s="2" t="s">
        <v>29</v>
      </c>
      <c r="B12" s="6" t="n">
        <f aca="false">SUMIFS(Employees!$N$2:$N$301,Employees!$K$2:$K$301,"Active")</f>
        <v>239040000</v>
      </c>
    </row>
    <row r="13" customFormat="false" ht="15" hidden="false" customHeight="false" outlineLevel="0" collapsed="false">
      <c r="A13" s="2" t="s">
        <v>30</v>
      </c>
      <c r="B13" s="9" t="n">
        <f aca="false">AVERAGEIFS(Employees!$I$2:$I$301,Employees!$K$2:$K$301,"Active")</f>
        <v>5.70089285714286</v>
      </c>
    </row>
    <row r="15" customFormat="false" ht="15" hidden="false" customHeight="false" outlineLevel="0" collapsed="false">
      <c r="A15" s="5" t="s">
        <v>31</v>
      </c>
    </row>
    <row r="16" customFormat="false" ht="15" hidden="false" customHeight="false" outlineLevel="0" collapsed="false">
      <c r="A16" s="2" t="s">
        <v>32</v>
      </c>
      <c r="B16" s="10" t="str">
        <f aca="false">INDEX(A22:A27,MATCH(MAX(E22:E27),E22:E27,0))</f>
        <v>IT</v>
      </c>
    </row>
    <row r="17" customFormat="false" ht="15" hidden="false" customHeight="false" outlineLevel="0" collapsed="false">
      <c r="A17" s="2" t="s">
        <v>33</v>
      </c>
      <c r="B17" s="10" t="str">
        <f aca="false">INDEX(A40:A46,MATCH(MAX(B40:B46),B40:B46,0))</f>
        <v>Better pay elsewhere</v>
      </c>
    </row>
    <row r="18" customFormat="false" ht="15" hidden="false" customHeight="false" outlineLevel="0" collapsed="false">
      <c r="A18" s="2" t="s">
        <v>34</v>
      </c>
      <c r="B18" s="11" t="n">
        <f aca="false">D32</f>
        <v>0.129032258064516</v>
      </c>
    </row>
    <row r="20" customFormat="false" ht="15" hidden="false" customHeight="false" outlineLevel="0" collapsed="false">
      <c r="A20" s="5" t="s">
        <v>35</v>
      </c>
    </row>
    <row r="21" customFormat="false" ht="30" hidden="false" customHeight="true" outlineLevel="0" collapsed="false">
      <c r="A21" s="12" t="s">
        <v>36</v>
      </c>
      <c r="B21" s="12" t="s">
        <v>37</v>
      </c>
      <c r="C21" s="12" t="s">
        <v>38</v>
      </c>
      <c r="D21" s="12" t="s">
        <v>39</v>
      </c>
      <c r="E21" s="12" t="s">
        <v>40</v>
      </c>
      <c r="F21" s="12" t="s">
        <v>41</v>
      </c>
      <c r="G21" s="12" t="s">
        <v>42</v>
      </c>
      <c r="H21" s="12" t="s">
        <v>43</v>
      </c>
      <c r="I21" s="12" t="s">
        <v>27</v>
      </c>
      <c r="J21" s="12" t="s">
        <v>44</v>
      </c>
    </row>
    <row r="22" customFormat="false" ht="15" hidden="false" customHeight="false" outlineLevel="0" collapsed="false">
      <c r="A22" s="13" t="s">
        <v>45</v>
      </c>
      <c r="B22" s="14" t="n">
        <f aca="false">COUNTIFS(Employees!$B$2:$B$301,$A22,Employees!$K$2:$K$301,"Active")</f>
        <v>50</v>
      </c>
      <c r="C22" s="14" t="n">
        <f aca="false">SUMIFS(Employees!$O$2:$O$301,Employees!$B$2:$B$301,$A22)</f>
        <v>59</v>
      </c>
      <c r="D22" s="14" t="n">
        <f aca="false">SUMIFS(Employees!$P$2:$P$301,Employees!$B$2:$B$301,$A22)</f>
        <v>16</v>
      </c>
      <c r="E22" s="15" t="n">
        <f aca="false">IF((B22+C22)=0,0,D22/AVERAGE(B22,C22))</f>
        <v>0.293577981651376</v>
      </c>
      <c r="F22" s="16" t="n">
        <f aca="false">IFERROR(AVERAGEIFS(Employees!$I$2:$I$301,Employees!$B$2:$B$301,$A22,Employees!$K$2:$K$301,"Active"),0)</f>
        <v>4.88</v>
      </c>
      <c r="G22" s="14" t="n">
        <f aca="false">IFERROR(AVERAGEIFS(Employees!$H$2:$H$301,Employees!$B$2:$B$301,$A22,Employees!$K$2:$K$301,"Active"),0)</f>
        <v>84880</v>
      </c>
      <c r="H22" s="14" t="n">
        <f aca="false">SUMIFS(Employees!$Q$2:$Q$301,Employees!$B$2:$B$301,$A22)</f>
        <v>9540000</v>
      </c>
      <c r="I22" s="14" t="n">
        <f aca="false">SUMIFS(Employees!$R$2:$R$301,Employees!$B$2:$B$301,$A22)</f>
        <v>9</v>
      </c>
      <c r="J22" s="17" t="str">
        <f aca="false">IF(E22&lt;=Assumptions!$B$8,"OK","Above target")</f>
        <v>Above target</v>
      </c>
    </row>
    <row r="23" customFormat="false" ht="15" hidden="false" customHeight="false" outlineLevel="0" collapsed="false">
      <c r="A23" s="13" t="s">
        <v>46</v>
      </c>
      <c r="B23" s="14" t="n">
        <f aca="false">COUNTIFS(Employees!$B$2:$B$301,$A23,Employees!$K$2:$K$301,"Active")</f>
        <v>48</v>
      </c>
      <c r="C23" s="14" t="n">
        <f aca="false">SUMIFS(Employees!$O$2:$O$301,Employees!$B$2:$B$301,$A23)</f>
        <v>53</v>
      </c>
      <c r="D23" s="14" t="n">
        <f aca="false">SUMIFS(Employees!$P$2:$P$301,Employees!$B$2:$B$301,$A23)</f>
        <v>9</v>
      </c>
      <c r="E23" s="15" t="n">
        <f aca="false">IF((B23+C23)=0,0,D23/AVERAGE(B23,C23))</f>
        <v>0.178217821782178</v>
      </c>
      <c r="F23" s="16" t="n">
        <f aca="false">IFERROR(AVERAGEIFS(Employees!$I$2:$I$301,Employees!$B$2:$B$301,$A23,Employees!$K$2:$K$301,"Active"),0)</f>
        <v>4.72916666666667</v>
      </c>
      <c r="G23" s="14" t="n">
        <f aca="false">IFERROR(AVERAGEIFS(Employees!$H$2:$H$301,Employees!$B$2:$B$301,$A23,Employees!$K$2:$K$301,"Active"),0)</f>
        <v>83583.3333333333</v>
      </c>
      <c r="H23" s="14" t="n">
        <f aca="false">SUMIFS(Employees!$Q$2:$Q$301,Employees!$B$2:$B$301,$A23)</f>
        <v>4260000</v>
      </c>
      <c r="I23" s="14" t="n">
        <f aca="false">SUMIFS(Employees!$R$2:$R$301,Employees!$B$2:$B$301,$A23)</f>
        <v>1</v>
      </c>
      <c r="J23" s="17" t="str">
        <f aca="false">IF(E23&lt;=Assumptions!$B$8,"OK","Above target")</f>
        <v>Above target</v>
      </c>
    </row>
    <row r="24" customFormat="false" ht="15" hidden="false" customHeight="false" outlineLevel="0" collapsed="false">
      <c r="A24" s="13" t="s">
        <v>47</v>
      </c>
      <c r="B24" s="14" t="n">
        <f aca="false">COUNTIFS(Employees!$B$2:$B$301,$A24,Employees!$K$2:$K$301,"Active")</f>
        <v>29</v>
      </c>
      <c r="C24" s="14" t="n">
        <f aca="false">SUMIFS(Employees!$O$2:$O$301,Employees!$B$2:$B$301,$A24)</f>
        <v>30</v>
      </c>
      <c r="D24" s="14" t="n">
        <f aca="false">SUMIFS(Employees!$P$2:$P$301,Employees!$B$2:$B$301,$A24)</f>
        <v>4</v>
      </c>
      <c r="E24" s="15" t="n">
        <f aca="false">IF((B24+C24)=0,0,D24/AVERAGE(B24,C24))</f>
        <v>0.135593220338983</v>
      </c>
      <c r="F24" s="16" t="n">
        <f aca="false">IFERROR(AVERAGEIFS(Employees!$I$2:$I$301,Employees!$B$2:$B$301,$A24,Employees!$K$2:$K$301,"Active"),0)</f>
        <v>5.68965517241379</v>
      </c>
      <c r="G24" s="14" t="n">
        <f aca="false">IFERROR(AVERAGEIFS(Employees!$H$2:$H$301,Employees!$B$2:$B$301,$A24,Employees!$K$2:$K$301,"Active"),0)</f>
        <v>96655.1724137931</v>
      </c>
      <c r="H24" s="14" t="n">
        <f aca="false">SUMIFS(Employees!$Q$2:$Q$301,Employees!$B$2:$B$301,$A24)</f>
        <v>1698000</v>
      </c>
      <c r="I24" s="14" t="n">
        <f aca="false">SUMIFS(Employees!$R$2:$R$301,Employees!$B$2:$B$301,$A24)</f>
        <v>1</v>
      </c>
      <c r="J24" s="17" t="str">
        <f aca="false">IF(E24&lt;=Assumptions!$B$8,"OK","Above target")</f>
        <v>OK</v>
      </c>
    </row>
    <row r="25" customFormat="false" ht="15" hidden="false" customHeight="false" outlineLevel="0" collapsed="false">
      <c r="A25" s="13" t="s">
        <v>48</v>
      </c>
      <c r="B25" s="14" t="n">
        <f aca="false">COUNTIFS(Employees!$B$2:$B$301,$A25,Employees!$K$2:$K$301,"Active")</f>
        <v>22</v>
      </c>
      <c r="C25" s="14" t="n">
        <f aca="false">SUMIFS(Employees!$O$2:$O$301,Employees!$B$2:$B$301,$A25)</f>
        <v>35</v>
      </c>
      <c r="D25" s="14" t="n">
        <f aca="false">SUMIFS(Employees!$P$2:$P$301,Employees!$B$2:$B$301,$A25)</f>
        <v>15</v>
      </c>
      <c r="E25" s="15" t="n">
        <f aca="false">IF((B25+C25)=0,0,D25/AVERAGE(B25,C25))</f>
        <v>0.526315789473684</v>
      </c>
      <c r="F25" s="16" t="n">
        <f aca="false">IFERROR(AVERAGEIFS(Employees!$I$2:$I$301,Employees!$B$2:$B$301,$A25,Employees!$K$2:$K$301,"Active"),0)</f>
        <v>4.54545454545455</v>
      </c>
      <c r="G25" s="14" t="n">
        <f aca="false">IFERROR(AVERAGEIFS(Employees!$H$2:$H$301,Employees!$B$2:$B$301,$A25,Employees!$K$2:$K$301,"Active"),0)</f>
        <v>91272.7272727273</v>
      </c>
      <c r="H25" s="14" t="n">
        <f aca="false">SUMIFS(Employees!$Q$2:$Q$301,Employees!$B$2:$B$301,$A25)</f>
        <v>9456000</v>
      </c>
      <c r="I25" s="14" t="n">
        <f aca="false">SUMIFS(Employees!$R$2:$R$301,Employees!$B$2:$B$301,$A25)</f>
        <v>7</v>
      </c>
      <c r="J25" s="17" t="str">
        <f aca="false">IF(E25&lt;=Assumptions!$B$8,"OK","Above target")</f>
        <v>Above target</v>
      </c>
    </row>
    <row r="26" customFormat="false" ht="15" hidden="false" customHeight="false" outlineLevel="0" collapsed="false">
      <c r="A26" s="13" t="s">
        <v>49</v>
      </c>
      <c r="B26" s="14" t="n">
        <f aca="false">COUNTIFS(Employees!$B$2:$B$301,$A26,Employees!$K$2:$K$301,"Active")</f>
        <v>14</v>
      </c>
      <c r="C26" s="14" t="n">
        <f aca="false">SUMIFS(Employees!$O$2:$O$301,Employees!$B$2:$B$301,$A26)</f>
        <v>15</v>
      </c>
      <c r="D26" s="14" t="n">
        <f aca="false">SUMIFS(Employees!$P$2:$P$301,Employees!$B$2:$B$301,$A26)</f>
        <v>1</v>
      </c>
      <c r="E26" s="15" t="n">
        <f aca="false">IF((B26+C26)=0,0,D26/AVERAGE(B26,C26))</f>
        <v>0.0689655172413793</v>
      </c>
      <c r="F26" s="16" t="n">
        <f aca="false">IFERROR(AVERAGEIFS(Employees!$I$2:$I$301,Employees!$B$2:$B$301,$A26,Employees!$K$2:$K$301,"Active"),0)</f>
        <v>5.14285714285714</v>
      </c>
      <c r="G26" s="14" t="n">
        <f aca="false">IFERROR(AVERAGEIFS(Employees!$H$2:$H$301,Employees!$B$2:$B$301,$A26,Employees!$K$2:$K$301,"Active"),0)</f>
        <v>99928.5714285714</v>
      </c>
      <c r="H26" s="14" t="n">
        <f aca="false">SUMIFS(Employees!$Q$2:$Q$301,Employees!$B$2:$B$301,$A26)</f>
        <v>996000</v>
      </c>
      <c r="I26" s="14" t="n">
        <f aca="false">SUMIFS(Employees!$R$2:$R$301,Employees!$B$2:$B$301,$A26)</f>
        <v>1</v>
      </c>
      <c r="J26" s="17" t="str">
        <f aca="false">IF(E26&lt;=Assumptions!$B$8,"OK","Above target")</f>
        <v>OK</v>
      </c>
    </row>
    <row r="27" customFormat="false" ht="15" hidden="false" customHeight="false" outlineLevel="0" collapsed="false">
      <c r="A27" s="13" t="s">
        <v>50</v>
      </c>
      <c r="B27" s="14" t="n">
        <f aca="false">COUNTIFS(Employees!$B$2:$B$301,$A27,Employees!$K$2:$K$301,"Active")</f>
        <v>61</v>
      </c>
      <c r="C27" s="14" t="n">
        <f aca="false">SUMIFS(Employees!$O$2:$O$301,Employees!$B$2:$B$301,$A27)</f>
        <v>68</v>
      </c>
      <c r="D27" s="14" t="n">
        <f aca="false">SUMIFS(Employees!$P$2:$P$301,Employees!$B$2:$B$301,$A27)</f>
        <v>17</v>
      </c>
      <c r="E27" s="15" t="n">
        <f aca="false">IF((B27+C27)=0,0,D27/AVERAGE(B27,C27))</f>
        <v>0.263565891472868</v>
      </c>
      <c r="F27" s="16" t="n">
        <f aca="false">IFERROR(AVERAGEIFS(Employees!$I$2:$I$301,Employees!$B$2:$B$301,$A27,Employees!$K$2:$K$301,"Active"),0)</f>
        <v>7.68852459016394</v>
      </c>
      <c r="G27" s="14" t="n">
        <f aca="false">IFERROR(AVERAGEIFS(Employees!$H$2:$H$301,Employees!$B$2:$B$301,$A27,Employees!$K$2:$K$301,"Active"),0)</f>
        <v>89409.8360655738</v>
      </c>
      <c r="H27" s="14" t="n">
        <f aca="false">SUMIFS(Employees!$Q$2:$Q$301,Employees!$B$2:$B$301,$A27)</f>
        <v>8448000</v>
      </c>
      <c r="I27" s="14" t="n">
        <f aca="false">SUMIFS(Employees!$R$2:$R$301,Employees!$B$2:$B$301,$A27)</f>
        <v>4</v>
      </c>
      <c r="J27" s="17" t="str">
        <f aca="false">IF(E27&lt;=Assumptions!$B$8,"OK","Above target")</f>
        <v>Above target</v>
      </c>
    </row>
    <row r="30" customFormat="false" ht="15" hidden="false" customHeight="false" outlineLevel="0" collapsed="false">
      <c r="A30" s="5" t="s">
        <v>51</v>
      </c>
    </row>
    <row r="31" customFormat="false" ht="30" hidden="false" customHeight="true" outlineLevel="0" collapsed="false">
      <c r="A31" s="12" t="s">
        <v>52</v>
      </c>
      <c r="B31" s="12" t="s">
        <v>37</v>
      </c>
      <c r="C31" s="12" t="s">
        <v>39</v>
      </c>
      <c r="D31" s="12" t="s">
        <v>53</v>
      </c>
    </row>
    <row r="32" customFormat="false" ht="15" hidden="false" customHeight="false" outlineLevel="0" collapsed="false">
      <c r="A32" s="13" t="s">
        <v>54</v>
      </c>
      <c r="B32" s="14" t="n">
        <f aca="false">COUNTIFS(Employees!$M$2:$M$301,$A32,Employees!$K$2:$K$301,"Active")</f>
        <v>20</v>
      </c>
      <c r="C32" s="14" t="n">
        <f aca="false">COUNTIFS(Employees!$M$2:$M$301,$A32,Employees!$P$2:$P$301,1)</f>
        <v>8</v>
      </c>
      <c r="D32" s="15" t="n">
        <f aca="false">IF(SUM(C$32:C$35)=0,0,C32/SUM(C$32:C$35))</f>
        <v>0.129032258064516</v>
      </c>
    </row>
    <row r="33" customFormat="false" ht="15" hidden="false" customHeight="false" outlineLevel="0" collapsed="false">
      <c r="A33" s="13" t="s">
        <v>55</v>
      </c>
      <c r="B33" s="14" t="n">
        <f aca="false">COUNTIFS(Employees!$M$2:$M$301,$A33,Employees!$K$2:$K$301,"Active")</f>
        <v>39</v>
      </c>
      <c r="C33" s="14" t="n">
        <f aca="false">COUNTIFS(Employees!$M$2:$M$301,$A33,Employees!$P$2:$P$301,1)</f>
        <v>10</v>
      </c>
      <c r="D33" s="15" t="n">
        <f aca="false">IF(SUM(C$32:C$35)=0,0,C33/SUM(C$32:C$35))</f>
        <v>0.161290322580645</v>
      </c>
    </row>
    <row r="34" customFormat="false" ht="15" hidden="false" customHeight="false" outlineLevel="0" collapsed="false">
      <c r="A34" s="13" t="s">
        <v>56</v>
      </c>
      <c r="B34" s="14" t="n">
        <f aca="false">COUNTIFS(Employees!$M$2:$M$301,$A34,Employees!$K$2:$K$301,"Active")</f>
        <v>38</v>
      </c>
      <c r="C34" s="14" t="n">
        <f aca="false">COUNTIFS(Employees!$M$2:$M$301,$A34,Employees!$P$2:$P$301,1)</f>
        <v>7</v>
      </c>
      <c r="D34" s="15" t="n">
        <f aca="false">IF(SUM(C$32:C$35)=0,0,C34/SUM(C$32:C$35))</f>
        <v>0.112903225806452</v>
      </c>
    </row>
    <row r="35" customFormat="false" ht="15" hidden="false" customHeight="false" outlineLevel="0" collapsed="false">
      <c r="A35" s="13" t="s">
        <v>57</v>
      </c>
      <c r="B35" s="14" t="n">
        <f aca="false">COUNTIFS(Employees!$M$2:$M$301,$A35,Employees!$K$2:$K$301,"Active")</f>
        <v>127</v>
      </c>
      <c r="C35" s="14" t="n">
        <f aca="false">COUNTIFS(Employees!$M$2:$M$301,$A35,Employees!$P$2:$P$301,1)</f>
        <v>37</v>
      </c>
      <c r="D35" s="15" t="n">
        <f aca="false">IF(SUM(C$32:C$35)=0,0,C35/SUM(C$32:C$35))</f>
        <v>0.596774193548387</v>
      </c>
    </row>
    <row r="38" customFormat="false" ht="15" hidden="false" customHeight="false" outlineLevel="0" collapsed="false">
      <c r="A38" s="5" t="s">
        <v>58</v>
      </c>
    </row>
    <row r="39" customFormat="false" ht="30" hidden="false" customHeight="true" outlineLevel="0" collapsed="false">
      <c r="A39" s="12" t="s">
        <v>59</v>
      </c>
      <c r="B39" s="12" t="s">
        <v>60</v>
      </c>
      <c r="C39" s="12" t="s">
        <v>61</v>
      </c>
    </row>
    <row r="40" customFormat="false" ht="15" hidden="false" customHeight="false" outlineLevel="0" collapsed="false">
      <c r="A40" s="13" t="s">
        <v>62</v>
      </c>
      <c r="B40" s="14" t="n">
        <f aca="false">COUNTIFS(Employees!$G$2:$G$301,$A40,Employees!$P$2:$P$301,1)</f>
        <v>18</v>
      </c>
      <c r="C40" s="15" t="n">
        <f aca="false">IF(SUM(B$40:B$46)=0,0,B40/SUM(B$40:B$46))</f>
        <v>0.290322580645161</v>
      </c>
    </row>
    <row r="41" customFormat="false" ht="15" hidden="false" customHeight="false" outlineLevel="0" collapsed="false">
      <c r="A41" s="13" t="s">
        <v>63</v>
      </c>
      <c r="B41" s="14" t="n">
        <f aca="false">COUNTIFS(Employees!$G$2:$G$301,$A41,Employees!$P$2:$P$301,1)</f>
        <v>16</v>
      </c>
      <c r="C41" s="15" t="n">
        <f aca="false">IF(SUM(B$40:B$46)=0,0,B41/SUM(B$40:B$46))</f>
        <v>0.258064516129032</v>
      </c>
    </row>
    <row r="42" customFormat="false" ht="15" hidden="false" customHeight="false" outlineLevel="0" collapsed="false">
      <c r="A42" s="13" t="s">
        <v>64</v>
      </c>
      <c r="B42" s="14" t="n">
        <f aca="false">COUNTIFS(Employees!$G$2:$G$301,$A42,Employees!$P$2:$P$301,1)</f>
        <v>5</v>
      </c>
      <c r="C42" s="15" t="n">
        <f aca="false">IF(SUM(B$40:B$46)=0,0,B42/SUM(B$40:B$46))</f>
        <v>0.0806451612903226</v>
      </c>
    </row>
    <row r="43" customFormat="false" ht="15" hidden="false" customHeight="false" outlineLevel="0" collapsed="false">
      <c r="A43" s="13" t="s">
        <v>65</v>
      </c>
      <c r="B43" s="14" t="n">
        <f aca="false">COUNTIFS(Employees!$G$2:$G$301,$A43,Employees!$P$2:$P$301,1)</f>
        <v>9</v>
      </c>
      <c r="C43" s="15" t="n">
        <f aca="false">IF(SUM(B$40:B$46)=0,0,B43/SUM(B$40:B$46))</f>
        <v>0.145161290322581</v>
      </c>
    </row>
    <row r="44" customFormat="false" ht="15" hidden="false" customHeight="false" outlineLevel="0" collapsed="false">
      <c r="A44" s="13" t="s">
        <v>66</v>
      </c>
      <c r="B44" s="14" t="n">
        <f aca="false">COUNTIFS(Employees!$G$2:$G$301,$A44,Employees!$P$2:$P$301,1)</f>
        <v>6</v>
      </c>
      <c r="C44" s="15" t="n">
        <f aca="false">IF(SUM(B$40:B$46)=0,0,B44/SUM(B$40:B$46))</f>
        <v>0.0967741935483871</v>
      </c>
    </row>
    <row r="45" customFormat="false" ht="15" hidden="false" customHeight="false" outlineLevel="0" collapsed="false">
      <c r="A45" s="13" t="s">
        <v>67</v>
      </c>
      <c r="B45" s="14" t="n">
        <f aca="false">COUNTIFS(Employees!$G$2:$G$301,$A45,Employees!$P$2:$P$301,1)</f>
        <v>7</v>
      </c>
      <c r="C45" s="15" t="n">
        <f aca="false">IF(SUM(B$40:B$46)=0,0,B45/SUM(B$40:B$46))</f>
        <v>0.112903225806452</v>
      </c>
    </row>
    <row r="46" customFormat="false" ht="15" hidden="false" customHeight="false" outlineLevel="0" collapsed="false">
      <c r="A46" s="13" t="s">
        <v>68</v>
      </c>
      <c r="B46" s="14" t="n">
        <f aca="false">COUNTIFS(Employees!$G$2:$G$301,$A46,Employees!$P$2:$P$301,1)</f>
        <v>1</v>
      </c>
      <c r="C46" s="15" t="n">
        <f aca="false">IF(SUM(B$40:B$46)=0,0,B46/SUM(B$40:B$46))</f>
        <v>0.0161290322580645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8" t="s">
        <v>69</v>
      </c>
    </row>
    <row r="4" customFormat="false" ht="15" hidden="false" customHeight="false" outlineLevel="0" collapsed="false">
      <c r="A4" s="19" t="s">
        <v>70</v>
      </c>
      <c r="B4" s="19" t="s">
        <v>71</v>
      </c>
      <c r="C4" s="19" t="s">
        <v>72</v>
      </c>
    </row>
    <row r="5" customFormat="false" ht="15" hidden="false" customHeight="false" outlineLevel="0" collapsed="false">
      <c r="A5" s="13" t="s">
        <v>73</v>
      </c>
      <c r="B5" s="20" t="n">
        <v>46295</v>
      </c>
      <c r="C5" s="4" t="s">
        <v>74</v>
      </c>
    </row>
    <row r="6" customFormat="false" ht="15" hidden="false" customHeight="false" outlineLevel="0" collapsed="false">
      <c r="A6" s="13" t="s">
        <v>75</v>
      </c>
      <c r="B6" s="21" t="n">
        <f aca="false">B5-365</f>
        <v>45930</v>
      </c>
      <c r="C6" s="4" t="s">
        <v>76</v>
      </c>
    </row>
    <row r="7" customFormat="false" ht="15" hidden="false" customHeight="false" outlineLevel="0" collapsed="false">
      <c r="A7" s="13" t="s">
        <v>77</v>
      </c>
      <c r="B7" s="22" t="n">
        <v>0.5</v>
      </c>
      <c r="C7" s="4" t="s">
        <v>78</v>
      </c>
    </row>
    <row r="8" customFormat="false" ht="15" hidden="false" customHeight="false" outlineLevel="0" collapsed="false">
      <c r="A8" s="13" t="s">
        <v>79</v>
      </c>
      <c r="B8" s="22" t="n">
        <v>0.15</v>
      </c>
      <c r="C8" s="4" t="s">
        <v>80</v>
      </c>
    </row>
    <row r="9" customFormat="false" ht="15" hidden="false" customHeight="false" outlineLevel="0" collapsed="false">
      <c r="A9" s="13" t="s">
        <v>81</v>
      </c>
      <c r="B9" s="23" t="n">
        <v>6</v>
      </c>
      <c r="C9" s="4" t="s">
        <v>80</v>
      </c>
    </row>
    <row r="10" customFormat="false" ht="15" hidden="false" customHeight="false" outlineLevel="0" collapsed="false">
      <c r="A10" s="13" t="s">
        <v>82</v>
      </c>
      <c r="B10" s="23" t="n">
        <v>4</v>
      </c>
      <c r="C10" s="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12" min="9" style="0" width="14"/>
    <col collapsed="false" customWidth="true" hidden="false" outlineLevel="0" max="13" min="13" style="0" width="13"/>
    <col collapsed="false" customWidth="true" hidden="false" outlineLevel="0" max="16" min="14" style="0" width="14"/>
    <col collapsed="false" customWidth="true" hidden="false" outlineLevel="0" max="17" min="17" style="0" width="15"/>
    <col collapsed="false" customWidth="true" hidden="false" outlineLevel="0" max="18" min="18" style="0" width="14"/>
  </cols>
  <sheetData>
    <row r="1" customFormat="false" ht="31.5" hidden="false" customHeight="true" outlineLevel="0" collapsed="false">
      <c r="A1" s="24" t="s">
        <v>84</v>
      </c>
      <c r="B1" s="24" t="s">
        <v>36</v>
      </c>
      <c r="C1" s="24" t="s">
        <v>85</v>
      </c>
      <c r="D1" s="24" t="s">
        <v>86</v>
      </c>
      <c r="E1" s="24" t="s">
        <v>87</v>
      </c>
      <c r="F1" s="24" t="s">
        <v>88</v>
      </c>
      <c r="G1" s="24" t="s">
        <v>89</v>
      </c>
      <c r="H1" s="24" t="s">
        <v>90</v>
      </c>
      <c r="I1" s="24" t="s">
        <v>91</v>
      </c>
      <c r="J1" s="24" t="s">
        <v>92</v>
      </c>
      <c r="K1" s="25" t="s">
        <v>93</v>
      </c>
      <c r="L1" s="25" t="s">
        <v>94</v>
      </c>
      <c r="M1" s="25" t="s">
        <v>52</v>
      </c>
      <c r="N1" s="25" t="s">
        <v>95</v>
      </c>
      <c r="O1" s="25" t="s">
        <v>96</v>
      </c>
      <c r="P1" s="25" t="s">
        <v>97</v>
      </c>
      <c r="Q1" s="25" t="s">
        <v>43</v>
      </c>
      <c r="R1" s="25" t="s">
        <v>98</v>
      </c>
    </row>
    <row r="2" customFormat="false" ht="15" hidden="false" customHeight="false" outlineLevel="0" collapsed="false">
      <c r="A2" s="26" t="s">
        <v>99</v>
      </c>
      <c r="B2" s="26" t="s">
        <v>50</v>
      </c>
      <c r="C2" s="26" t="s">
        <v>100</v>
      </c>
      <c r="D2" s="26" t="s">
        <v>101</v>
      </c>
      <c r="E2" s="27" t="n">
        <v>42198</v>
      </c>
      <c r="F2" s="27"/>
      <c r="G2" s="26"/>
      <c r="H2" s="28" t="n">
        <v>57000</v>
      </c>
      <c r="I2" s="26" t="n">
        <v>11</v>
      </c>
      <c r="J2" s="26" t="n">
        <v>4</v>
      </c>
      <c r="K2" s="13" t="str">
        <f aca="false">IF(F2="","Active","Left")</f>
        <v>Active</v>
      </c>
      <c r="L2" s="16" t="n">
        <f aca="false">ROUND((IF(F2="",Assumptions!$B$5,F2)-E2)/365.25,1)</f>
        <v>11.2</v>
      </c>
      <c r="M2" s="13" t="str">
        <f aca="false">IF(L2&lt;1,"Under 1 yr",IF(L2&lt;3,"1 to 3 yrs",IF(L2&lt;5,"3 to 5 yrs","5+ yrs")))</f>
        <v>5+ yrs</v>
      </c>
      <c r="N2" s="14" t="n">
        <f aca="false">H2*12</f>
        <v>684000</v>
      </c>
      <c r="O2" s="13" t="n">
        <f aca="false">IF(AND(E2&lt;Assumptions!$B$6,OR(F2="",F2&gt;=Assumptions!$B$6)),1,0)</f>
        <v>1</v>
      </c>
      <c r="P2" s="13" t="n">
        <f aca="false">IF(F2="",0,IF(AND(F2&gt;=Assumptions!$B$6,F2&lt;=Assumptions!$B$5),1,0))</f>
        <v>0</v>
      </c>
      <c r="Q2" s="14" t="n">
        <f aca="false">P2*N2*Assumptions!$B$7</f>
        <v>0</v>
      </c>
      <c r="R2" s="13" t="n">
        <f aca="false">IF(AND(P2=1,J2&gt;=Assumptions!$B$10),1,0)</f>
        <v>0</v>
      </c>
    </row>
    <row r="3" customFormat="false" ht="15" hidden="false" customHeight="false" outlineLevel="0" collapsed="false">
      <c r="A3" s="26" t="s">
        <v>102</v>
      </c>
      <c r="B3" s="26" t="s">
        <v>45</v>
      </c>
      <c r="C3" s="26" t="s">
        <v>100</v>
      </c>
      <c r="D3" s="26" t="s">
        <v>101</v>
      </c>
      <c r="E3" s="27" t="n">
        <v>42411</v>
      </c>
      <c r="F3" s="27"/>
      <c r="G3" s="26"/>
      <c r="H3" s="28" t="n">
        <v>52000</v>
      </c>
      <c r="I3" s="26" t="n">
        <v>7</v>
      </c>
      <c r="J3" s="26" t="n">
        <v>4</v>
      </c>
      <c r="K3" s="13" t="str">
        <f aca="false">IF(F3="","Active","Left")</f>
        <v>Active</v>
      </c>
      <c r="L3" s="16" t="n">
        <f aca="false">ROUND((IF(F3="",Assumptions!$B$5,F3)-E3)/365.25,1)</f>
        <v>10.6</v>
      </c>
      <c r="M3" s="13" t="str">
        <f aca="false">IF(L3&lt;1,"Under 1 yr",IF(L3&lt;3,"1 to 3 yrs",IF(L3&lt;5,"3 to 5 yrs","5+ yrs")))</f>
        <v>5+ yrs</v>
      </c>
      <c r="N3" s="14" t="n">
        <f aca="false">H3*12</f>
        <v>624000</v>
      </c>
      <c r="O3" s="13" t="n">
        <f aca="false">IF(AND(E3&lt;Assumptions!$B$6,OR(F3="",F3&gt;=Assumptions!$B$6)),1,0)</f>
        <v>1</v>
      </c>
      <c r="P3" s="13" t="n">
        <f aca="false">IF(F3="",0,IF(AND(F3&gt;=Assumptions!$B$6,F3&lt;=Assumptions!$B$5),1,0))</f>
        <v>0</v>
      </c>
      <c r="Q3" s="14" t="n">
        <f aca="false">P3*N3*Assumptions!$B$7</f>
        <v>0</v>
      </c>
      <c r="R3" s="13" t="n">
        <f aca="false">IF(AND(P3=1,J3&gt;=Assumptions!$B$10),1,0)</f>
        <v>0</v>
      </c>
    </row>
    <row r="4" customFormat="false" ht="15" hidden="false" customHeight="false" outlineLevel="0" collapsed="false">
      <c r="A4" s="26" t="s">
        <v>103</v>
      </c>
      <c r="B4" s="26" t="s">
        <v>45</v>
      </c>
      <c r="C4" s="26" t="s">
        <v>104</v>
      </c>
      <c r="D4" s="26" t="s">
        <v>105</v>
      </c>
      <c r="E4" s="27" t="n">
        <v>44167</v>
      </c>
      <c r="F4" s="27"/>
      <c r="G4" s="26"/>
      <c r="H4" s="28" t="n">
        <v>124000</v>
      </c>
      <c r="I4" s="26" t="n">
        <v>0</v>
      </c>
      <c r="J4" s="26" t="n">
        <v>4</v>
      </c>
      <c r="K4" s="13" t="str">
        <f aca="false">IF(F4="","Active","Left")</f>
        <v>Active</v>
      </c>
      <c r="L4" s="16" t="n">
        <f aca="false">ROUND((IF(F4="",Assumptions!$B$5,F4)-E4)/365.25,1)</f>
        <v>5.8</v>
      </c>
      <c r="M4" s="13" t="str">
        <f aca="false">IF(L4&lt;1,"Under 1 yr",IF(L4&lt;3,"1 to 3 yrs",IF(L4&lt;5,"3 to 5 yrs","5+ yrs")))</f>
        <v>5+ yrs</v>
      </c>
      <c r="N4" s="14" t="n">
        <f aca="false">H4*12</f>
        <v>1488000</v>
      </c>
      <c r="O4" s="13" t="n">
        <f aca="false">IF(AND(E4&lt;Assumptions!$B$6,OR(F4="",F4&gt;=Assumptions!$B$6)),1,0)</f>
        <v>1</v>
      </c>
      <c r="P4" s="13" t="n">
        <f aca="false">IF(F4="",0,IF(AND(F4&gt;=Assumptions!$B$6,F4&lt;=Assumptions!$B$5),1,0))</f>
        <v>0</v>
      </c>
      <c r="Q4" s="14" t="n">
        <f aca="false">P4*N4*Assumptions!$B$7</f>
        <v>0</v>
      </c>
      <c r="R4" s="13" t="n">
        <f aca="false">IF(AND(P4=1,J4&gt;=Assumptions!$B$10),1,0)</f>
        <v>0</v>
      </c>
    </row>
    <row r="5" customFormat="false" ht="15" hidden="false" customHeight="false" outlineLevel="0" collapsed="false">
      <c r="A5" s="26" t="s">
        <v>106</v>
      </c>
      <c r="B5" s="26" t="s">
        <v>48</v>
      </c>
      <c r="C5" s="26" t="s">
        <v>100</v>
      </c>
      <c r="D5" s="26" t="s">
        <v>105</v>
      </c>
      <c r="E5" s="27" t="n">
        <v>45225</v>
      </c>
      <c r="F5" s="27"/>
      <c r="G5" s="26"/>
      <c r="H5" s="28" t="n">
        <v>55000</v>
      </c>
      <c r="I5" s="26" t="n">
        <v>1</v>
      </c>
      <c r="J5" s="26" t="n">
        <v>3</v>
      </c>
      <c r="K5" s="13" t="str">
        <f aca="false">IF(F5="","Active","Left")</f>
        <v>Active</v>
      </c>
      <c r="L5" s="16" t="n">
        <f aca="false">ROUND((IF(F5="",Assumptions!$B$5,F5)-E5)/365.25,1)</f>
        <v>2.9</v>
      </c>
      <c r="M5" s="13" t="str">
        <f aca="false">IF(L5&lt;1,"Under 1 yr",IF(L5&lt;3,"1 to 3 yrs",IF(L5&lt;5,"3 to 5 yrs","5+ yrs")))</f>
        <v>1 to 3 yrs</v>
      </c>
      <c r="N5" s="14" t="n">
        <f aca="false">H5*12</f>
        <v>660000</v>
      </c>
      <c r="O5" s="13" t="n">
        <f aca="false">IF(AND(E5&lt;Assumptions!$B$6,OR(F5="",F5&gt;=Assumptions!$B$6)),1,0)</f>
        <v>1</v>
      </c>
      <c r="P5" s="13" t="n">
        <f aca="false">IF(F5="",0,IF(AND(F5&gt;=Assumptions!$B$6,F5&lt;=Assumptions!$B$5),1,0))</f>
        <v>0</v>
      </c>
      <c r="Q5" s="14" t="n">
        <f aca="false">P5*N5*Assumptions!$B$7</f>
        <v>0</v>
      </c>
      <c r="R5" s="13" t="n">
        <f aca="false">IF(AND(P5=1,J5&gt;=Assumptions!$B$10),1,0)</f>
        <v>0</v>
      </c>
    </row>
    <row r="6" customFormat="false" ht="15" hidden="false" customHeight="false" outlineLevel="0" collapsed="false">
      <c r="A6" s="26" t="s">
        <v>107</v>
      </c>
      <c r="B6" s="26" t="s">
        <v>46</v>
      </c>
      <c r="C6" s="26" t="s">
        <v>108</v>
      </c>
      <c r="D6" s="26" t="s">
        <v>101</v>
      </c>
      <c r="E6" s="27" t="n">
        <v>45543</v>
      </c>
      <c r="F6" s="27" t="n">
        <v>46202</v>
      </c>
      <c r="G6" s="26" t="s">
        <v>67</v>
      </c>
      <c r="H6" s="28" t="n">
        <v>86000</v>
      </c>
      <c r="I6" s="26" t="n">
        <v>8</v>
      </c>
      <c r="J6" s="26" t="n">
        <v>3</v>
      </c>
      <c r="K6" s="13" t="str">
        <f aca="false">IF(F6="","Active","Left")</f>
        <v>Left</v>
      </c>
      <c r="L6" s="16" t="n">
        <f aca="false">ROUND((IF(F6="",Assumptions!$B$5,F6)-E6)/365.25,1)</f>
        <v>1.8</v>
      </c>
      <c r="M6" s="13" t="str">
        <f aca="false">IF(L6&lt;1,"Under 1 yr",IF(L6&lt;3,"1 to 3 yrs",IF(L6&lt;5,"3 to 5 yrs","5+ yrs")))</f>
        <v>1 to 3 yrs</v>
      </c>
      <c r="N6" s="14" t="n">
        <f aca="false">H6*12</f>
        <v>1032000</v>
      </c>
      <c r="O6" s="13" t="n">
        <f aca="false">IF(AND(E6&lt;Assumptions!$B$6,OR(F6="",F6&gt;=Assumptions!$B$6)),1,0)</f>
        <v>1</v>
      </c>
      <c r="P6" s="13" t="n">
        <f aca="false">IF(F6="",0,IF(AND(F6&gt;=Assumptions!$B$6,F6&lt;=Assumptions!$B$5),1,0))</f>
        <v>1</v>
      </c>
      <c r="Q6" s="14" t="n">
        <f aca="false">P6*N6*Assumptions!$B$7</f>
        <v>516000</v>
      </c>
      <c r="R6" s="13" t="n">
        <f aca="false">IF(AND(P6=1,J6&gt;=Assumptions!$B$10),1,0)</f>
        <v>0</v>
      </c>
    </row>
    <row r="7" customFormat="false" ht="15" hidden="false" customHeight="false" outlineLevel="0" collapsed="false">
      <c r="A7" s="26" t="s">
        <v>109</v>
      </c>
      <c r="B7" s="26" t="s">
        <v>50</v>
      </c>
      <c r="C7" s="26" t="s">
        <v>100</v>
      </c>
      <c r="D7" s="26" t="s">
        <v>101</v>
      </c>
      <c r="E7" s="27" t="n">
        <v>45066</v>
      </c>
      <c r="F7" s="27" t="n">
        <v>45755</v>
      </c>
      <c r="G7" s="26" t="s">
        <v>65</v>
      </c>
      <c r="H7" s="28" t="n">
        <v>52000</v>
      </c>
      <c r="I7" s="26" t="n">
        <v>6</v>
      </c>
      <c r="J7" s="26" t="n">
        <v>4</v>
      </c>
      <c r="K7" s="13" t="str">
        <f aca="false">IF(F7="","Active","Left")</f>
        <v>Left</v>
      </c>
      <c r="L7" s="16" t="n">
        <f aca="false">ROUND((IF(F7="",Assumptions!$B$5,F7)-E7)/365.25,1)</f>
        <v>1.9</v>
      </c>
      <c r="M7" s="13" t="str">
        <f aca="false">IF(L7&lt;1,"Under 1 yr",IF(L7&lt;3,"1 to 3 yrs",IF(L7&lt;5,"3 to 5 yrs","5+ yrs")))</f>
        <v>1 to 3 yrs</v>
      </c>
      <c r="N7" s="14" t="n">
        <f aca="false">H7*12</f>
        <v>624000</v>
      </c>
      <c r="O7" s="13" t="n">
        <f aca="false">IF(AND(E7&lt;Assumptions!$B$6,OR(F7="",F7&gt;=Assumptions!$B$6)),1,0)</f>
        <v>0</v>
      </c>
      <c r="P7" s="13" t="n">
        <f aca="false">IF(F7="",0,IF(AND(F7&gt;=Assumptions!$B$6,F7&lt;=Assumptions!$B$5),1,0))</f>
        <v>0</v>
      </c>
      <c r="Q7" s="14" t="n">
        <f aca="false">P7*N7*Assumptions!$B$7</f>
        <v>0</v>
      </c>
      <c r="R7" s="13" t="n">
        <f aca="false">IF(AND(P7=1,J7&gt;=Assumptions!$B$10),1,0)</f>
        <v>0</v>
      </c>
    </row>
    <row r="8" customFormat="false" ht="15" hidden="false" customHeight="false" outlineLevel="0" collapsed="false">
      <c r="A8" s="26" t="s">
        <v>110</v>
      </c>
      <c r="B8" s="26" t="s">
        <v>50</v>
      </c>
      <c r="C8" s="26" t="s">
        <v>108</v>
      </c>
      <c r="D8" s="26" t="s">
        <v>105</v>
      </c>
      <c r="E8" s="27" t="n">
        <v>42746</v>
      </c>
      <c r="F8" s="27"/>
      <c r="G8" s="26"/>
      <c r="H8" s="28" t="n">
        <v>87000</v>
      </c>
      <c r="I8" s="26" t="n">
        <v>8</v>
      </c>
      <c r="J8" s="26" t="n">
        <v>3</v>
      </c>
      <c r="K8" s="13" t="str">
        <f aca="false">IF(F8="","Active","Left")</f>
        <v>Active</v>
      </c>
      <c r="L8" s="16" t="n">
        <f aca="false">ROUND((IF(F8="",Assumptions!$B$5,F8)-E8)/365.25,1)</f>
        <v>9.7</v>
      </c>
      <c r="M8" s="13" t="str">
        <f aca="false">IF(L8&lt;1,"Under 1 yr",IF(L8&lt;3,"1 to 3 yrs",IF(L8&lt;5,"3 to 5 yrs","5+ yrs")))</f>
        <v>5+ yrs</v>
      </c>
      <c r="N8" s="14" t="n">
        <f aca="false">H8*12</f>
        <v>1044000</v>
      </c>
      <c r="O8" s="13" t="n">
        <f aca="false">IF(AND(E8&lt;Assumptions!$B$6,OR(F8="",F8&gt;=Assumptions!$B$6)),1,0)</f>
        <v>1</v>
      </c>
      <c r="P8" s="13" t="n">
        <f aca="false">IF(F8="",0,IF(AND(F8&gt;=Assumptions!$B$6,F8&lt;=Assumptions!$B$5),1,0))</f>
        <v>0</v>
      </c>
      <c r="Q8" s="14" t="n">
        <f aca="false">P8*N8*Assumptions!$B$7</f>
        <v>0</v>
      </c>
      <c r="R8" s="13" t="n">
        <f aca="false">IF(AND(P8=1,J8&gt;=Assumptions!$B$10),1,0)</f>
        <v>0</v>
      </c>
    </row>
    <row r="9" customFormat="false" ht="15" hidden="false" customHeight="false" outlineLevel="0" collapsed="false">
      <c r="A9" s="26" t="s">
        <v>111</v>
      </c>
      <c r="B9" s="26" t="s">
        <v>46</v>
      </c>
      <c r="C9" s="26" t="s">
        <v>100</v>
      </c>
      <c r="D9" s="26" t="s">
        <v>105</v>
      </c>
      <c r="E9" s="27" t="n">
        <v>43589</v>
      </c>
      <c r="F9" s="27"/>
      <c r="G9" s="26"/>
      <c r="H9" s="28" t="n">
        <v>46000</v>
      </c>
      <c r="I9" s="26" t="n">
        <v>3</v>
      </c>
      <c r="J9" s="26" t="n">
        <v>3</v>
      </c>
      <c r="K9" s="13" t="str">
        <f aca="false">IF(F9="","Active","Left")</f>
        <v>Active</v>
      </c>
      <c r="L9" s="16" t="n">
        <f aca="false">ROUND((IF(F9="",Assumptions!$B$5,F9)-E9)/365.25,1)</f>
        <v>7.4</v>
      </c>
      <c r="M9" s="13" t="str">
        <f aca="false">IF(L9&lt;1,"Under 1 yr",IF(L9&lt;3,"1 to 3 yrs",IF(L9&lt;5,"3 to 5 yrs","5+ yrs")))</f>
        <v>5+ yrs</v>
      </c>
      <c r="N9" s="14" t="n">
        <f aca="false">H9*12</f>
        <v>552000</v>
      </c>
      <c r="O9" s="13" t="n">
        <f aca="false">IF(AND(E9&lt;Assumptions!$B$6,OR(F9="",F9&gt;=Assumptions!$B$6)),1,0)</f>
        <v>1</v>
      </c>
      <c r="P9" s="13" t="n">
        <f aca="false">IF(F9="",0,IF(AND(F9&gt;=Assumptions!$B$6,F9&lt;=Assumptions!$B$5),1,0))</f>
        <v>0</v>
      </c>
      <c r="Q9" s="14" t="n">
        <f aca="false">P9*N9*Assumptions!$B$7</f>
        <v>0</v>
      </c>
      <c r="R9" s="13" t="n">
        <f aca="false">IF(AND(P9=1,J9&gt;=Assumptions!$B$10),1,0)</f>
        <v>0</v>
      </c>
    </row>
    <row r="10" customFormat="false" ht="15" hidden="false" customHeight="false" outlineLevel="0" collapsed="false">
      <c r="A10" s="26" t="s">
        <v>112</v>
      </c>
      <c r="B10" s="26" t="s">
        <v>46</v>
      </c>
      <c r="C10" s="26" t="s">
        <v>100</v>
      </c>
      <c r="D10" s="26" t="s">
        <v>105</v>
      </c>
      <c r="E10" s="27" t="n">
        <v>42307</v>
      </c>
      <c r="F10" s="27" t="n">
        <v>45998</v>
      </c>
      <c r="G10" s="26" t="s">
        <v>66</v>
      </c>
      <c r="H10" s="28" t="n">
        <v>55000</v>
      </c>
      <c r="I10" s="26" t="n">
        <v>4</v>
      </c>
      <c r="J10" s="26" t="n">
        <v>2</v>
      </c>
      <c r="K10" s="13" t="str">
        <f aca="false">IF(F10="","Active","Left")</f>
        <v>Left</v>
      </c>
      <c r="L10" s="16" t="n">
        <f aca="false">ROUND((IF(F10="",Assumptions!$B$5,F10)-E10)/365.25,1)</f>
        <v>10.1</v>
      </c>
      <c r="M10" s="13" t="str">
        <f aca="false">IF(L10&lt;1,"Under 1 yr",IF(L10&lt;3,"1 to 3 yrs",IF(L10&lt;5,"3 to 5 yrs","5+ yrs")))</f>
        <v>5+ yrs</v>
      </c>
      <c r="N10" s="14" t="n">
        <f aca="false">H10*12</f>
        <v>660000</v>
      </c>
      <c r="O10" s="13" t="n">
        <f aca="false">IF(AND(E10&lt;Assumptions!$B$6,OR(F10="",F10&gt;=Assumptions!$B$6)),1,0)</f>
        <v>1</v>
      </c>
      <c r="P10" s="13" t="n">
        <f aca="false">IF(F10="",0,IF(AND(F10&gt;=Assumptions!$B$6,F10&lt;=Assumptions!$B$5),1,0))</f>
        <v>1</v>
      </c>
      <c r="Q10" s="14" t="n">
        <f aca="false">P10*N10*Assumptions!$B$7</f>
        <v>330000</v>
      </c>
      <c r="R10" s="13" t="n">
        <f aca="false">IF(AND(P10=1,J10&gt;=Assumptions!$B$10),1,0)</f>
        <v>0</v>
      </c>
    </row>
    <row r="11" customFormat="false" ht="15" hidden="false" customHeight="false" outlineLevel="0" collapsed="false">
      <c r="A11" s="26" t="s">
        <v>113</v>
      </c>
      <c r="B11" s="26" t="s">
        <v>46</v>
      </c>
      <c r="C11" s="26" t="s">
        <v>104</v>
      </c>
      <c r="D11" s="26" t="s">
        <v>105</v>
      </c>
      <c r="E11" s="27" t="n">
        <v>45778</v>
      </c>
      <c r="F11" s="27" t="n">
        <v>45991</v>
      </c>
      <c r="G11" s="26" t="s">
        <v>63</v>
      </c>
      <c r="H11" s="28" t="n">
        <v>177000</v>
      </c>
      <c r="I11" s="26" t="n">
        <v>0</v>
      </c>
      <c r="J11" s="26" t="n">
        <v>3</v>
      </c>
      <c r="K11" s="13" t="str">
        <f aca="false">IF(F11="","Active","Left")</f>
        <v>Left</v>
      </c>
      <c r="L11" s="16" t="n">
        <f aca="false">ROUND((IF(F11="",Assumptions!$B$5,F11)-E11)/365.25,1)</f>
        <v>0.6</v>
      </c>
      <c r="M11" s="13" t="str">
        <f aca="false">IF(L11&lt;1,"Under 1 yr",IF(L11&lt;3,"1 to 3 yrs",IF(L11&lt;5,"3 to 5 yrs","5+ yrs")))</f>
        <v>Under 1 yr</v>
      </c>
      <c r="N11" s="14" t="n">
        <f aca="false">H11*12</f>
        <v>2124000</v>
      </c>
      <c r="O11" s="13" t="n">
        <f aca="false">IF(AND(E11&lt;Assumptions!$B$6,OR(F11="",F11&gt;=Assumptions!$B$6)),1,0)</f>
        <v>1</v>
      </c>
      <c r="P11" s="13" t="n">
        <f aca="false">IF(F11="",0,IF(AND(F11&gt;=Assumptions!$B$6,F11&lt;=Assumptions!$B$5),1,0))</f>
        <v>1</v>
      </c>
      <c r="Q11" s="14" t="n">
        <f aca="false">P11*N11*Assumptions!$B$7</f>
        <v>1062000</v>
      </c>
      <c r="R11" s="13" t="n">
        <f aca="false">IF(AND(P11=1,J11&gt;=Assumptions!$B$10),1,0)</f>
        <v>0</v>
      </c>
    </row>
    <row r="12" customFormat="false" ht="15" hidden="false" customHeight="false" outlineLevel="0" collapsed="false">
      <c r="A12" s="26" t="s">
        <v>114</v>
      </c>
      <c r="B12" s="26" t="s">
        <v>50</v>
      </c>
      <c r="C12" s="26" t="s">
        <v>108</v>
      </c>
      <c r="D12" s="26" t="s">
        <v>101</v>
      </c>
      <c r="E12" s="27" t="n">
        <v>45880</v>
      </c>
      <c r="F12" s="27"/>
      <c r="G12" s="26"/>
      <c r="H12" s="28" t="n">
        <v>105000</v>
      </c>
      <c r="I12" s="26" t="n">
        <v>4</v>
      </c>
      <c r="J12" s="26" t="n">
        <v>5</v>
      </c>
      <c r="K12" s="13" t="str">
        <f aca="false">IF(F12="","Active","Left")</f>
        <v>Active</v>
      </c>
      <c r="L12" s="16" t="n">
        <f aca="false">ROUND((IF(F12="",Assumptions!$B$5,F12)-E12)/365.25,1)</f>
        <v>1.1</v>
      </c>
      <c r="M12" s="13" t="str">
        <f aca="false">IF(L12&lt;1,"Under 1 yr",IF(L12&lt;3,"1 to 3 yrs",IF(L12&lt;5,"3 to 5 yrs","5+ yrs")))</f>
        <v>1 to 3 yrs</v>
      </c>
      <c r="N12" s="14" t="n">
        <f aca="false">H12*12</f>
        <v>1260000</v>
      </c>
      <c r="O12" s="13" t="n">
        <f aca="false">IF(AND(E12&lt;Assumptions!$B$6,OR(F12="",F12&gt;=Assumptions!$B$6)),1,0)</f>
        <v>1</v>
      </c>
      <c r="P12" s="13" t="n">
        <f aca="false">IF(F12="",0,IF(AND(F12&gt;=Assumptions!$B$6,F12&lt;=Assumptions!$B$5),1,0))</f>
        <v>0</v>
      </c>
      <c r="Q12" s="14" t="n">
        <f aca="false">P12*N12*Assumptions!$B$7</f>
        <v>0</v>
      </c>
      <c r="R12" s="13" t="n">
        <f aca="false">IF(AND(P12=1,J12&gt;=Assumptions!$B$10),1,0)</f>
        <v>0</v>
      </c>
    </row>
    <row r="13" customFormat="false" ht="15" hidden="false" customHeight="false" outlineLevel="0" collapsed="false">
      <c r="A13" s="26" t="s">
        <v>115</v>
      </c>
      <c r="B13" s="26" t="s">
        <v>45</v>
      </c>
      <c r="C13" s="26" t="s">
        <v>108</v>
      </c>
      <c r="D13" s="26" t="s">
        <v>101</v>
      </c>
      <c r="E13" s="27" t="n">
        <v>42529</v>
      </c>
      <c r="F13" s="27"/>
      <c r="G13" s="26"/>
      <c r="H13" s="28" t="n">
        <v>104000</v>
      </c>
      <c r="I13" s="26" t="n">
        <v>9</v>
      </c>
      <c r="J13" s="26" t="n">
        <v>4</v>
      </c>
      <c r="K13" s="13" t="str">
        <f aca="false">IF(F13="","Active","Left")</f>
        <v>Active</v>
      </c>
      <c r="L13" s="16" t="n">
        <f aca="false">ROUND((IF(F13="",Assumptions!$B$5,F13)-E13)/365.25,1)</f>
        <v>10.3</v>
      </c>
      <c r="M13" s="13" t="str">
        <f aca="false">IF(L13&lt;1,"Under 1 yr",IF(L13&lt;3,"1 to 3 yrs",IF(L13&lt;5,"3 to 5 yrs","5+ yrs")))</f>
        <v>5+ yrs</v>
      </c>
      <c r="N13" s="14" t="n">
        <f aca="false">H13*12</f>
        <v>1248000</v>
      </c>
      <c r="O13" s="13" t="n">
        <f aca="false">IF(AND(E13&lt;Assumptions!$B$6,OR(F13="",F13&gt;=Assumptions!$B$6)),1,0)</f>
        <v>1</v>
      </c>
      <c r="P13" s="13" t="n">
        <f aca="false">IF(F13="",0,IF(AND(F13&gt;=Assumptions!$B$6,F13&lt;=Assumptions!$B$5),1,0))</f>
        <v>0</v>
      </c>
      <c r="Q13" s="14" t="n">
        <f aca="false">P13*N13*Assumptions!$B$7</f>
        <v>0</v>
      </c>
      <c r="R13" s="13" t="n">
        <f aca="false">IF(AND(P13=1,J13&gt;=Assumptions!$B$10),1,0)</f>
        <v>0</v>
      </c>
    </row>
    <row r="14" customFormat="false" ht="15" hidden="false" customHeight="false" outlineLevel="0" collapsed="false">
      <c r="A14" s="26" t="s">
        <v>116</v>
      </c>
      <c r="B14" s="26" t="s">
        <v>45</v>
      </c>
      <c r="C14" s="26" t="s">
        <v>100</v>
      </c>
      <c r="D14" s="26" t="s">
        <v>105</v>
      </c>
      <c r="E14" s="27" t="n">
        <v>43566</v>
      </c>
      <c r="F14" s="27"/>
      <c r="G14" s="26"/>
      <c r="H14" s="28" t="n">
        <v>41000</v>
      </c>
      <c r="I14" s="26" t="n">
        <v>1</v>
      </c>
      <c r="J14" s="26" t="n">
        <v>2</v>
      </c>
      <c r="K14" s="13" t="str">
        <f aca="false">IF(F14="","Active","Left")</f>
        <v>Active</v>
      </c>
      <c r="L14" s="16" t="n">
        <f aca="false">ROUND((IF(F14="",Assumptions!$B$5,F14)-E14)/365.25,1)</f>
        <v>7.5</v>
      </c>
      <c r="M14" s="13" t="str">
        <f aca="false">IF(L14&lt;1,"Under 1 yr",IF(L14&lt;3,"1 to 3 yrs",IF(L14&lt;5,"3 to 5 yrs","5+ yrs")))</f>
        <v>5+ yrs</v>
      </c>
      <c r="N14" s="14" t="n">
        <f aca="false">H14*12</f>
        <v>492000</v>
      </c>
      <c r="O14" s="13" t="n">
        <f aca="false">IF(AND(E14&lt;Assumptions!$B$6,OR(F14="",F14&gt;=Assumptions!$B$6)),1,0)</f>
        <v>1</v>
      </c>
      <c r="P14" s="13" t="n">
        <f aca="false">IF(F14="",0,IF(AND(F14&gt;=Assumptions!$B$6,F14&lt;=Assumptions!$B$5),1,0))</f>
        <v>0</v>
      </c>
      <c r="Q14" s="14" t="n">
        <f aca="false">P14*N14*Assumptions!$B$7</f>
        <v>0</v>
      </c>
      <c r="R14" s="13" t="n">
        <f aca="false">IF(AND(P14=1,J14&gt;=Assumptions!$B$10),1,0)</f>
        <v>0</v>
      </c>
    </row>
    <row r="15" customFormat="false" ht="15" hidden="false" customHeight="false" outlineLevel="0" collapsed="false">
      <c r="A15" s="26" t="s">
        <v>117</v>
      </c>
      <c r="B15" s="26" t="s">
        <v>46</v>
      </c>
      <c r="C15" s="26" t="s">
        <v>100</v>
      </c>
      <c r="D15" s="26" t="s">
        <v>105</v>
      </c>
      <c r="E15" s="27" t="n">
        <v>45854</v>
      </c>
      <c r="F15" s="27"/>
      <c r="G15" s="26"/>
      <c r="H15" s="28" t="n">
        <v>38000</v>
      </c>
      <c r="I15" s="26" t="n">
        <v>4</v>
      </c>
      <c r="J15" s="26" t="n">
        <v>1</v>
      </c>
      <c r="K15" s="13" t="str">
        <f aca="false">IF(F15="","Active","Left")</f>
        <v>Active</v>
      </c>
      <c r="L15" s="16" t="n">
        <f aca="false">ROUND((IF(F15="",Assumptions!$B$5,F15)-E15)/365.25,1)</f>
        <v>1.2</v>
      </c>
      <c r="M15" s="13" t="str">
        <f aca="false">IF(L15&lt;1,"Under 1 yr",IF(L15&lt;3,"1 to 3 yrs",IF(L15&lt;5,"3 to 5 yrs","5+ yrs")))</f>
        <v>1 to 3 yrs</v>
      </c>
      <c r="N15" s="14" t="n">
        <f aca="false">H15*12</f>
        <v>456000</v>
      </c>
      <c r="O15" s="13" t="n">
        <f aca="false">IF(AND(E15&lt;Assumptions!$B$6,OR(F15="",F15&gt;=Assumptions!$B$6)),1,0)</f>
        <v>1</v>
      </c>
      <c r="P15" s="13" t="n">
        <f aca="false">IF(F15="",0,IF(AND(F15&gt;=Assumptions!$B$6,F15&lt;=Assumptions!$B$5),1,0))</f>
        <v>0</v>
      </c>
      <c r="Q15" s="14" t="n">
        <f aca="false">P15*N15*Assumptions!$B$7</f>
        <v>0</v>
      </c>
      <c r="R15" s="13" t="n">
        <f aca="false">IF(AND(P15=1,J15&gt;=Assumptions!$B$10),1,0)</f>
        <v>0</v>
      </c>
    </row>
    <row r="16" customFormat="false" ht="15" hidden="false" customHeight="false" outlineLevel="0" collapsed="false">
      <c r="A16" s="26" t="s">
        <v>118</v>
      </c>
      <c r="B16" s="26" t="s">
        <v>46</v>
      </c>
      <c r="C16" s="26" t="s">
        <v>104</v>
      </c>
      <c r="D16" s="26" t="s">
        <v>101</v>
      </c>
      <c r="E16" s="27" t="n">
        <v>42275</v>
      </c>
      <c r="F16" s="27"/>
      <c r="G16" s="26"/>
      <c r="H16" s="28" t="n">
        <v>158000</v>
      </c>
      <c r="I16" s="26" t="n">
        <v>9</v>
      </c>
      <c r="J16" s="26" t="n">
        <v>3</v>
      </c>
      <c r="K16" s="13" t="str">
        <f aca="false">IF(F16="","Active","Left")</f>
        <v>Active</v>
      </c>
      <c r="L16" s="16" t="n">
        <f aca="false">ROUND((IF(F16="",Assumptions!$B$5,F16)-E16)/365.25,1)</f>
        <v>11</v>
      </c>
      <c r="M16" s="13" t="str">
        <f aca="false">IF(L16&lt;1,"Under 1 yr",IF(L16&lt;3,"1 to 3 yrs",IF(L16&lt;5,"3 to 5 yrs","5+ yrs")))</f>
        <v>5+ yrs</v>
      </c>
      <c r="N16" s="14" t="n">
        <f aca="false">H16*12</f>
        <v>1896000</v>
      </c>
      <c r="O16" s="13" t="n">
        <f aca="false">IF(AND(E16&lt;Assumptions!$B$6,OR(F16="",F16&gt;=Assumptions!$B$6)),1,0)</f>
        <v>1</v>
      </c>
      <c r="P16" s="13" t="n">
        <f aca="false">IF(F16="",0,IF(AND(F16&gt;=Assumptions!$B$6,F16&lt;=Assumptions!$B$5),1,0))</f>
        <v>0</v>
      </c>
      <c r="Q16" s="14" t="n">
        <f aca="false">P16*N16*Assumptions!$B$7</f>
        <v>0</v>
      </c>
      <c r="R16" s="13" t="n">
        <f aca="false">IF(AND(P16=1,J16&gt;=Assumptions!$B$10),1,0)</f>
        <v>0</v>
      </c>
    </row>
    <row r="17" customFormat="false" ht="15" hidden="false" customHeight="false" outlineLevel="0" collapsed="false">
      <c r="A17" s="26" t="s">
        <v>119</v>
      </c>
      <c r="B17" s="26" t="s">
        <v>46</v>
      </c>
      <c r="C17" s="26" t="s">
        <v>100</v>
      </c>
      <c r="D17" s="26" t="s">
        <v>105</v>
      </c>
      <c r="E17" s="27" t="n">
        <v>44186</v>
      </c>
      <c r="F17" s="27"/>
      <c r="G17" s="26"/>
      <c r="H17" s="28" t="n">
        <v>53000</v>
      </c>
      <c r="I17" s="26" t="n">
        <v>6</v>
      </c>
      <c r="J17" s="26" t="n">
        <v>2</v>
      </c>
      <c r="K17" s="13" t="str">
        <f aca="false">IF(F17="","Active","Left")</f>
        <v>Active</v>
      </c>
      <c r="L17" s="16" t="n">
        <f aca="false">ROUND((IF(F17="",Assumptions!$B$5,F17)-E17)/365.25,1)</f>
        <v>5.8</v>
      </c>
      <c r="M17" s="13" t="str">
        <f aca="false">IF(L17&lt;1,"Under 1 yr",IF(L17&lt;3,"1 to 3 yrs",IF(L17&lt;5,"3 to 5 yrs","5+ yrs")))</f>
        <v>5+ yrs</v>
      </c>
      <c r="N17" s="14" t="n">
        <f aca="false">H17*12</f>
        <v>636000</v>
      </c>
      <c r="O17" s="13" t="n">
        <f aca="false">IF(AND(E17&lt;Assumptions!$B$6,OR(F17="",F17&gt;=Assumptions!$B$6)),1,0)</f>
        <v>1</v>
      </c>
      <c r="P17" s="13" t="n">
        <f aca="false">IF(F17="",0,IF(AND(F17&gt;=Assumptions!$B$6,F17&lt;=Assumptions!$B$5),1,0))</f>
        <v>0</v>
      </c>
      <c r="Q17" s="14" t="n">
        <f aca="false">P17*N17*Assumptions!$B$7</f>
        <v>0</v>
      </c>
      <c r="R17" s="13" t="n">
        <f aca="false">IF(AND(P17=1,J17&gt;=Assumptions!$B$10),1,0)</f>
        <v>0</v>
      </c>
    </row>
    <row r="18" customFormat="false" ht="15" hidden="false" customHeight="false" outlineLevel="0" collapsed="false">
      <c r="A18" s="26" t="s">
        <v>120</v>
      </c>
      <c r="B18" s="26" t="s">
        <v>50</v>
      </c>
      <c r="C18" s="26" t="s">
        <v>100</v>
      </c>
      <c r="D18" s="26" t="s">
        <v>101</v>
      </c>
      <c r="E18" s="27" t="n">
        <v>42250</v>
      </c>
      <c r="F18" s="27"/>
      <c r="G18" s="26"/>
      <c r="H18" s="28" t="n">
        <v>36000</v>
      </c>
      <c r="I18" s="26" t="n">
        <v>10</v>
      </c>
      <c r="J18" s="26" t="n">
        <v>4</v>
      </c>
      <c r="K18" s="13" t="str">
        <f aca="false">IF(F18="","Active","Left")</f>
        <v>Active</v>
      </c>
      <c r="L18" s="16" t="n">
        <f aca="false">ROUND((IF(F18="",Assumptions!$B$5,F18)-E18)/365.25,1)</f>
        <v>11.1</v>
      </c>
      <c r="M18" s="13" t="str">
        <f aca="false">IF(L18&lt;1,"Under 1 yr",IF(L18&lt;3,"1 to 3 yrs",IF(L18&lt;5,"3 to 5 yrs","5+ yrs")))</f>
        <v>5+ yrs</v>
      </c>
      <c r="N18" s="14" t="n">
        <f aca="false">H18*12</f>
        <v>432000</v>
      </c>
      <c r="O18" s="13" t="n">
        <f aca="false">IF(AND(E18&lt;Assumptions!$B$6,OR(F18="",F18&gt;=Assumptions!$B$6)),1,0)</f>
        <v>1</v>
      </c>
      <c r="P18" s="13" t="n">
        <f aca="false">IF(F18="",0,IF(AND(F18&gt;=Assumptions!$B$6,F18&lt;=Assumptions!$B$5),1,0))</f>
        <v>0</v>
      </c>
      <c r="Q18" s="14" t="n">
        <f aca="false">P18*N18*Assumptions!$B$7</f>
        <v>0</v>
      </c>
      <c r="R18" s="13" t="n">
        <f aca="false">IF(AND(P18=1,J18&gt;=Assumptions!$B$10),1,0)</f>
        <v>0</v>
      </c>
    </row>
    <row r="19" customFormat="false" ht="15" hidden="false" customHeight="false" outlineLevel="0" collapsed="false">
      <c r="A19" s="26" t="s">
        <v>121</v>
      </c>
      <c r="B19" s="26" t="s">
        <v>45</v>
      </c>
      <c r="C19" s="26" t="s">
        <v>108</v>
      </c>
      <c r="D19" s="26" t="s">
        <v>101</v>
      </c>
      <c r="E19" s="27" t="n">
        <v>45715</v>
      </c>
      <c r="F19" s="27"/>
      <c r="G19" s="26"/>
      <c r="H19" s="28" t="n">
        <v>94000</v>
      </c>
      <c r="I19" s="26" t="n">
        <v>1</v>
      </c>
      <c r="J19" s="26" t="n">
        <v>2</v>
      </c>
      <c r="K19" s="13" t="str">
        <f aca="false">IF(F19="","Active","Left")</f>
        <v>Active</v>
      </c>
      <c r="L19" s="16" t="n">
        <f aca="false">ROUND((IF(F19="",Assumptions!$B$5,F19)-E19)/365.25,1)</f>
        <v>1.6</v>
      </c>
      <c r="M19" s="13" t="str">
        <f aca="false">IF(L19&lt;1,"Under 1 yr",IF(L19&lt;3,"1 to 3 yrs",IF(L19&lt;5,"3 to 5 yrs","5+ yrs")))</f>
        <v>1 to 3 yrs</v>
      </c>
      <c r="N19" s="14" t="n">
        <f aca="false">H19*12</f>
        <v>1128000</v>
      </c>
      <c r="O19" s="13" t="n">
        <f aca="false">IF(AND(E19&lt;Assumptions!$B$6,OR(F19="",F19&gt;=Assumptions!$B$6)),1,0)</f>
        <v>1</v>
      </c>
      <c r="P19" s="13" t="n">
        <f aca="false">IF(F19="",0,IF(AND(F19&gt;=Assumptions!$B$6,F19&lt;=Assumptions!$B$5),1,0))</f>
        <v>0</v>
      </c>
      <c r="Q19" s="14" t="n">
        <f aca="false">P19*N19*Assumptions!$B$7</f>
        <v>0</v>
      </c>
      <c r="R19" s="13" t="n">
        <f aca="false">IF(AND(P19=1,J19&gt;=Assumptions!$B$10),1,0)</f>
        <v>0</v>
      </c>
    </row>
    <row r="20" customFormat="false" ht="15" hidden="false" customHeight="false" outlineLevel="0" collapsed="false">
      <c r="A20" s="26" t="s">
        <v>122</v>
      </c>
      <c r="B20" s="26" t="s">
        <v>46</v>
      </c>
      <c r="C20" s="26" t="s">
        <v>104</v>
      </c>
      <c r="D20" s="26" t="s">
        <v>101</v>
      </c>
      <c r="E20" s="27" t="n">
        <v>42079</v>
      </c>
      <c r="F20" s="27"/>
      <c r="G20" s="26"/>
      <c r="H20" s="28" t="n">
        <v>123000</v>
      </c>
      <c r="I20" s="26" t="n">
        <v>7</v>
      </c>
      <c r="J20" s="26" t="n">
        <v>3</v>
      </c>
      <c r="K20" s="13" t="str">
        <f aca="false">IF(F20="","Active","Left")</f>
        <v>Active</v>
      </c>
      <c r="L20" s="16" t="n">
        <f aca="false">ROUND((IF(F20="",Assumptions!$B$5,F20)-E20)/365.25,1)</f>
        <v>11.5</v>
      </c>
      <c r="M20" s="13" t="str">
        <f aca="false">IF(L20&lt;1,"Under 1 yr",IF(L20&lt;3,"1 to 3 yrs",IF(L20&lt;5,"3 to 5 yrs","5+ yrs")))</f>
        <v>5+ yrs</v>
      </c>
      <c r="N20" s="14" t="n">
        <f aca="false">H20*12</f>
        <v>1476000</v>
      </c>
      <c r="O20" s="13" t="n">
        <f aca="false">IF(AND(E20&lt;Assumptions!$B$6,OR(F20="",F20&gt;=Assumptions!$B$6)),1,0)</f>
        <v>1</v>
      </c>
      <c r="P20" s="13" t="n">
        <f aca="false">IF(F20="",0,IF(AND(F20&gt;=Assumptions!$B$6,F20&lt;=Assumptions!$B$5),1,0))</f>
        <v>0</v>
      </c>
      <c r="Q20" s="14" t="n">
        <f aca="false">P20*N20*Assumptions!$B$7</f>
        <v>0</v>
      </c>
      <c r="R20" s="13" t="n">
        <f aca="false">IF(AND(P20=1,J20&gt;=Assumptions!$B$10),1,0)</f>
        <v>0</v>
      </c>
    </row>
    <row r="21" customFormat="false" ht="15" hidden="false" customHeight="false" outlineLevel="0" collapsed="false">
      <c r="A21" s="26" t="s">
        <v>123</v>
      </c>
      <c r="B21" s="26" t="s">
        <v>50</v>
      </c>
      <c r="C21" s="26" t="s">
        <v>100</v>
      </c>
      <c r="D21" s="26" t="s">
        <v>101</v>
      </c>
      <c r="E21" s="27" t="n">
        <v>44128</v>
      </c>
      <c r="F21" s="27"/>
      <c r="G21" s="26"/>
      <c r="H21" s="28" t="n">
        <v>60000</v>
      </c>
      <c r="I21" s="26" t="n">
        <v>12</v>
      </c>
      <c r="J21" s="26" t="n">
        <v>4</v>
      </c>
      <c r="K21" s="13" t="str">
        <f aca="false">IF(F21="","Active","Left")</f>
        <v>Active</v>
      </c>
      <c r="L21" s="16" t="n">
        <f aca="false">ROUND((IF(F21="",Assumptions!$B$5,F21)-E21)/365.25,1)</f>
        <v>5.9</v>
      </c>
      <c r="M21" s="13" t="str">
        <f aca="false">IF(L21&lt;1,"Under 1 yr",IF(L21&lt;3,"1 to 3 yrs",IF(L21&lt;5,"3 to 5 yrs","5+ yrs")))</f>
        <v>5+ yrs</v>
      </c>
      <c r="N21" s="14" t="n">
        <f aca="false">H21*12</f>
        <v>720000</v>
      </c>
      <c r="O21" s="13" t="n">
        <f aca="false">IF(AND(E21&lt;Assumptions!$B$6,OR(F21="",F21&gt;=Assumptions!$B$6)),1,0)</f>
        <v>1</v>
      </c>
      <c r="P21" s="13" t="n">
        <f aca="false">IF(F21="",0,IF(AND(F21&gt;=Assumptions!$B$6,F21&lt;=Assumptions!$B$5),1,0))</f>
        <v>0</v>
      </c>
      <c r="Q21" s="14" t="n">
        <f aca="false">P21*N21*Assumptions!$B$7</f>
        <v>0</v>
      </c>
      <c r="R21" s="13" t="n">
        <f aca="false">IF(AND(P21=1,J21&gt;=Assumptions!$B$10),1,0)</f>
        <v>0</v>
      </c>
    </row>
    <row r="22" customFormat="false" ht="15" hidden="false" customHeight="false" outlineLevel="0" collapsed="false">
      <c r="A22" s="26" t="s">
        <v>124</v>
      </c>
      <c r="B22" s="26" t="s">
        <v>50</v>
      </c>
      <c r="C22" s="26" t="s">
        <v>125</v>
      </c>
      <c r="D22" s="26" t="s">
        <v>105</v>
      </c>
      <c r="E22" s="27" t="n">
        <v>43565</v>
      </c>
      <c r="F22" s="27"/>
      <c r="G22" s="26"/>
      <c r="H22" s="28" t="n">
        <v>292000</v>
      </c>
      <c r="I22" s="26" t="n">
        <v>8</v>
      </c>
      <c r="J22" s="26" t="n">
        <v>4</v>
      </c>
      <c r="K22" s="13" t="str">
        <f aca="false">IF(F22="","Active","Left")</f>
        <v>Active</v>
      </c>
      <c r="L22" s="16" t="n">
        <f aca="false">ROUND((IF(F22="",Assumptions!$B$5,F22)-E22)/365.25,1)</f>
        <v>7.5</v>
      </c>
      <c r="M22" s="13" t="str">
        <f aca="false">IF(L22&lt;1,"Under 1 yr",IF(L22&lt;3,"1 to 3 yrs",IF(L22&lt;5,"3 to 5 yrs","5+ yrs")))</f>
        <v>5+ yrs</v>
      </c>
      <c r="N22" s="14" t="n">
        <f aca="false">H22*12</f>
        <v>3504000</v>
      </c>
      <c r="O22" s="13" t="n">
        <f aca="false">IF(AND(E22&lt;Assumptions!$B$6,OR(F22="",F22&gt;=Assumptions!$B$6)),1,0)</f>
        <v>1</v>
      </c>
      <c r="P22" s="13" t="n">
        <f aca="false">IF(F22="",0,IF(AND(F22&gt;=Assumptions!$B$6,F22&lt;=Assumptions!$B$5),1,0))</f>
        <v>0</v>
      </c>
      <c r="Q22" s="14" t="n">
        <f aca="false">P22*N22*Assumptions!$B$7</f>
        <v>0</v>
      </c>
      <c r="R22" s="13" t="n">
        <f aca="false">IF(AND(P22=1,J22&gt;=Assumptions!$B$10),1,0)</f>
        <v>0</v>
      </c>
    </row>
    <row r="23" customFormat="false" ht="15" hidden="false" customHeight="false" outlineLevel="0" collapsed="false">
      <c r="A23" s="26" t="s">
        <v>126</v>
      </c>
      <c r="B23" s="26" t="s">
        <v>45</v>
      </c>
      <c r="C23" s="26" t="s">
        <v>104</v>
      </c>
      <c r="D23" s="26" t="s">
        <v>101</v>
      </c>
      <c r="E23" s="27" t="n">
        <v>44776</v>
      </c>
      <c r="F23" s="27" t="n">
        <v>46195</v>
      </c>
      <c r="G23" s="26" t="s">
        <v>64</v>
      </c>
      <c r="H23" s="28" t="n">
        <v>135000</v>
      </c>
      <c r="I23" s="26" t="n">
        <v>2</v>
      </c>
      <c r="J23" s="26" t="n">
        <v>4</v>
      </c>
      <c r="K23" s="13" t="str">
        <f aca="false">IF(F23="","Active","Left")</f>
        <v>Left</v>
      </c>
      <c r="L23" s="16" t="n">
        <f aca="false">ROUND((IF(F23="",Assumptions!$B$5,F23)-E23)/365.25,1)</f>
        <v>3.9</v>
      </c>
      <c r="M23" s="13" t="str">
        <f aca="false">IF(L23&lt;1,"Under 1 yr",IF(L23&lt;3,"1 to 3 yrs",IF(L23&lt;5,"3 to 5 yrs","5+ yrs")))</f>
        <v>3 to 5 yrs</v>
      </c>
      <c r="N23" s="14" t="n">
        <f aca="false">H23*12</f>
        <v>1620000</v>
      </c>
      <c r="O23" s="13" t="n">
        <f aca="false">IF(AND(E23&lt;Assumptions!$B$6,OR(F23="",F23&gt;=Assumptions!$B$6)),1,0)</f>
        <v>1</v>
      </c>
      <c r="P23" s="13" t="n">
        <f aca="false">IF(F23="",0,IF(AND(F23&gt;=Assumptions!$B$6,F23&lt;=Assumptions!$B$5),1,0))</f>
        <v>1</v>
      </c>
      <c r="Q23" s="14" t="n">
        <f aca="false">P23*N23*Assumptions!$B$7</f>
        <v>810000</v>
      </c>
      <c r="R23" s="13" t="n">
        <f aca="false">IF(AND(P23=1,J23&gt;=Assumptions!$B$10),1,0)</f>
        <v>1</v>
      </c>
    </row>
    <row r="24" customFormat="false" ht="15" hidden="false" customHeight="false" outlineLevel="0" collapsed="false">
      <c r="A24" s="26" t="s">
        <v>127</v>
      </c>
      <c r="B24" s="26" t="s">
        <v>48</v>
      </c>
      <c r="C24" s="26" t="s">
        <v>108</v>
      </c>
      <c r="D24" s="26" t="s">
        <v>105</v>
      </c>
      <c r="E24" s="27" t="n">
        <v>42183</v>
      </c>
      <c r="F24" s="27" t="n">
        <v>46189</v>
      </c>
      <c r="G24" s="26" t="s">
        <v>65</v>
      </c>
      <c r="H24" s="28" t="n">
        <v>100000</v>
      </c>
      <c r="I24" s="26" t="n">
        <v>5</v>
      </c>
      <c r="J24" s="26" t="n">
        <v>5</v>
      </c>
      <c r="K24" s="13" t="str">
        <f aca="false">IF(F24="","Active","Left")</f>
        <v>Left</v>
      </c>
      <c r="L24" s="16" t="n">
        <f aca="false">ROUND((IF(F24="",Assumptions!$B$5,F24)-E24)/365.25,1)</f>
        <v>11</v>
      </c>
      <c r="M24" s="13" t="str">
        <f aca="false">IF(L24&lt;1,"Under 1 yr",IF(L24&lt;3,"1 to 3 yrs",IF(L24&lt;5,"3 to 5 yrs","5+ yrs")))</f>
        <v>5+ yrs</v>
      </c>
      <c r="N24" s="14" t="n">
        <f aca="false">H24*12</f>
        <v>1200000</v>
      </c>
      <c r="O24" s="13" t="n">
        <f aca="false">IF(AND(E24&lt;Assumptions!$B$6,OR(F24="",F24&gt;=Assumptions!$B$6)),1,0)</f>
        <v>1</v>
      </c>
      <c r="P24" s="13" t="n">
        <f aca="false">IF(F24="",0,IF(AND(F24&gt;=Assumptions!$B$6,F24&lt;=Assumptions!$B$5),1,0))</f>
        <v>1</v>
      </c>
      <c r="Q24" s="14" t="n">
        <f aca="false">P24*N24*Assumptions!$B$7</f>
        <v>600000</v>
      </c>
      <c r="R24" s="13" t="n">
        <f aca="false">IF(AND(P24=1,J24&gt;=Assumptions!$B$10),1,0)</f>
        <v>1</v>
      </c>
    </row>
    <row r="25" customFormat="false" ht="15" hidden="false" customHeight="false" outlineLevel="0" collapsed="false">
      <c r="A25" s="26" t="s">
        <v>128</v>
      </c>
      <c r="B25" s="26" t="s">
        <v>46</v>
      </c>
      <c r="C25" s="26" t="s">
        <v>100</v>
      </c>
      <c r="D25" s="26" t="s">
        <v>101</v>
      </c>
      <c r="E25" s="27" t="n">
        <v>44565</v>
      </c>
      <c r="F25" s="27"/>
      <c r="G25" s="26"/>
      <c r="H25" s="28" t="n">
        <v>54000</v>
      </c>
      <c r="I25" s="26" t="n">
        <v>3</v>
      </c>
      <c r="J25" s="26" t="n">
        <v>3</v>
      </c>
      <c r="K25" s="13" t="str">
        <f aca="false">IF(F25="","Active","Left")</f>
        <v>Active</v>
      </c>
      <c r="L25" s="16" t="n">
        <f aca="false">ROUND((IF(F25="",Assumptions!$B$5,F25)-E25)/365.25,1)</f>
        <v>4.7</v>
      </c>
      <c r="M25" s="13" t="str">
        <f aca="false">IF(L25&lt;1,"Under 1 yr",IF(L25&lt;3,"1 to 3 yrs",IF(L25&lt;5,"3 to 5 yrs","5+ yrs")))</f>
        <v>3 to 5 yrs</v>
      </c>
      <c r="N25" s="14" t="n">
        <f aca="false">H25*12</f>
        <v>648000</v>
      </c>
      <c r="O25" s="13" t="n">
        <f aca="false">IF(AND(E25&lt;Assumptions!$B$6,OR(F25="",F25&gt;=Assumptions!$B$6)),1,0)</f>
        <v>1</v>
      </c>
      <c r="P25" s="13" t="n">
        <f aca="false">IF(F25="",0,IF(AND(F25&gt;=Assumptions!$B$6,F25&lt;=Assumptions!$B$5),1,0))</f>
        <v>0</v>
      </c>
      <c r="Q25" s="14" t="n">
        <f aca="false">P25*N25*Assumptions!$B$7</f>
        <v>0</v>
      </c>
      <c r="R25" s="13" t="n">
        <f aca="false">IF(AND(P25=1,J25&gt;=Assumptions!$B$10),1,0)</f>
        <v>0</v>
      </c>
    </row>
    <row r="26" customFormat="false" ht="15" hidden="false" customHeight="false" outlineLevel="0" collapsed="false">
      <c r="A26" s="26" t="s">
        <v>129</v>
      </c>
      <c r="B26" s="26" t="s">
        <v>49</v>
      </c>
      <c r="C26" s="26" t="s">
        <v>104</v>
      </c>
      <c r="D26" s="26" t="s">
        <v>105</v>
      </c>
      <c r="E26" s="27" t="n">
        <v>42433</v>
      </c>
      <c r="F26" s="27"/>
      <c r="G26" s="26"/>
      <c r="H26" s="28" t="n">
        <v>151000</v>
      </c>
      <c r="I26" s="26" t="n">
        <v>4</v>
      </c>
      <c r="J26" s="26" t="n">
        <v>2</v>
      </c>
      <c r="K26" s="13" t="str">
        <f aca="false">IF(F26="","Active","Left")</f>
        <v>Active</v>
      </c>
      <c r="L26" s="16" t="n">
        <f aca="false">ROUND((IF(F26="",Assumptions!$B$5,F26)-E26)/365.25,1)</f>
        <v>10.6</v>
      </c>
      <c r="M26" s="13" t="str">
        <f aca="false">IF(L26&lt;1,"Under 1 yr",IF(L26&lt;3,"1 to 3 yrs",IF(L26&lt;5,"3 to 5 yrs","5+ yrs")))</f>
        <v>5+ yrs</v>
      </c>
      <c r="N26" s="14" t="n">
        <f aca="false">H26*12</f>
        <v>1812000</v>
      </c>
      <c r="O26" s="13" t="n">
        <f aca="false">IF(AND(E26&lt;Assumptions!$B$6,OR(F26="",F26&gt;=Assumptions!$B$6)),1,0)</f>
        <v>1</v>
      </c>
      <c r="P26" s="13" t="n">
        <f aca="false">IF(F26="",0,IF(AND(F26&gt;=Assumptions!$B$6,F26&lt;=Assumptions!$B$5),1,0))</f>
        <v>0</v>
      </c>
      <c r="Q26" s="14" t="n">
        <f aca="false">P26*N26*Assumptions!$B$7</f>
        <v>0</v>
      </c>
      <c r="R26" s="13" t="n">
        <f aca="false">IF(AND(P26=1,J26&gt;=Assumptions!$B$10),1,0)</f>
        <v>0</v>
      </c>
    </row>
    <row r="27" customFormat="false" ht="15" hidden="false" customHeight="false" outlineLevel="0" collapsed="false">
      <c r="A27" s="26" t="s">
        <v>130</v>
      </c>
      <c r="B27" s="26" t="s">
        <v>50</v>
      </c>
      <c r="C27" s="26" t="s">
        <v>100</v>
      </c>
      <c r="D27" s="26" t="s">
        <v>101</v>
      </c>
      <c r="E27" s="27" t="n">
        <v>42200</v>
      </c>
      <c r="F27" s="27"/>
      <c r="G27" s="26"/>
      <c r="H27" s="28" t="n">
        <v>49000</v>
      </c>
      <c r="I27" s="26" t="n">
        <v>7</v>
      </c>
      <c r="J27" s="26" t="n">
        <v>5</v>
      </c>
      <c r="K27" s="13" t="str">
        <f aca="false">IF(F27="","Active","Left")</f>
        <v>Active</v>
      </c>
      <c r="L27" s="16" t="n">
        <f aca="false">ROUND((IF(F27="",Assumptions!$B$5,F27)-E27)/365.25,1)</f>
        <v>11.2</v>
      </c>
      <c r="M27" s="13" t="str">
        <f aca="false">IF(L27&lt;1,"Under 1 yr",IF(L27&lt;3,"1 to 3 yrs",IF(L27&lt;5,"3 to 5 yrs","5+ yrs")))</f>
        <v>5+ yrs</v>
      </c>
      <c r="N27" s="14" t="n">
        <f aca="false">H27*12</f>
        <v>588000</v>
      </c>
      <c r="O27" s="13" t="n">
        <f aca="false">IF(AND(E27&lt;Assumptions!$B$6,OR(F27="",F27&gt;=Assumptions!$B$6)),1,0)</f>
        <v>1</v>
      </c>
      <c r="P27" s="13" t="n">
        <f aca="false">IF(F27="",0,IF(AND(F27&gt;=Assumptions!$B$6,F27&lt;=Assumptions!$B$5),1,0))</f>
        <v>0</v>
      </c>
      <c r="Q27" s="14" t="n">
        <f aca="false">P27*N27*Assumptions!$B$7</f>
        <v>0</v>
      </c>
      <c r="R27" s="13" t="n">
        <f aca="false">IF(AND(P27=1,J27&gt;=Assumptions!$B$10),1,0)</f>
        <v>0</v>
      </c>
    </row>
    <row r="28" customFormat="false" ht="15" hidden="false" customHeight="false" outlineLevel="0" collapsed="false">
      <c r="A28" s="26" t="s">
        <v>131</v>
      </c>
      <c r="B28" s="26" t="s">
        <v>45</v>
      </c>
      <c r="C28" s="26" t="s">
        <v>100</v>
      </c>
      <c r="D28" s="26" t="s">
        <v>101</v>
      </c>
      <c r="E28" s="27" t="n">
        <v>45233</v>
      </c>
      <c r="F28" s="27"/>
      <c r="G28" s="26"/>
      <c r="H28" s="28" t="n">
        <v>44000</v>
      </c>
      <c r="I28" s="26" t="n">
        <v>5</v>
      </c>
      <c r="J28" s="26" t="n">
        <v>5</v>
      </c>
      <c r="K28" s="13" t="str">
        <f aca="false">IF(F28="","Active","Left")</f>
        <v>Active</v>
      </c>
      <c r="L28" s="16" t="n">
        <f aca="false">ROUND((IF(F28="",Assumptions!$B$5,F28)-E28)/365.25,1)</f>
        <v>2.9</v>
      </c>
      <c r="M28" s="13" t="str">
        <f aca="false">IF(L28&lt;1,"Under 1 yr",IF(L28&lt;3,"1 to 3 yrs",IF(L28&lt;5,"3 to 5 yrs","5+ yrs")))</f>
        <v>1 to 3 yrs</v>
      </c>
      <c r="N28" s="14" t="n">
        <f aca="false">H28*12</f>
        <v>528000</v>
      </c>
      <c r="O28" s="13" t="n">
        <f aca="false">IF(AND(E28&lt;Assumptions!$B$6,OR(F28="",F28&gt;=Assumptions!$B$6)),1,0)</f>
        <v>1</v>
      </c>
      <c r="P28" s="13" t="n">
        <f aca="false">IF(F28="",0,IF(AND(F28&gt;=Assumptions!$B$6,F28&lt;=Assumptions!$B$5),1,0))</f>
        <v>0</v>
      </c>
      <c r="Q28" s="14" t="n">
        <f aca="false">P28*N28*Assumptions!$B$7</f>
        <v>0</v>
      </c>
      <c r="R28" s="13" t="n">
        <f aca="false">IF(AND(P28=1,J28&gt;=Assumptions!$B$10),1,0)</f>
        <v>0</v>
      </c>
    </row>
    <row r="29" customFormat="false" ht="15" hidden="false" customHeight="false" outlineLevel="0" collapsed="false">
      <c r="A29" s="26" t="s">
        <v>132</v>
      </c>
      <c r="B29" s="26" t="s">
        <v>47</v>
      </c>
      <c r="C29" s="26" t="s">
        <v>100</v>
      </c>
      <c r="D29" s="26" t="s">
        <v>105</v>
      </c>
      <c r="E29" s="27" t="n">
        <v>43787</v>
      </c>
      <c r="F29" s="27" t="n">
        <v>46052</v>
      </c>
      <c r="G29" s="26" t="s">
        <v>66</v>
      </c>
      <c r="H29" s="28" t="n">
        <v>52000</v>
      </c>
      <c r="I29" s="26" t="n">
        <v>7</v>
      </c>
      <c r="J29" s="26" t="n">
        <v>3</v>
      </c>
      <c r="K29" s="13" t="str">
        <f aca="false">IF(F29="","Active","Left")</f>
        <v>Left</v>
      </c>
      <c r="L29" s="16" t="n">
        <f aca="false">ROUND((IF(F29="",Assumptions!$B$5,F29)-E29)/365.25,1)</f>
        <v>6.2</v>
      </c>
      <c r="M29" s="13" t="str">
        <f aca="false">IF(L29&lt;1,"Under 1 yr",IF(L29&lt;3,"1 to 3 yrs",IF(L29&lt;5,"3 to 5 yrs","5+ yrs")))</f>
        <v>5+ yrs</v>
      </c>
      <c r="N29" s="14" t="n">
        <f aca="false">H29*12</f>
        <v>624000</v>
      </c>
      <c r="O29" s="13" t="n">
        <f aca="false">IF(AND(E29&lt;Assumptions!$B$6,OR(F29="",F29&gt;=Assumptions!$B$6)),1,0)</f>
        <v>1</v>
      </c>
      <c r="P29" s="13" t="n">
        <f aca="false">IF(F29="",0,IF(AND(F29&gt;=Assumptions!$B$6,F29&lt;=Assumptions!$B$5),1,0))</f>
        <v>1</v>
      </c>
      <c r="Q29" s="14" t="n">
        <f aca="false">P29*N29*Assumptions!$B$7</f>
        <v>312000</v>
      </c>
      <c r="R29" s="13" t="n">
        <f aca="false">IF(AND(P29=1,J29&gt;=Assumptions!$B$10),1,0)</f>
        <v>0</v>
      </c>
    </row>
    <row r="30" customFormat="false" ht="15" hidden="false" customHeight="false" outlineLevel="0" collapsed="false">
      <c r="A30" s="26" t="s">
        <v>133</v>
      </c>
      <c r="B30" s="26" t="s">
        <v>46</v>
      </c>
      <c r="C30" s="26" t="s">
        <v>100</v>
      </c>
      <c r="D30" s="26" t="s">
        <v>101</v>
      </c>
      <c r="E30" s="27" t="n">
        <v>43256</v>
      </c>
      <c r="F30" s="27" t="n">
        <v>46176</v>
      </c>
      <c r="G30" s="26" t="s">
        <v>63</v>
      </c>
      <c r="H30" s="28" t="n">
        <v>40000</v>
      </c>
      <c r="I30" s="26" t="n">
        <v>3</v>
      </c>
      <c r="J30" s="26" t="n">
        <v>3</v>
      </c>
      <c r="K30" s="13" t="str">
        <f aca="false">IF(F30="","Active","Left")</f>
        <v>Left</v>
      </c>
      <c r="L30" s="16" t="n">
        <f aca="false">ROUND((IF(F30="",Assumptions!$B$5,F30)-E30)/365.25,1)</f>
        <v>8</v>
      </c>
      <c r="M30" s="13" t="str">
        <f aca="false">IF(L30&lt;1,"Under 1 yr",IF(L30&lt;3,"1 to 3 yrs",IF(L30&lt;5,"3 to 5 yrs","5+ yrs")))</f>
        <v>5+ yrs</v>
      </c>
      <c r="N30" s="14" t="n">
        <f aca="false">H30*12</f>
        <v>480000</v>
      </c>
      <c r="O30" s="13" t="n">
        <f aca="false">IF(AND(E30&lt;Assumptions!$B$6,OR(F30="",F30&gt;=Assumptions!$B$6)),1,0)</f>
        <v>1</v>
      </c>
      <c r="P30" s="13" t="n">
        <f aca="false">IF(F30="",0,IF(AND(F30&gt;=Assumptions!$B$6,F30&lt;=Assumptions!$B$5),1,0))</f>
        <v>1</v>
      </c>
      <c r="Q30" s="14" t="n">
        <f aca="false">P30*N30*Assumptions!$B$7</f>
        <v>240000</v>
      </c>
      <c r="R30" s="13" t="n">
        <f aca="false">IF(AND(P30=1,J30&gt;=Assumptions!$B$10),1,0)</f>
        <v>0</v>
      </c>
    </row>
    <row r="31" customFormat="false" ht="15" hidden="false" customHeight="false" outlineLevel="0" collapsed="false">
      <c r="A31" s="26" t="s">
        <v>134</v>
      </c>
      <c r="B31" s="26" t="s">
        <v>45</v>
      </c>
      <c r="C31" s="26" t="s">
        <v>108</v>
      </c>
      <c r="D31" s="26" t="s">
        <v>101</v>
      </c>
      <c r="E31" s="27" t="n">
        <v>45764</v>
      </c>
      <c r="F31" s="27"/>
      <c r="G31" s="26"/>
      <c r="H31" s="28" t="n">
        <v>85000</v>
      </c>
      <c r="I31" s="26" t="n">
        <v>4</v>
      </c>
      <c r="J31" s="26" t="n">
        <v>4</v>
      </c>
      <c r="K31" s="13" t="str">
        <f aca="false">IF(F31="","Active","Left")</f>
        <v>Active</v>
      </c>
      <c r="L31" s="16" t="n">
        <f aca="false">ROUND((IF(F31="",Assumptions!$B$5,F31)-E31)/365.25,1)</f>
        <v>1.5</v>
      </c>
      <c r="M31" s="13" t="str">
        <f aca="false">IF(L31&lt;1,"Under 1 yr",IF(L31&lt;3,"1 to 3 yrs",IF(L31&lt;5,"3 to 5 yrs","5+ yrs")))</f>
        <v>1 to 3 yrs</v>
      </c>
      <c r="N31" s="14" t="n">
        <f aca="false">H31*12</f>
        <v>1020000</v>
      </c>
      <c r="O31" s="13" t="n">
        <f aca="false">IF(AND(E31&lt;Assumptions!$B$6,OR(F31="",F31&gt;=Assumptions!$B$6)),1,0)</f>
        <v>1</v>
      </c>
      <c r="P31" s="13" t="n">
        <f aca="false">IF(F31="",0,IF(AND(F31&gt;=Assumptions!$B$6,F31&lt;=Assumptions!$B$5),1,0))</f>
        <v>0</v>
      </c>
      <c r="Q31" s="14" t="n">
        <f aca="false">P31*N31*Assumptions!$B$7</f>
        <v>0</v>
      </c>
      <c r="R31" s="13" t="n">
        <f aca="false">IF(AND(P31=1,J31&gt;=Assumptions!$B$10),1,0)</f>
        <v>0</v>
      </c>
    </row>
    <row r="32" customFormat="false" ht="15" hidden="false" customHeight="false" outlineLevel="0" collapsed="false">
      <c r="A32" s="26" t="s">
        <v>135</v>
      </c>
      <c r="B32" s="26" t="s">
        <v>49</v>
      </c>
      <c r="C32" s="26" t="s">
        <v>100</v>
      </c>
      <c r="D32" s="26" t="s">
        <v>105</v>
      </c>
      <c r="E32" s="27" t="n">
        <v>44347</v>
      </c>
      <c r="F32" s="27"/>
      <c r="G32" s="26"/>
      <c r="H32" s="28" t="n">
        <v>38000</v>
      </c>
      <c r="I32" s="26" t="n">
        <v>6</v>
      </c>
      <c r="J32" s="26" t="n">
        <v>3</v>
      </c>
      <c r="K32" s="13" t="str">
        <f aca="false">IF(F32="","Active","Left")</f>
        <v>Active</v>
      </c>
      <c r="L32" s="16" t="n">
        <f aca="false">ROUND((IF(F32="",Assumptions!$B$5,F32)-E32)/365.25,1)</f>
        <v>5.3</v>
      </c>
      <c r="M32" s="13" t="str">
        <f aca="false">IF(L32&lt;1,"Under 1 yr",IF(L32&lt;3,"1 to 3 yrs",IF(L32&lt;5,"3 to 5 yrs","5+ yrs")))</f>
        <v>5+ yrs</v>
      </c>
      <c r="N32" s="14" t="n">
        <f aca="false">H32*12</f>
        <v>456000</v>
      </c>
      <c r="O32" s="13" t="n">
        <f aca="false">IF(AND(E32&lt;Assumptions!$B$6,OR(F32="",F32&gt;=Assumptions!$B$6)),1,0)</f>
        <v>1</v>
      </c>
      <c r="P32" s="13" t="n">
        <f aca="false">IF(F32="",0,IF(AND(F32&gt;=Assumptions!$B$6,F32&lt;=Assumptions!$B$5),1,0))</f>
        <v>0</v>
      </c>
      <c r="Q32" s="14" t="n">
        <f aca="false">P32*N32*Assumptions!$B$7</f>
        <v>0</v>
      </c>
      <c r="R32" s="13" t="n">
        <f aca="false">IF(AND(P32=1,J32&gt;=Assumptions!$B$10),1,0)</f>
        <v>0</v>
      </c>
    </row>
    <row r="33" customFormat="false" ht="15" hidden="false" customHeight="false" outlineLevel="0" collapsed="false">
      <c r="A33" s="26" t="s">
        <v>136</v>
      </c>
      <c r="B33" s="26" t="s">
        <v>47</v>
      </c>
      <c r="C33" s="26" t="s">
        <v>108</v>
      </c>
      <c r="D33" s="26" t="s">
        <v>105</v>
      </c>
      <c r="E33" s="27" t="n">
        <v>43030</v>
      </c>
      <c r="F33" s="27" t="n">
        <v>46012</v>
      </c>
      <c r="G33" s="26" t="s">
        <v>65</v>
      </c>
      <c r="H33" s="28" t="n">
        <v>79000</v>
      </c>
      <c r="I33" s="26" t="n">
        <v>7</v>
      </c>
      <c r="J33" s="26" t="n">
        <v>3</v>
      </c>
      <c r="K33" s="13" t="str">
        <f aca="false">IF(F33="","Active","Left")</f>
        <v>Left</v>
      </c>
      <c r="L33" s="16" t="n">
        <f aca="false">ROUND((IF(F33="",Assumptions!$B$5,F33)-E33)/365.25,1)</f>
        <v>8.2</v>
      </c>
      <c r="M33" s="13" t="str">
        <f aca="false">IF(L33&lt;1,"Under 1 yr",IF(L33&lt;3,"1 to 3 yrs",IF(L33&lt;5,"3 to 5 yrs","5+ yrs")))</f>
        <v>5+ yrs</v>
      </c>
      <c r="N33" s="14" t="n">
        <f aca="false">H33*12</f>
        <v>948000</v>
      </c>
      <c r="O33" s="13" t="n">
        <f aca="false">IF(AND(E33&lt;Assumptions!$B$6,OR(F33="",F33&gt;=Assumptions!$B$6)),1,0)</f>
        <v>1</v>
      </c>
      <c r="P33" s="13" t="n">
        <f aca="false">IF(F33="",0,IF(AND(F33&gt;=Assumptions!$B$6,F33&lt;=Assumptions!$B$5),1,0))</f>
        <v>1</v>
      </c>
      <c r="Q33" s="14" t="n">
        <f aca="false">P33*N33*Assumptions!$B$7</f>
        <v>474000</v>
      </c>
      <c r="R33" s="13" t="n">
        <f aca="false">IF(AND(P33=1,J33&gt;=Assumptions!$B$10),1,0)</f>
        <v>0</v>
      </c>
    </row>
    <row r="34" customFormat="false" ht="15" hidden="false" customHeight="false" outlineLevel="0" collapsed="false">
      <c r="A34" s="26" t="s">
        <v>137</v>
      </c>
      <c r="B34" s="26" t="s">
        <v>46</v>
      </c>
      <c r="C34" s="26" t="s">
        <v>104</v>
      </c>
      <c r="D34" s="26" t="s">
        <v>101</v>
      </c>
      <c r="E34" s="27" t="n">
        <v>45266</v>
      </c>
      <c r="F34" s="27"/>
      <c r="G34" s="26"/>
      <c r="H34" s="28" t="n">
        <v>161000</v>
      </c>
      <c r="I34" s="26" t="n">
        <v>3</v>
      </c>
      <c r="J34" s="26" t="n">
        <v>3</v>
      </c>
      <c r="K34" s="13" t="str">
        <f aca="false">IF(F34="","Active","Left")</f>
        <v>Active</v>
      </c>
      <c r="L34" s="16" t="n">
        <f aca="false">ROUND((IF(F34="",Assumptions!$B$5,F34)-E34)/365.25,1)</f>
        <v>2.8</v>
      </c>
      <c r="M34" s="13" t="str">
        <f aca="false">IF(L34&lt;1,"Under 1 yr",IF(L34&lt;3,"1 to 3 yrs",IF(L34&lt;5,"3 to 5 yrs","5+ yrs")))</f>
        <v>1 to 3 yrs</v>
      </c>
      <c r="N34" s="14" t="n">
        <f aca="false">H34*12</f>
        <v>1932000</v>
      </c>
      <c r="O34" s="13" t="n">
        <f aca="false">IF(AND(E34&lt;Assumptions!$B$6,OR(F34="",F34&gt;=Assumptions!$B$6)),1,0)</f>
        <v>1</v>
      </c>
      <c r="P34" s="13" t="n">
        <f aca="false">IF(F34="",0,IF(AND(F34&gt;=Assumptions!$B$6,F34&lt;=Assumptions!$B$5),1,0))</f>
        <v>0</v>
      </c>
      <c r="Q34" s="14" t="n">
        <f aca="false">P34*N34*Assumptions!$B$7</f>
        <v>0</v>
      </c>
      <c r="R34" s="13" t="n">
        <f aca="false">IF(AND(P34=1,J34&gt;=Assumptions!$B$10),1,0)</f>
        <v>0</v>
      </c>
    </row>
    <row r="35" customFormat="false" ht="15" hidden="false" customHeight="false" outlineLevel="0" collapsed="false">
      <c r="A35" s="26" t="s">
        <v>138</v>
      </c>
      <c r="B35" s="26" t="s">
        <v>50</v>
      </c>
      <c r="C35" s="26" t="s">
        <v>104</v>
      </c>
      <c r="D35" s="26" t="s">
        <v>105</v>
      </c>
      <c r="E35" s="27" t="n">
        <v>43851</v>
      </c>
      <c r="F35" s="27"/>
      <c r="G35" s="26"/>
      <c r="H35" s="28" t="n">
        <v>147000</v>
      </c>
      <c r="I35" s="26" t="n">
        <v>5</v>
      </c>
      <c r="J35" s="26" t="n">
        <v>4</v>
      </c>
      <c r="K35" s="13" t="str">
        <f aca="false">IF(F35="","Active","Left")</f>
        <v>Active</v>
      </c>
      <c r="L35" s="16" t="n">
        <f aca="false">ROUND((IF(F35="",Assumptions!$B$5,F35)-E35)/365.25,1)</f>
        <v>6.7</v>
      </c>
      <c r="M35" s="13" t="str">
        <f aca="false">IF(L35&lt;1,"Under 1 yr",IF(L35&lt;3,"1 to 3 yrs",IF(L35&lt;5,"3 to 5 yrs","5+ yrs")))</f>
        <v>5+ yrs</v>
      </c>
      <c r="N35" s="14" t="n">
        <f aca="false">H35*12</f>
        <v>1764000</v>
      </c>
      <c r="O35" s="13" t="n">
        <f aca="false">IF(AND(E35&lt;Assumptions!$B$6,OR(F35="",F35&gt;=Assumptions!$B$6)),1,0)</f>
        <v>1</v>
      </c>
      <c r="P35" s="13" t="n">
        <f aca="false">IF(F35="",0,IF(AND(F35&gt;=Assumptions!$B$6,F35&lt;=Assumptions!$B$5),1,0))</f>
        <v>0</v>
      </c>
      <c r="Q35" s="14" t="n">
        <f aca="false">P35*N35*Assumptions!$B$7</f>
        <v>0</v>
      </c>
      <c r="R35" s="13" t="n">
        <f aca="false">IF(AND(P35=1,J35&gt;=Assumptions!$B$10),1,0)</f>
        <v>0</v>
      </c>
    </row>
    <row r="36" customFormat="false" ht="15" hidden="false" customHeight="false" outlineLevel="0" collapsed="false">
      <c r="A36" s="26" t="s">
        <v>139</v>
      </c>
      <c r="B36" s="26" t="s">
        <v>46</v>
      </c>
      <c r="C36" s="26" t="s">
        <v>108</v>
      </c>
      <c r="D36" s="26" t="s">
        <v>101</v>
      </c>
      <c r="E36" s="27" t="n">
        <v>44909</v>
      </c>
      <c r="F36" s="27"/>
      <c r="G36" s="26"/>
      <c r="H36" s="28" t="n">
        <v>67000</v>
      </c>
      <c r="I36" s="26" t="n">
        <v>3</v>
      </c>
      <c r="J36" s="26" t="n">
        <v>3</v>
      </c>
      <c r="K36" s="13" t="str">
        <f aca="false">IF(F36="","Active","Left")</f>
        <v>Active</v>
      </c>
      <c r="L36" s="16" t="n">
        <f aca="false">ROUND((IF(F36="",Assumptions!$B$5,F36)-E36)/365.25,1)</f>
        <v>3.8</v>
      </c>
      <c r="M36" s="13" t="str">
        <f aca="false">IF(L36&lt;1,"Under 1 yr",IF(L36&lt;3,"1 to 3 yrs",IF(L36&lt;5,"3 to 5 yrs","5+ yrs")))</f>
        <v>3 to 5 yrs</v>
      </c>
      <c r="N36" s="14" t="n">
        <f aca="false">H36*12</f>
        <v>804000</v>
      </c>
      <c r="O36" s="13" t="n">
        <f aca="false">IF(AND(E36&lt;Assumptions!$B$6,OR(F36="",F36&gt;=Assumptions!$B$6)),1,0)</f>
        <v>1</v>
      </c>
      <c r="P36" s="13" t="n">
        <f aca="false">IF(F36="",0,IF(AND(F36&gt;=Assumptions!$B$6,F36&lt;=Assumptions!$B$5),1,0))</f>
        <v>0</v>
      </c>
      <c r="Q36" s="14" t="n">
        <f aca="false">P36*N36*Assumptions!$B$7</f>
        <v>0</v>
      </c>
      <c r="R36" s="13" t="n">
        <f aca="false">IF(AND(P36=1,J36&gt;=Assumptions!$B$10),1,0)</f>
        <v>0</v>
      </c>
    </row>
    <row r="37" customFormat="false" ht="15" hidden="false" customHeight="false" outlineLevel="0" collapsed="false">
      <c r="A37" s="26" t="s">
        <v>140</v>
      </c>
      <c r="B37" s="26" t="s">
        <v>50</v>
      </c>
      <c r="C37" s="26" t="s">
        <v>100</v>
      </c>
      <c r="D37" s="26" t="s">
        <v>105</v>
      </c>
      <c r="E37" s="27" t="n">
        <v>46133</v>
      </c>
      <c r="F37" s="27"/>
      <c r="G37" s="26"/>
      <c r="H37" s="28" t="n">
        <v>39000</v>
      </c>
      <c r="I37" s="26" t="n">
        <v>6</v>
      </c>
      <c r="J37" s="26" t="n">
        <v>3</v>
      </c>
      <c r="K37" s="13" t="str">
        <f aca="false">IF(F37="","Active","Left")</f>
        <v>Active</v>
      </c>
      <c r="L37" s="16" t="n">
        <f aca="false">ROUND((IF(F37="",Assumptions!$B$5,F37)-E37)/365.25,1)</f>
        <v>0.4</v>
      </c>
      <c r="M37" s="13" t="str">
        <f aca="false">IF(L37&lt;1,"Under 1 yr",IF(L37&lt;3,"1 to 3 yrs",IF(L37&lt;5,"3 to 5 yrs","5+ yrs")))</f>
        <v>Under 1 yr</v>
      </c>
      <c r="N37" s="14" t="n">
        <f aca="false">H37*12</f>
        <v>468000</v>
      </c>
      <c r="O37" s="13" t="n">
        <f aca="false">IF(AND(E37&lt;Assumptions!$B$6,OR(F37="",F37&gt;=Assumptions!$B$6)),1,0)</f>
        <v>0</v>
      </c>
      <c r="P37" s="13" t="n">
        <f aca="false">IF(F37="",0,IF(AND(F37&gt;=Assumptions!$B$6,F37&lt;=Assumptions!$B$5),1,0))</f>
        <v>0</v>
      </c>
      <c r="Q37" s="14" t="n">
        <f aca="false">P37*N37*Assumptions!$B$7</f>
        <v>0</v>
      </c>
      <c r="R37" s="13" t="n">
        <f aca="false">IF(AND(P37=1,J37&gt;=Assumptions!$B$10),1,0)</f>
        <v>0</v>
      </c>
    </row>
    <row r="38" customFormat="false" ht="15" hidden="false" customHeight="false" outlineLevel="0" collapsed="false">
      <c r="A38" s="26" t="s">
        <v>141</v>
      </c>
      <c r="B38" s="26" t="s">
        <v>45</v>
      </c>
      <c r="C38" s="26" t="s">
        <v>108</v>
      </c>
      <c r="D38" s="26" t="s">
        <v>105</v>
      </c>
      <c r="E38" s="27" t="n">
        <v>44142</v>
      </c>
      <c r="F38" s="27" t="n">
        <v>46014</v>
      </c>
      <c r="G38" s="26" t="s">
        <v>63</v>
      </c>
      <c r="H38" s="28" t="n">
        <v>70000</v>
      </c>
      <c r="I38" s="26" t="n">
        <v>3</v>
      </c>
      <c r="J38" s="26" t="n">
        <v>4</v>
      </c>
      <c r="K38" s="13" t="str">
        <f aca="false">IF(F38="","Active","Left")</f>
        <v>Left</v>
      </c>
      <c r="L38" s="16" t="n">
        <f aca="false">ROUND((IF(F38="",Assumptions!$B$5,F38)-E38)/365.25,1)</f>
        <v>5.1</v>
      </c>
      <c r="M38" s="13" t="str">
        <f aca="false">IF(L38&lt;1,"Under 1 yr",IF(L38&lt;3,"1 to 3 yrs",IF(L38&lt;5,"3 to 5 yrs","5+ yrs")))</f>
        <v>5+ yrs</v>
      </c>
      <c r="N38" s="14" t="n">
        <f aca="false">H38*12</f>
        <v>840000</v>
      </c>
      <c r="O38" s="13" t="n">
        <f aca="false">IF(AND(E38&lt;Assumptions!$B$6,OR(F38="",F38&gt;=Assumptions!$B$6)),1,0)</f>
        <v>1</v>
      </c>
      <c r="P38" s="13" t="n">
        <f aca="false">IF(F38="",0,IF(AND(F38&gt;=Assumptions!$B$6,F38&lt;=Assumptions!$B$5),1,0))</f>
        <v>1</v>
      </c>
      <c r="Q38" s="14" t="n">
        <f aca="false">P38*N38*Assumptions!$B$7</f>
        <v>420000</v>
      </c>
      <c r="R38" s="13" t="n">
        <f aca="false">IF(AND(P38=1,J38&gt;=Assumptions!$B$10),1,0)</f>
        <v>1</v>
      </c>
    </row>
    <row r="39" customFormat="false" ht="15" hidden="false" customHeight="false" outlineLevel="0" collapsed="false">
      <c r="A39" s="26" t="s">
        <v>142</v>
      </c>
      <c r="B39" s="26" t="s">
        <v>46</v>
      </c>
      <c r="C39" s="26" t="s">
        <v>100</v>
      </c>
      <c r="D39" s="26" t="s">
        <v>101</v>
      </c>
      <c r="E39" s="27" t="n">
        <v>43397</v>
      </c>
      <c r="F39" s="27"/>
      <c r="G39" s="26"/>
      <c r="H39" s="28" t="n">
        <v>51000</v>
      </c>
      <c r="I39" s="26" t="n">
        <v>5</v>
      </c>
      <c r="J39" s="26" t="n">
        <v>4</v>
      </c>
      <c r="K39" s="13" t="str">
        <f aca="false">IF(F39="","Active","Left")</f>
        <v>Active</v>
      </c>
      <c r="L39" s="16" t="n">
        <f aca="false">ROUND((IF(F39="",Assumptions!$B$5,F39)-E39)/365.25,1)</f>
        <v>7.9</v>
      </c>
      <c r="M39" s="13" t="str">
        <f aca="false">IF(L39&lt;1,"Under 1 yr",IF(L39&lt;3,"1 to 3 yrs",IF(L39&lt;5,"3 to 5 yrs","5+ yrs")))</f>
        <v>5+ yrs</v>
      </c>
      <c r="N39" s="14" t="n">
        <f aca="false">H39*12</f>
        <v>612000</v>
      </c>
      <c r="O39" s="13" t="n">
        <f aca="false">IF(AND(E39&lt;Assumptions!$B$6,OR(F39="",F39&gt;=Assumptions!$B$6)),1,0)</f>
        <v>1</v>
      </c>
      <c r="P39" s="13" t="n">
        <f aca="false">IF(F39="",0,IF(AND(F39&gt;=Assumptions!$B$6,F39&lt;=Assumptions!$B$5),1,0))</f>
        <v>0</v>
      </c>
      <c r="Q39" s="14" t="n">
        <f aca="false">P39*N39*Assumptions!$B$7</f>
        <v>0</v>
      </c>
      <c r="R39" s="13" t="n">
        <f aca="false">IF(AND(P39=1,J39&gt;=Assumptions!$B$10),1,0)</f>
        <v>0</v>
      </c>
    </row>
    <row r="40" customFormat="false" ht="15" hidden="false" customHeight="false" outlineLevel="0" collapsed="false">
      <c r="A40" s="26" t="s">
        <v>143</v>
      </c>
      <c r="B40" s="26" t="s">
        <v>47</v>
      </c>
      <c r="C40" s="26" t="s">
        <v>100</v>
      </c>
      <c r="D40" s="26" t="s">
        <v>105</v>
      </c>
      <c r="E40" s="27" t="n">
        <v>44643</v>
      </c>
      <c r="F40" s="27"/>
      <c r="G40" s="26"/>
      <c r="H40" s="28" t="n">
        <v>55000</v>
      </c>
      <c r="I40" s="26" t="n">
        <v>6</v>
      </c>
      <c r="J40" s="26" t="n">
        <v>1</v>
      </c>
      <c r="K40" s="13" t="str">
        <f aca="false">IF(F40="","Active","Left")</f>
        <v>Active</v>
      </c>
      <c r="L40" s="16" t="n">
        <f aca="false">ROUND((IF(F40="",Assumptions!$B$5,F40)-E40)/365.25,1)</f>
        <v>4.5</v>
      </c>
      <c r="M40" s="13" t="str">
        <f aca="false">IF(L40&lt;1,"Under 1 yr",IF(L40&lt;3,"1 to 3 yrs",IF(L40&lt;5,"3 to 5 yrs","5+ yrs")))</f>
        <v>3 to 5 yrs</v>
      </c>
      <c r="N40" s="14" t="n">
        <f aca="false">H40*12</f>
        <v>660000</v>
      </c>
      <c r="O40" s="13" t="n">
        <f aca="false">IF(AND(E40&lt;Assumptions!$B$6,OR(F40="",F40&gt;=Assumptions!$B$6)),1,0)</f>
        <v>1</v>
      </c>
      <c r="P40" s="13" t="n">
        <f aca="false">IF(F40="",0,IF(AND(F40&gt;=Assumptions!$B$6,F40&lt;=Assumptions!$B$5),1,0))</f>
        <v>0</v>
      </c>
      <c r="Q40" s="14" t="n">
        <f aca="false">P40*N40*Assumptions!$B$7</f>
        <v>0</v>
      </c>
      <c r="R40" s="13" t="n">
        <f aca="false">IF(AND(P40=1,J40&gt;=Assumptions!$B$10),1,0)</f>
        <v>0</v>
      </c>
    </row>
    <row r="41" customFormat="false" ht="15" hidden="false" customHeight="false" outlineLevel="0" collapsed="false">
      <c r="A41" s="26" t="s">
        <v>144</v>
      </c>
      <c r="B41" s="26" t="s">
        <v>47</v>
      </c>
      <c r="C41" s="26" t="s">
        <v>125</v>
      </c>
      <c r="D41" s="26" t="s">
        <v>105</v>
      </c>
      <c r="E41" s="27" t="n">
        <v>45386</v>
      </c>
      <c r="F41" s="27"/>
      <c r="G41" s="26"/>
      <c r="H41" s="28" t="n">
        <v>235000</v>
      </c>
      <c r="I41" s="26" t="n">
        <v>5</v>
      </c>
      <c r="J41" s="26" t="n">
        <v>3</v>
      </c>
      <c r="K41" s="13" t="str">
        <f aca="false">IF(F41="","Active","Left")</f>
        <v>Active</v>
      </c>
      <c r="L41" s="16" t="n">
        <f aca="false">ROUND((IF(F41="",Assumptions!$B$5,F41)-E41)/365.25,1)</f>
        <v>2.5</v>
      </c>
      <c r="M41" s="13" t="str">
        <f aca="false">IF(L41&lt;1,"Under 1 yr",IF(L41&lt;3,"1 to 3 yrs",IF(L41&lt;5,"3 to 5 yrs","5+ yrs")))</f>
        <v>1 to 3 yrs</v>
      </c>
      <c r="N41" s="14" t="n">
        <f aca="false">H41*12</f>
        <v>2820000</v>
      </c>
      <c r="O41" s="13" t="n">
        <f aca="false">IF(AND(E41&lt;Assumptions!$B$6,OR(F41="",F41&gt;=Assumptions!$B$6)),1,0)</f>
        <v>1</v>
      </c>
      <c r="P41" s="13" t="n">
        <f aca="false">IF(F41="",0,IF(AND(F41&gt;=Assumptions!$B$6,F41&lt;=Assumptions!$B$5),1,0))</f>
        <v>0</v>
      </c>
      <c r="Q41" s="14" t="n">
        <f aca="false">P41*N41*Assumptions!$B$7</f>
        <v>0</v>
      </c>
      <c r="R41" s="13" t="n">
        <f aca="false">IF(AND(P41=1,J41&gt;=Assumptions!$B$10),1,0)</f>
        <v>0</v>
      </c>
    </row>
    <row r="42" customFormat="false" ht="15" hidden="false" customHeight="false" outlineLevel="0" collapsed="false">
      <c r="A42" s="26" t="s">
        <v>145</v>
      </c>
      <c r="B42" s="26" t="s">
        <v>50</v>
      </c>
      <c r="C42" s="26" t="s">
        <v>108</v>
      </c>
      <c r="D42" s="26" t="s">
        <v>101</v>
      </c>
      <c r="E42" s="27" t="n">
        <v>42350</v>
      </c>
      <c r="F42" s="27"/>
      <c r="G42" s="26"/>
      <c r="H42" s="28" t="n">
        <v>77000</v>
      </c>
      <c r="I42" s="26" t="n">
        <v>11</v>
      </c>
      <c r="J42" s="26" t="n">
        <v>3</v>
      </c>
      <c r="K42" s="13" t="str">
        <f aca="false">IF(F42="","Active","Left")</f>
        <v>Active</v>
      </c>
      <c r="L42" s="16" t="n">
        <f aca="false">ROUND((IF(F42="",Assumptions!$B$5,F42)-E42)/365.25,1)</f>
        <v>10.8</v>
      </c>
      <c r="M42" s="13" t="str">
        <f aca="false">IF(L42&lt;1,"Under 1 yr",IF(L42&lt;3,"1 to 3 yrs",IF(L42&lt;5,"3 to 5 yrs","5+ yrs")))</f>
        <v>5+ yrs</v>
      </c>
      <c r="N42" s="14" t="n">
        <f aca="false">H42*12</f>
        <v>924000</v>
      </c>
      <c r="O42" s="13" t="n">
        <f aca="false">IF(AND(E42&lt;Assumptions!$B$6,OR(F42="",F42&gt;=Assumptions!$B$6)),1,0)</f>
        <v>1</v>
      </c>
      <c r="P42" s="13" t="n">
        <f aca="false">IF(F42="",0,IF(AND(F42&gt;=Assumptions!$B$6,F42&lt;=Assumptions!$B$5),1,0))</f>
        <v>0</v>
      </c>
      <c r="Q42" s="14" t="n">
        <f aca="false">P42*N42*Assumptions!$B$7</f>
        <v>0</v>
      </c>
      <c r="R42" s="13" t="n">
        <f aca="false">IF(AND(P42=1,J42&gt;=Assumptions!$B$10),1,0)</f>
        <v>0</v>
      </c>
    </row>
    <row r="43" customFormat="false" ht="15" hidden="false" customHeight="false" outlineLevel="0" collapsed="false">
      <c r="A43" s="26" t="s">
        <v>146</v>
      </c>
      <c r="B43" s="26" t="s">
        <v>50</v>
      </c>
      <c r="C43" s="26" t="s">
        <v>108</v>
      </c>
      <c r="D43" s="26" t="s">
        <v>101</v>
      </c>
      <c r="E43" s="27" t="n">
        <v>42602</v>
      </c>
      <c r="F43" s="27" t="n">
        <v>45936</v>
      </c>
      <c r="G43" s="26" t="s">
        <v>63</v>
      </c>
      <c r="H43" s="28" t="n">
        <v>84000</v>
      </c>
      <c r="I43" s="26" t="n">
        <v>13</v>
      </c>
      <c r="J43" s="26" t="n">
        <v>2</v>
      </c>
      <c r="K43" s="13" t="str">
        <f aca="false">IF(F43="","Active","Left")</f>
        <v>Left</v>
      </c>
      <c r="L43" s="16" t="n">
        <f aca="false">ROUND((IF(F43="",Assumptions!$B$5,F43)-E43)/365.25,1)</f>
        <v>9.1</v>
      </c>
      <c r="M43" s="13" t="str">
        <f aca="false">IF(L43&lt;1,"Under 1 yr",IF(L43&lt;3,"1 to 3 yrs",IF(L43&lt;5,"3 to 5 yrs","5+ yrs")))</f>
        <v>5+ yrs</v>
      </c>
      <c r="N43" s="14" t="n">
        <f aca="false">H43*12</f>
        <v>1008000</v>
      </c>
      <c r="O43" s="13" t="n">
        <f aca="false">IF(AND(E43&lt;Assumptions!$B$6,OR(F43="",F43&gt;=Assumptions!$B$6)),1,0)</f>
        <v>1</v>
      </c>
      <c r="P43" s="13" t="n">
        <f aca="false">IF(F43="",0,IF(AND(F43&gt;=Assumptions!$B$6,F43&lt;=Assumptions!$B$5),1,0))</f>
        <v>1</v>
      </c>
      <c r="Q43" s="14" t="n">
        <f aca="false">P43*N43*Assumptions!$B$7</f>
        <v>504000</v>
      </c>
      <c r="R43" s="13" t="n">
        <f aca="false">IF(AND(P43=1,J43&gt;=Assumptions!$B$10),1,0)</f>
        <v>0</v>
      </c>
    </row>
    <row r="44" customFormat="false" ht="15" hidden="false" customHeight="false" outlineLevel="0" collapsed="false">
      <c r="A44" s="26" t="s">
        <v>147</v>
      </c>
      <c r="B44" s="26" t="s">
        <v>48</v>
      </c>
      <c r="C44" s="26" t="s">
        <v>104</v>
      </c>
      <c r="D44" s="26" t="s">
        <v>105</v>
      </c>
      <c r="E44" s="27" t="n">
        <v>45190</v>
      </c>
      <c r="F44" s="27"/>
      <c r="G44" s="26"/>
      <c r="H44" s="28" t="n">
        <v>131000</v>
      </c>
      <c r="I44" s="26" t="n">
        <v>15</v>
      </c>
      <c r="J44" s="26" t="n">
        <v>1</v>
      </c>
      <c r="K44" s="13" t="str">
        <f aca="false">IF(F44="","Active","Left")</f>
        <v>Active</v>
      </c>
      <c r="L44" s="16" t="n">
        <f aca="false">ROUND((IF(F44="",Assumptions!$B$5,F44)-E44)/365.25,1)</f>
        <v>3</v>
      </c>
      <c r="M44" s="13" t="str">
        <f aca="false">IF(L44&lt;1,"Under 1 yr",IF(L44&lt;3,"1 to 3 yrs",IF(L44&lt;5,"3 to 5 yrs","5+ yrs")))</f>
        <v>3 to 5 yrs</v>
      </c>
      <c r="N44" s="14" t="n">
        <f aca="false">H44*12</f>
        <v>1572000</v>
      </c>
      <c r="O44" s="13" t="n">
        <f aca="false">IF(AND(E44&lt;Assumptions!$B$6,OR(F44="",F44&gt;=Assumptions!$B$6)),1,0)</f>
        <v>1</v>
      </c>
      <c r="P44" s="13" t="n">
        <f aca="false">IF(F44="",0,IF(AND(F44&gt;=Assumptions!$B$6,F44&lt;=Assumptions!$B$5),1,0))</f>
        <v>0</v>
      </c>
      <c r="Q44" s="14" t="n">
        <f aca="false">P44*N44*Assumptions!$B$7</f>
        <v>0</v>
      </c>
      <c r="R44" s="13" t="n">
        <f aca="false">IF(AND(P44=1,J44&gt;=Assumptions!$B$10),1,0)</f>
        <v>0</v>
      </c>
    </row>
    <row r="45" customFormat="false" ht="15" hidden="false" customHeight="false" outlineLevel="0" collapsed="false">
      <c r="A45" s="26" t="s">
        <v>148</v>
      </c>
      <c r="B45" s="26" t="s">
        <v>50</v>
      </c>
      <c r="C45" s="26" t="s">
        <v>100</v>
      </c>
      <c r="D45" s="26" t="s">
        <v>105</v>
      </c>
      <c r="E45" s="27" t="n">
        <v>43494</v>
      </c>
      <c r="F45" s="27"/>
      <c r="G45" s="26"/>
      <c r="H45" s="28" t="n">
        <v>35000</v>
      </c>
      <c r="I45" s="26" t="n">
        <v>3</v>
      </c>
      <c r="J45" s="26" t="n">
        <v>2</v>
      </c>
      <c r="K45" s="13" t="str">
        <f aca="false">IF(F45="","Active","Left")</f>
        <v>Active</v>
      </c>
      <c r="L45" s="16" t="n">
        <f aca="false">ROUND((IF(F45="",Assumptions!$B$5,F45)-E45)/365.25,1)</f>
        <v>7.7</v>
      </c>
      <c r="M45" s="13" t="str">
        <f aca="false">IF(L45&lt;1,"Under 1 yr",IF(L45&lt;3,"1 to 3 yrs",IF(L45&lt;5,"3 to 5 yrs","5+ yrs")))</f>
        <v>5+ yrs</v>
      </c>
      <c r="N45" s="14" t="n">
        <f aca="false">H45*12</f>
        <v>420000</v>
      </c>
      <c r="O45" s="13" t="n">
        <f aca="false">IF(AND(E45&lt;Assumptions!$B$6,OR(F45="",F45&gt;=Assumptions!$B$6)),1,0)</f>
        <v>1</v>
      </c>
      <c r="P45" s="13" t="n">
        <f aca="false">IF(F45="",0,IF(AND(F45&gt;=Assumptions!$B$6,F45&lt;=Assumptions!$B$5),1,0))</f>
        <v>0</v>
      </c>
      <c r="Q45" s="14" t="n">
        <f aca="false">P45*N45*Assumptions!$B$7</f>
        <v>0</v>
      </c>
      <c r="R45" s="13" t="n">
        <f aca="false">IF(AND(P45=1,J45&gt;=Assumptions!$B$10),1,0)</f>
        <v>0</v>
      </c>
    </row>
    <row r="46" customFormat="false" ht="15" hidden="false" customHeight="false" outlineLevel="0" collapsed="false">
      <c r="A46" s="26" t="s">
        <v>149</v>
      </c>
      <c r="B46" s="26" t="s">
        <v>46</v>
      </c>
      <c r="C46" s="26" t="s">
        <v>108</v>
      </c>
      <c r="D46" s="26" t="s">
        <v>101</v>
      </c>
      <c r="E46" s="27" t="n">
        <v>45998</v>
      </c>
      <c r="F46" s="27"/>
      <c r="G46" s="26"/>
      <c r="H46" s="28" t="n">
        <v>102000</v>
      </c>
      <c r="I46" s="26" t="n">
        <v>3</v>
      </c>
      <c r="J46" s="26" t="n">
        <v>2</v>
      </c>
      <c r="K46" s="13" t="str">
        <f aca="false">IF(F46="","Active","Left")</f>
        <v>Active</v>
      </c>
      <c r="L46" s="16" t="n">
        <f aca="false">ROUND((IF(F46="",Assumptions!$B$5,F46)-E46)/365.25,1)</f>
        <v>0.8</v>
      </c>
      <c r="M46" s="13" t="str">
        <f aca="false">IF(L46&lt;1,"Under 1 yr",IF(L46&lt;3,"1 to 3 yrs",IF(L46&lt;5,"3 to 5 yrs","5+ yrs")))</f>
        <v>Under 1 yr</v>
      </c>
      <c r="N46" s="14" t="n">
        <f aca="false">H46*12</f>
        <v>1224000</v>
      </c>
      <c r="O46" s="13" t="n">
        <f aca="false">IF(AND(E46&lt;Assumptions!$B$6,OR(F46="",F46&gt;=Assumptions!$B$6)),1,0)</f>
        <v>0</v>
      </c>
      <c r="P46" s="13" t="n">
        <f aca="false">IF(F46="",0,IF(AND(F46&gt;=Assumptions!$B$6,F46&lt;=Assumptions!$B$5),1,0))</f>
        <v>0</v>
      </c>
      <c r="Q46" s="14" t="n">
        <f aca="false">P46*N46*Assumptions!$B$7</f>
        <v>0</v>
      </c>
      <c r="R46" s="13" t="n">
        <f aca="false">IF(AND(P46=1,J46&gt;=Assumptions!$B$10),1,0)</f>
        <v>0</v>
      </c>
    </row>
    <row r="47" customFormat="false" ht="15" hidden="false" customHeight="false" outlineLevel="0" collapsed="false">
      <c r="A47" s="26" t="s">
        <v>150</v>
      </c>
      <c r="B47" s="26" t="s">
        <v>47</v>
      </c>
      <c r="C47" s="26" t="s">
        <v>100</v>
      </c>
      <c r="D47" s="26" t="s">
        <v>101</v>
      </c>
      <c r="E47" s="27" t="n">
        <v>43550</v>
      </c>
      <c r="F47" s="27"/>
      <c r="G47" s="26"/>
      <c r="H47" s="28" t="n">
        <v>60000</v>
      </c>
      <c r="I47" s="26" t="n">
        <v>6</v>
      </c>
      <c r="J47" s="26" t="n">
        <v>4</v>
      </c>
      <c r="K47" s="13" t="str">
        <f aca="false">IF(F47="","Active","Left")</f>
        <v>Active</v>
      </c>
      <c r="L47" s="16" t="n">
        <f aca="false">ROUND((IF(F47="",Assumptions!$B$5,F47)-E47)/365.25,1)</f>
        <v>7.5</v>
      </c>
      <c r="M47" s="13" t="str">
        <f aca="false">IF(L47&lt;1,"Under 1 yr",IF(L47&lt;3,"1 to 3 yrs",IF(L47&lt;5,"3 to 5 yrs","5+ yrs")))</f>
        <v>5+ yrs</v>
      </c>
      <c r="N47" s="14" t="n">
        <f aca="false">H47*12</f>
        <v>720000</v>
      </c>
      <c r="O47" s="13" t="n">
        <f aca="false">IF(AND(E47&lt;Assumptions!$B$6,OR(F47="",F47&gt;=Assumptions!$B$6)),1,0)</f>
        <v>1</v>
      </c>
      <c r="P47" s="13" t="n">
        <f aca="false">IF(F47="",0,IF(AND(F47&gt;=Assumptions!$B$6,F47&lt;=Assumptions!$B$5),1,0))</f>
        <v>0</v>
      </c>
      <c r="Q47" s="14" t="n">
        <f aca="false">P47*N47*Assumptions!$B$7</f>
        <v>0</v>
      </c>
      <c r="R47" s="13" t="n">
        <f aca="false">IF(AND(P47=1,J47&gt;=Assumptions!$B$10),1,0)</f>
        <v>0</v>
      </c>
    </row>
    <row r="48" customFormat="false" ht="15" hidden="false" customHeight="false" outlineLevel="0" collapsed="false">
      <c r="A48" s="26" t="s">
        <v>151</v>
      </c>
      <c r="B48" s="26" t="s">
        <v>46</v>
      </c>
      <c r="C48" s="26" t="s">
        <v>104</v>
      </c>
      <c r="D48" s="26" t="s">
        <v>101</v>
      </c>
      <c r="E48" s="27" t="n">
        <v>45772</v>
      </c>
      <c r="F48" s="27"/>
      <c r="G48" s="26"/>
      <c r="H48" s="28" t="n">
        <v>171000</v>
      </c>
      <c r="I48" s="26" t="n">
        <v>5</v>
      </c>
      <c r="J48" s="26" t="n">
        <v>1</v>
      </c>
      <c r="K48" s="13" t="str">
        <f aca="false">IF(F48="","Active","Left")</f>
        <v>Active</v>
      </c>
      <c r="L48" s="16" t="n">
        <f aca="false">ROUND((IF(F48="",Assumptions!$B$5,F48)-E48)/365.25,1)</f>
        <v>1.4</v>
      </c>
      <c r="M48" s="13" t="str">
        <f aca="false">IF(L48&lt;1,"Under 1 yr",IF(L48&lt;3,"1 to 3 yrs",IF(L48&lt;5,"3 to 5 yrs","5+ yrs")))</f>
        <v>1 to 3 yrs</v>
      </c>
      <c r="N48" s="14" t="n">
        <f aca="false">H48*12</f>
        <v>2052000</v>
      </c>
      <c r="O48" s="13" t="n">
        <f aca="false">IF(AND(E48&lt;Assumptions!$B$6,OR(F48="",F48&gt;=Assumptions!$B$6)),1,0)</f>
        <v>1</v>
      </c>
      <c r="P48" s="13" t="n">
        <f aca="false">IF(F48="",0,IF(AND(F48&gt;=Assumptions!$B$6,F48&lt;=Assumptions!$B$5),1,0))</f>
        <v>0</v>
      </c>
      <c r="Q48" s="14" t="n">
        <f aca="false">P48*N48*Assumptions!$B$7</f>
        <v>0</v>
      </c>
      <c r="R48" s="13" t="n">
        <f aca="false">IF(AND(P48=1,J48&gt;=Assumptions!$B$10),1,0)</f>
        <v>0</v>
      </c>
    </row>
    <row r="49" customFormat="false" ht="15" hidden="false" customHeight="false" outlineLevel="0" collapsed="false">
      <c r="A49" s="26" t="s">
        <v>152</v>
      </c>
      <c r="B49" s="26" t="s">
        <v>45</v>
      </c>
      <c r="C49" s="26" t="s">
        <v>108</v>
      </c>
      <c r="D49" s="26" t="s">
        <v>105</v>
      </c>
      <c r="E49" s="27" t="n">
        <v>44871</v>
      </c>
      <c r="F49" s="27" t="n">
        <v>46256</v>
      </c>
      <c r="G49" s="26" t="s">
        <v>62</v>
      </c>
      <c r="H49" s="28" t="n">
        <v>86000</v>
      </c>
      <c r="I49" s="26" t="n">
        <v>6</v>
      </c>
      <c r="J49" s="26" t="n">
        <v>2</v>
      </c>
      <c r="K49" s="13" t="str">
        <f aca="false">IF(F49="","Active","Left")</f>
        <v>Left</v>
      </c>
      <c r="L49" s="16" t="n">
        <f aca="false">ROUND((IF(F49="",Assumptions!$B$5,F49)-E49)/365.25,1)</f>
        <v>3.8</v>
      </c>
      <c r="M49" s="13" t="str">
        <f aca="false">IF(L49&lt;1,"Under 1 yr",IF(L49&lt;3,"1 to 3 yrs",IF(L49&lt;5,"3 to 5 yrs","5+ yrs")))</f>
        <v>3 to 5 yrs</v>
      </c>
      <c r="N49" s="14" t="n">
        <f aca="false">H49*12</f>
        <v>1032000</v>
      </c>
      <c r="O49" s="13" t="n">
        <f aca="false">IF(AND(E49&lt;Assumptions!$B$6,OR(F49="",F49&gt;=Assumptions!$B$6)),1,0)</f>
        <v>1</v>
      </c>
      <c r="P49" s="13" t="n">
        <f aca="false">IF(F49="",0,IF(AND(F49&gt;=Assumptions!$B$6,F49&lt;=Assumptions!$B$5),1,0))</f>
        <v>1</v>
      </c>
      <c r="Q49" s="14" t="n">
        <f aca="false">P49*N49*Assumptions!$B$7</f>
        <v>516000</v>
      </c>
      <c r="R49" s="13" t="n">
        <f aca="false">IF(AND(P49=1,J49&gt;=Assumptions!$B$10),1,0)</f>
        <v>0</v>
      </c>
    </row>
    <row r="50" customFormat="false" ht="15" hidden="false" customHeight="false" outlineLevel="0" collapsed="false">
      <c r="A50" s="26" t="s">
        <v>153</v>
      </c>
      <c r="B50" s="26" t="s">
        <v>48</v>
      </c>
      <c r="C50" s="26" t="s">
        <v>100</v>
      </c>
      <c r="D50" s="26" t="s">
        <v>101</v>
      </c>
      <c r="E50" s="27" t="n">
        <v>45948</v>
      </c>
      <c r="F50" s="27"/>
      <c r="G50" s="26"/>
      <c r="H50" s="28" t="n">
        <v>46000</v>
      </c>
      <c r="I50" s="26" t="n">
        <v>6</v>
      </c>
      <c r="J50" s="26" t="n">
        <v>5</v>
      </c>
      <c r="K50" s="13" t="str">
        <f aca="false">IF(F50="","Active","Left")</f>
        <v>Active</v>
      </c>
      <c r="L50" s="16" t="n">
        <f aca="false">ROUND((IF(F50="",Assumptions!$B$5,F50)-E50)/365.25,1)</f>
        <v>1</v>
      </c>
      <c r="M50" s="13" t="str">
        <f aca="false">IF(L50&lt;1,"Under 1 yr",IF(L50&lt;3,"1 to 3 yrs",IF(L50&lt;5,"3 to 5 yrs","5+ yrs")))</f>
        <v>1 to 3 yrs</v>
      </c>
      <c r="N50" s="14" t="n">
        <f aca="false">H50*12</f>
        <v>552000</v>
      </c>
      <c r="O50" s="13" t="n">
        <f aca="false">IF(AND(E50&lt;Assumptions!$B$6,OR(F50="",F50&gt;=Assumptions!$B$6)),1,0)</f>
        <v>0</v>
      </c>
      <c r="P50" s="13" t="n">
        <f aca="false">IF(F50="",0,IF(AND(F50&gt;=Assumptions!$B$6,F50&lt;=Assumptions!$B$5),1,0))</f>
        <v>0</v>
      </c>
      <c r="Q50" s="14" t="n">
        <f aca="false">P50*N50*Assumptions!$B$7</f>
        <v>0</v>
      </c>
      <c r="R50" s="13" t="n">
        <f aca="false">IF(AND(P50=1,J50&gt;=Assumptions!$B$10),1,0)</f>
        <v>0</v>
      </c>
    </row>
    <row r="51" customFormat="false" ht="15" hidden="false" customHeight="false" outlineLevel="0" collapsed="false">
      <c r="A51" s="26" t="s">
        <v>154</v>
      </c>
      <c r="B51" s="26" t="s">
        <v>50</v>
      </c>
      <c r="C51" s="26" t="s">
        <v>108</v>
      </c>
      <c r="D51" s="26" t="s">
        <v>101</v>
      </c>
      <c r="E51" s="27" t="n">
        <v>44858</v>
      </c>
      <c r="F51" s="27"/>
      <c r="G51" s="26"/>
      <c r="H51" s="28" t="n">
        <v>64000</v>
      </c>
      <c r="I51" s="26" t="n">
        <v>9</v>
      </c>
      <c r="J51" s="26" t="n">
        <v>4</v>
      </c>
      <c r="K51" s="13" t="str">
        <f aca="false">IF(F51="","Active","Left")</f>
        <v>Active</v>
      </c>
      <c r="L51" s="16" t="n">
        <f aca="false">ROUND((IF(F51="",Assumptions!$B$5,F51)-E51)/365.25,1)</f>
        <v>3.9</v>
      </c>
      <c r="M51" s="13" t="str">
        <f aca="false">IF(L51&lt;1,"Under 1 yr",IF(L51&lt;3,"1 to 3 yrs",IF(L51&lt;5,"3 to 5 yrs","5+ yrs")))</f>
        <v>3 to 5 yrs</v>
      </c>
      <c r="N51" s="14" t="n">
        <f aca="false">H51*12</f>
        <v>768000</v>
      </c>
      <c r="O51" s="13" t="n">
        <f aca="false">IF(AND(E51&lt;Assumptions!$B$6,OR(F51="",F51&gt;=Assumptions!$B$6)),1,0)</f>
        <v>1</v>
      </c>
      <c r="P51" s="13" t="n">
        <f aca="false">IF(F51="",0,IF(AND(F51&gt;=Assumptions!$B$6,F51&lt;=Assumptions!$B$5),1,0))</f>
        <v>0</v>
      </c>
      <c r="Q51" s="14" t="n">
        <f aca="false">P51*N51*Assumptions!$B$7</f>
        <v>0</v>
      </c>
      <c r="R51" s="13" t="n">
        <f aca="false">IF(AND(P51=1,J51&gt;=Assumptions!$B$10),1,0)</f>
        <v>0</v>
      </c>
    </row>
    <row r="52" customFormat="false" ht="15" hidden="false" customHeight="false" outlineLevel="0" collapsed="false">
      <c r="A52" s="26" t="s">
        <v>155</v>
      </c>
      <c r="B52" s="26" t="s">
        <v>48</v>
      </c>
      <c r="C52" s="26" t="s">
        <v>100</v>
      </c>
      <c r="D52" s="26" t="s">
        <v>105</v>
      </c>
      <c r="E52" s="27" t="n">
        <v>43738</v>
      </c>
      <c r="F52" s="27" t="n">
        <v>46093</v>
      </c>
      <c r="G52" s="26" t="s">
        <v>62</v>
      </c>
      <c r="H52" s="28" t="n">
        <v>37000</v>
      </c>
      <c r="I52" s="26" t="n">
        <v>6</v>
      </c>
      <c r="J52" s="26" t="n">
        <v>3</v>
      </c>
      <c r="K52" s="13" t="str">
        <f aca="false">IF(F52="","Active","Left")</f>
        <v>Left</v>
      </c>
      <c r="L52" s="16" t="n">
        <f aca="false">ROUND((IF(F52="",Assumptions!$B$5,F52)-E52)/365.25,1)</f>
        <v>6.4</v>
      </c>
      <c r="M52" s="13" t="str">
        <f aca="false">IF(L52&lt;1,"Under 1 yr",IF(L52&lt;3,"1 to 3 yrs",IF(L52&lt;5,"3 to 5 yrs","5+ yrs")))</f>
        <v>5+ yrs</v>
      </c>
      <c r="N52" s="14" t="n">
        <f aca="false">H52*12</f>
        <v>444000</v>
      </c>
      <c r="O52" s="13" t="n">
        <f aca="false">IF(AND(E52&lt;Assumptions!$B$6,OR(F52="",F52&gt;=Assumptions!$B$6)),1,0)</f>
        <v>1</v>
      </c>
      <c r="P52" s="13" t="n">
        <f aca="false">IF(F52="",0,IF(AND(F52&gt;=Assumptions!$B$6,F52&lt;=Assumptions!$B$5),1,0))</f>
        <v>1</v>
      </c>
      <c r="Q52" s="14" t="n">
        <f aca="false">P52*N52*Assumptions!$B$7</f>
        <v>222000</v>
      </c>
      <c r="R52" s="13" t="n">
        <f aca="false">IF(AND(P52=1,J52&gt;=Assumptions!$B$10),1,0)</f>
        <v>0</v>
      </c>
    </row>
    <row r="53" customFormat="false" ht="15" hidden="false" customHeight="false" outlineLevel="0" collapsed="false">
      <c r="A53" s="26" t="s">
        <v>156</v>
      </c>
      <c r="B53" s="26" t="s">
        <v>50</v>
      </c>
      <c r="C53" s="26" t="s">
        <v>100</v>
      </c>
      <c r="D53" s="26" t="s">
        <v>105</v>
      </c>
      <c r="E53" s="27" t="n">
        <v>42986</v>
      </c>
      <c r="F53" s="27"/>
      <c r="G53" s="26"/>
      <c r="H53" s="28" t="n">
        <v>35000</v>
      </c>
      <c r="I53" s="26" t="n">
        <v>7</v>
      </c>
      <c r="J53" s="26" t="n">
        <v>4</v>
      </c>
      <c r="K53" s="13" t="str">
        <f aca="false">IF(F53="","Active","Left")</f>
        <v>Active</v>
      </c>
      <c r="L53" s="16" t="n">
        <f aca="false">ROUND((IF(F53="",Assumptions!$B$5,F53)-E53)/365.25,1)</f>
        <v>9.1</v>
      </c>
      <c r="M53" s="13" t="str">
        <f aca="false">IF(L53&lt;1,"Under 1 yr",IF(L53&lt;3,"1 to 3 yrs",IF(L53&lt;5,"3 to 5 yrs","5+ yrs")))</f>
        <v>5+ yrs</v>
      </c>
      <c r="N53" s="14" t="n">
        <f aca="false">H53*12</f>
        <v>420000</v>
      </c>
      <c r="O53" s="13" t="n">
        <f aca="false">IF(AND(E53&lt;Assumptions!$B$6,OR(F53="",F53&gt;=Assumptions!$B$6)),1,0)</f>
        <v>1</v>
      </c>
      <c r="P53" s="13" t="n">
        <f aca="false">IF(F53="",0,IF(AND(F53&gt;=Assumptions!$B$6,F53&lt;=Assumptions!$B$5),1,0))</f>
        <v>0</v>
      </c>
      <c r="Q53" s="14" t="n">
        <f aca="false">P53*N53*Assumptions!$B$7</f>
        <v>0</v>
      </c>
      <c r="R53" s="13" t="n">
        <f aca="false">IF(AND(P53=1,J53&gt;=Assumptions!$B$10),1,0)</f>
        <v>0</v>
      </c>
    </row>
    <row r="54" customFormat="false" ht="15" hidden="false" customHeight="false" outlineLevel="0" collapsed="false">
      <c r="A54" s="26" t="s">
        <v>157</v>
      </c>
      <c r="B54" s="26" t="s">
        <v>50</v>
      </c>
      <c r="C54" s="26" t="s">
        <v>108</v>
      </c>
      <c r="D54" s="26" t="s">
        <v>101</v>
      </c>
      <c r="E54" s="27" t="n">
        <v>45805</v>
      </c>
      <c r="F54" s="27"/>
      <c r="G54" s="26"/>
      <c r="H54" s="28" t="n">
        <v>108000</v>
      </c>
      <c r="I54" s="26" t="n">
        <v>5</v>
      </c>
      <c r="J54" s="26" t="n">
        <v>3</v>
      </c>
      <c r="K54" s="13" t="str">
        <f aca="false">IF(F54="","Active","Left")</f>
        <v>Active</v>
      </c>
      <c r="L54" s="16" t="n">
        <f aca="false">ROUND((IF(F54="",Assumptions!$B$5,F54)-E54)/365.25,1)</f>
        <v>1.3</v>
      </c>
      <c r="M54" s="13" t="str">
        <f aca="false">IF(L54&lt;1,"Under 1 yr",IF(L54&lt;3,"1 to 3 yrs",IF(L54&lt;5,"3 to 5 yrs","5+ yrs")))</f>
        <v>1 to 3 yrs</v>
      </c>
      <c r="N54" s="14" t="n">
        <f aca="false">H54*12</f>
        <v>1296000</v>
      </c>
      <c r="O54" s="13" t="n">
        <f aca="false">IF(AND(E54&lt;Assumptions!$B$6,OR(F54="",F54&gt;=Assumptions!$B$6)),1,0)</f>
        <v>1</v>
      </c>
      <c r="P54" s="13" t="n">
        <f aca="false">IF(F54="",0,IF(AND(F54&gt;=Assumptions!$B$6,F54&lt;=Assumptions!$B$5),1,0))</f>
        <v>0</v>
      </c>
      <c r="Q54" s="14" t="n">
        <f aca="false">P54*N54*Assumptions!$B$7</f>
        <v>0</v>
      </c>
      <c r="R54" s="13" t="n">
        <f aca="false">IF(AND(P54=1,J54&gt;=Assumptions!$B$10),1,0)</f>
        <v>0</v>
      </c>
    </row>
    <row r="55" customFormat="false" ht="15" hidden="false" customHeight="false" outlineLevel="0" collapsed="false">
      <c r="A55" s="26" t="s">
        <v>158</v>
      </c>
      <c r="B55" s="26" t="s">
        <v>46</v>
      </c>
      <c r="C55" s="26" t="s">
        <v>100</v>
      </c>
      <c r="D55" s="26" t="s">
        <v>101</v>
      </c>
      <c r="E55" s="27" t="n">
        <v>45628</v>
      </c>
      <c r="F55" s="27"/>
      <c r="G55" s="26"/>
      <c r="H55" s="28" t="n">
        <v>51000</v>
      </c>
      <c r="I55" s="26" t="n">
        <v>4</v>
      </c>
      <c r="J55" s="26" t="n">
        <v>3</v>
      </c>
      <c r="K55" s="13" t="str">
        <f aca="false">IF(F55="","Active","Left")</f>
        <v>Active</v>
      </c>
      <c r="L55" s="16" t="n">
        <f aca="false">ROUND((IF(F55="",Assumptions!$B$5,F55)-E55)/365.25,1)</f>
        <v>1.8</v>
      </c>
      <c r="M55" s="13" t="str">
        <f aca="false">IF(L55&lt;1,"Under 1 yr",IF(L55&lt;3,"1 to 3 yrs",IF(L55&lt;5,"3 to 5 yrs","5+ yrs")))</f>
        <v>1 to 3 yrs</v>
      </c>
      <c r="N55" s="14" t="n">
        <f aca="false">H55*12</f>
        <v>612000</v>
      </c>
      <c r="O55" s="13" t="n">
        <f aca="false">IF(AND(E55&lt;Assumptions!$B$6,OR(F55="",F55&gt;=Assumptions!$B$6)),1,0)</f>
        <v>1</v>
      </c>
      <c r="P55" s="13" t="n">
        <f aca="false">IF(F55="",0,IF(AND(F55&gt;=Assumptions!$B$6,F55&lt;=Assumptions!$B$5),1,0))</f>
        <v>0</v>
      </c>
      <c r="Q55" s="14" t="n">
        <f aca="false">P55*N55*Assumptions!$B$7</f>
        <v>0</v>
      </c>
      <c r="R55" s="13" t="n">
        <f aca="false">IF(AND(P55=1,J55&gt;=Assumptions!$B$10),1,0)</f>
        <v>0</v>
      </c>
    </row>
    <row r="56" customFormat="false" ht="15" hidden="false" customHeight="false" outlineLevel="0" collapsed="false">
      <c r="A56" s="26" t="s">
        <v>159</v>
      </c>
      <c r="B56" s="26" t="s">
        <v>45</v>
      </c>
      <c r="C56" s="26" t="s">
        <v>108</v>
      </c>
      <c r="D56" s="26" t="s">
        <v>101</v>
      </c>
      <c r="E56" s="27" t="n">
        <v>42377</v>
      </c>
      <c r="F56" s="27"/>
      <c r="G56" s="26"/>
      <c r="H56" s="28" t="n">
        <v>61000</v>
      </c>
      <c r="I56" s="26" t="n">
        <v>12</v>
      </c>
      <c r="J56" s="26" t="n">
        <v>3</v>
      </c>
      <c r="K56" s="13" t="str">
        <f aca="false">IF(F56="","Active","Left")</f>
        <v>Active</v>
      </c>
      <c r="L56" s="16" t="n">
        <f aca="false">ROUND((IF(F56="",Assumptions!$B$5,F56)-E56)/365.25,1)</f>
        <v>10.7</v>
      </c>
      <c r="M56" s="13" t="str">
        <f aca="false">IF(L56&lt;1,"Under 1 yr",IF(L56&lt;3,"1 to 3 yrs",IF(L56&lt;5,"3 to 5 yrs","5+ yrs")))</f>
        <v>5+ yrs</v>
      </c>
      <c r="N56" s="14" t="n">
        <f aca="false">H56*12</f>
        <v>732000</v>
      </c>
      <c r="O56" s="13" t="n">
        <f aca="false">IF(AND(E56&lt;Assumptions!$B$6,OR(F56="",F56&gt;=Assumptions!$B$6)),1,0)</f>
        <v>1</v>
      </c>
      <c r="P56" s="13" t="n">
        <f aca="false">IF(F56="",0,IF(AND(F56&gt;=Assumptions!$B$6,F56&lt;=Assumptions!$B$5),1,0))</f>
        <v>0</v>
      </c>
      <c r="Q56" s="14" t="n">
        <f aca="false">P56*N56*Assumptions!$B$7</f>
        <v>0</v>
      </c>
      <c r="R56" s="13" t="n">
        <f aca="false">IF(AND(P56=1,J56&gt;=Assumptions!$B$10),1,0)</f>
        <v>0</v>
      </c>
    </row>
    <row r="57" customFormat="false" ht="15" hidden="false" customHeight="false" outlineLevel="0" collapsed="false">
      <c r="A57" s="26" t="s">
        <v>160</v>
      </c>
      <c r="B57" s="26" t="s">
        <v>46</v>
      </c>
      <c r="C57" s="26" t="s">
        <v>108</v>
      </c>
      <c r="D57" s="26" t="s">
        <v>101</v>
      </c>
      <c r="E57" s="27" t="n">
        <v>46113</v>
      </c>
      <c r="F57" s="27" t="n">
        <v>46187</v>
      </c>
      <c r="G57" s="26" t="s">
        <v>67</v>
      </c>
      <c r="H57" s="28" t="n">
        <v>98000</v>
      </c>
      <c r="I57" s="26" t="n">
        <v>6</v>
      </c>
      <c r="J57" s="26" t="n">
        <v>3</v>
      </c>
      <c r="K57" s="13" t="str">
        <f aca="false">IF(F57="","Active","Left")</f>
        <v>Left</v>
      </c>
      <c r="L57" s="16" t="n">
        <f aca="false">ROUND((IF(F57="",Assumptions!$B$5,F57)-E57)/365.25,1)</f>
        <v>0.2</v>
      </c>
      <c r="M57" s="13" t="str">
        <f aca="false">IF(L57&lt;1,"Under 1 yr",IF(L57&lt;3,"1 to 3 yrs",IF(L57&lt;5,"3 to 5 yrs","5+ yrs")))</f>
        <v>Under 1 yr</v>
      </c>
      <c r="N57" s="14" t="n">
        <f aca="false">H57*12</f>
        <v>1176000</v>
      </c>
      <c r="O57" s="13" t="n">
        <f aca="false">IF(AND(E57&lt;Assumptions!$B$6,OR(F57="",F57&gt;=Assumptions!$B$6)),1,0)</f>
        <v>0</v>
      </c>
      <c r="P57" s="13" t="n">
        <f aca="false">IF(F57="",0,IF(AND(F57&gt;=Assumptions!$B$6,F57&lt;=Assumptions!$B$5),1,0))</f>
        <v>1</v>
      </c>
      <c r="Q57" s="14" t="n">
        <f aca="false">P57*N57*Assumptions!$B$7</f>
        <v>588000</v>
      </c>
      <c r="R57" s="13" t="n">
        <f aca="false">IF(AND(P57=1,J57&gt;=Assumptions!$B$10),1,0)</f>
        <v>0</v>
      </c>
    </row>
    <row r="58" customFormat="false" ht="15" hidden="false" customHeight="false" outlineLevel="0" collapsed="false">
      <c r="A58" s="26" t="s">
        <v>161</v>
      </c>
      <c r="B58" s="26" t="s">
        <v>46</v>
      </c>
      <c r="C58" s="26" t="s">
        <v>104</v>
      </c>
      <c r="D58" s="26" t="s">
        <v>101</v>
      </c>
      <c r="E58" s="27" t="n">
        <v>42777</v>
      </c>
      <c r="F58" s="27"/>
      <c r="G58" s="26"/>
      <c r="H58" s="28" t="n">
        <v>159000</v>
      </c>
      <c r="I58" s="26" t="n">
        <v>3</v>
      </c>
      <c r="J58" s="26" t="n">
        <v>4</v>
      </c>
      <c r="K58" s="13" t="str">
        <f aca="false">IF(F58="","Active","Left")</f>
        <v>Active</v>
      </c>
      <c r="L58" s="16" t="n">
        <f aca="false">ROUND((IF(F58="",Assumptions!$B$5,F58)-E58)/365.25,1)</f>
        <v>9.6</v>
      </c>
      <c r="M58" s="13" t="str">
        <f aca="false">IF(L58&lt;1,"Under 1 yr",IF(L58&lt;3,"1 to 3 yrs",IF(L58&lt;5,"3 to 5 yrs","5+ yrs")))</f>
        <v>5+ yrs</v>
      </c>
      <c r="N58" s="14" t="n">
        <f aca="false">H58*12</f>
        <v>1908000</v>
      </c>
      <c r="O58" s="13" t="n">
        <f aca="false">IF(AND(E58&lt;Assumptions!$B$6,OR(F58="",F58&gt;=Assumptions!$B$6)),1,0)</f>
        <v>1</v>
      </c>
      <c r="P58" s="13" t="n">
        <f aca="false">IF(F58="",0,IF(AND(F58&gt;=Assumptions!$B$6,F58&lt;=Assumptions!$B$5),1,0))</f>
        <v>0</v>
      </c>
      <c r="Q58" s="14" t="n">
        <f aca="false">P58*N58*Assumptions!$B$7</f>
        <v>0</v>
      </c>
      <c r="R58" s="13" t="n">
        <f aca="false">IF(AND(P58=1,J58&gt;=Assumptions!$B$10),1,0)</f>
        <v>0</v>
      </c>
    </row>
    <row r="59" customFormat="false" ht="15" hidden="false" customHeight="false" outlineLevel="0" collapsed="false">
      <c r="A59" s="26" t="s">
        <v>162</v>
      </c>
      <c r="B59" s="26" t="s">
        <v>50</v>
      </c>
      <c r="C59" s="26" t="s">
        <v>100</v>
      </c>
      <c r="D59" s="26" t="s">
        <v>101</v>
      </c>
      <c r="E59" s="27" t="n">
        <v>45006</v>
      </c>
      <c r="F59" s="27"/>
      <c r="G59" s="26"/>
      <c r="H59" s="28" t="n">
        <v>58000</v>
      </c>
      <c r="I59" s="26" t="n">
        <v>10</v>
      </c>
      <c r="J59" s="26" t="n">
        <v>5</v>
      </c>
      <c r="K59" s="13" t="str">
        <f aca="false">IF(F59="","Active","Left")</f>
        <v>Active</v>
      </c>
      <c r="L59" s="16" t="n">
        <f aca="false">ROUND((IF(F59="",Assumptions!$B$5,F59)-E59)/365.25,1)</f>
        <v>3.5</v>
      </c>
      <c r="M59" s="13" t="str">
        <f aca="false">IF(L59&lt;1,"Under 1 yr",IF(L59&lt;3,"1 to 3 yrs",IF(L59&lt;5,"3 to 5 yrs","5+ yrs")))</f>
        <v>3 to 5 yrs</v>
      </c>
      <c r="N59" s="14" t="n">
        <f aca="false">H59*12</f>
        <v>696000</v>
      </c>
      <c r="O59" s="13" t="n">
        <f aca="false">IF(AND(E59&lt;Assumptions!$B$6,OR(F59="",F59&gt;=Assumptions!$B$6)),1,0)</f>
        <v>1</v>
      </c>
      <c r="P59" s="13" t="n">
        <f aca="false">IF(F59="",0,IF(AND(F59&gt;=Assumptions!$B$6,F59&lt;=Assumptions!$B$5),1,0))</f>
        <v>0</v>
      </c>
      <c r="Q59" s="14" t="n">
        <f aca="false">P59*N59*Assumptions!$B$7</f>
        <v>0</v>
      </c>
      <c r="R59" s="13" t="n">
        <f aca="false">IF(AND(P59=1,J59&gt;=Assumptions!$B$10),1,0)</f>
        <v>0</v>
      </c>
    </row>
    <row r="60" customFormat="false" ht="15" hidden="false" customHeight="false" outlineLevel="0" collapsed="false">
      <c r="A60" s="26" t="s">
        <v>163</v>
      </c>
      <c r="B60" s="26" t="s">
        <v>50</v>
      </c>
      <c r="C60" s="26" t="s">
        <v>108</v>
      </c>
      <c r="D60" s="26" t="s">
        <v>105</v>
      </c>
      <c r="E60" s="27" t="n">
        <v>43415</v>
      </c>
      <c r="F60" s="27"/>
      <c r="G60" s="26"/>
      <c r="H60" s="28" t="n">
        <v>91000</v>
      </c>
      <c r="I60" s="26" t="n">
        <v>9</v>
      </c>
      <c r="J60" s="26" t="n">
        <v>3</v>
      </c>
      <c r="K60" s="13" t="str">
        <f aca="false">IF(F60="","Active","Left")</f>
        <v>Active</v>
      </c>
      <c r="L60" s="16" t="n">
        <f aca="false">ROUND((IF(F60="",Assumptions!$B$5,F60)-E60)/365.25,1)</f>
        <v>7.9</v>
      </c>
      <c r="M60" s="13" t="str">
        <f aca="false">IF(L60&lt;1,"Under 1 yr",IF(L60&lt;3,"1 to 3 yrs",IF(L60&lt;5,"3 to 5 yrs","5+ yrs")))</f>
        <v>5+ yrs</v>
      </c>
      <c r="N60" s="14" t="n">
        <f aca="false">H60*12</f>
        <v>1092000</v>
      </c>
      <c r="O60" s="13" t="n">
        <f aca="false">IF(AND(E60&lt;Assumptions!$B$6,OR(F60="",F60&gt;=Assumptions!$B$6)),1,0)</f>
        <v>1</v>
      </c>
      <c r="P60" s="13" t="n">
        <f aca="false">IF(F60="",0,IF(AND(F60&gt;=Assumptions!$B$6,F60&lt;=Assumptions!$B$5),1,0))</f>
        <v>0</v>
      </c>
      <c r="Q60" s="14" t="n">
        <f aca="false">P60*N60*Assumptions!$B$7</f>
        <v>0</v>
      </c>
      <c r="R60" s="13" t="n">
        <f aca="false">IF(AND(P60=1,J60&gt;=Assumptions!$B$10),1,0)</f>
        <v>0</v>
      </c>
    </row>
    <row r="61" customFormat="false" ht="15" hidden="false" customHeight="false" outlineLevel="0" collapsed="false">
      <c r="A61" s="26" t="s">
        <v>164</v>
      </c>
      <c r="B61" s="26" t="s">
        <v>47</v>
      </c>
      <c r="C61" s="26" t="s">
        <v>100</v>
      </c>
      <c r="D61" s="26" t="s">
        <v>101</v>
      </c>
      <c r="E61" s="27" t="n">
        <v>45074</v>
      </c>
      <c r="F61" s="27"/>
      <c r="G61" s="26"/>
      <c r="H61" s="28" t="n">
        <v>49000</v>
      </c>
      <c r="I61" s="26" t="n">
        <v>6</v>
      </c>
      <c r="J61" s="26" t="n">
        <v>2</v>
      </c>
      <c r="K61" s="13" t="str">
        <f aca="false">IF(F61="","Active","Left")</f>
        <v>Active</v>
      </c>
      <c r="L61" s="16" t="n">
        <f aca="false">ROUND((IF(F61="",Assumptions!$B$5,F61)-E61)/365.25,1)</f>
        <v>3.3</v>
      </c>
      <c r="M61" s="13" t="str">
        <f aca="false">IF(L61&lt;1,"Under 1 yr",IF(L61&lt;3,"1 to 3 yrs",IF(L61&lt;5,"3 to 5 yrs","5+ yrs")))</f>
        <v>3 to 5 yrs</v>
      </c>
      <c r="N61" s="14" t="n">
        <f aca="false">H61*12</f>
        <v>588000</v>
      </c>
      <c r="O61" s="13" t="n">
        <f aca="false">IF(AND(E61&lt;Assumptions!$B$6,OR(F61="",F61&gt;=Assumptions!$B$6)),1,0)</f>
        <v>1</v>
      </c>
      <c r="P61" s="13" t="n">
        <f aca="false">IF(F61="",0,IF(AND(F61&gt;=Assumptions!$B$6,F61&lt;=Assumptions!$B$5),1,0))</f>
        <v>0</v>
      </c>
      <c r="Q61" s="14" t="n">
        <f aca="false">P61*N61*Assumptions!$B$7</f>
        <v>0</v>
      </c>
      <c r="R61" s="13" t="n">
        <f aca="false">IF(AND(P61=1,J61&gt;=Assumptions!$B$10),1,0)</f>
        <v>0</v>
      </c>
    </row>
    <row r="62" customFormat="false" ht="15" hidden="false" customHeight="false" outlineLevel="0" collapsed="false">
      <c r="A62" s="26" t="s">
        <v>165</v>
      </c>
      <c r="B62" s="26" t="s">
        <v>46</v>
      </c>
      <c r="C62" s="26" t="s">
        <v>108</v>
      </c>
      <c r="D62" s="26" t="s">
        <v>101</v>
      </c>
      <c r="E62" s="27" t="n">
        <v>46050</v>
      </c>
      <c r="F62" s="27"/>
      <c r="G62" s="26"/>
      <c r="H62" s="28" t="n">
        <v>69000</v>
      </c>
      <c r="I62" s="26" t="n">
        <v>6</v>
      </c>
      <c r="J62" s="26" t="n">
        <v>3</v>
      </c>
      <c r="K62" s="13" t="str">
        <f aca="false">IF(F62="","Active","Left")</f>
        <v>Active</v>
      </c>
      <c r="L62" s="16" t="n">
        <f aca="false">ROUND((IF(F62="",Assumptions!$B$5,F62)-E62)/365.25,1)</f>
        <v>0.7</v>
      </c>
      <c r="M62" s="13" t="str">
        <f aca="false">IF(L62&lt;1,"Under 1 yr",IF(L62&lt;3,"1 to 3 yrs",IF(L62&lt;5,"3 to 5 yrs","5+ yrs")))</f>
        <v>Under 1 yr</v>
      </c>
      <c r="N62" s="14" t="n">
        <f aca="false">H62*12</f>
        <v>828000</v>
      </c>
      <c r="O62" s="13" t="n">
        <f aca="false">IF(AND(E62&lt;Assumptions!$B$6,OR(F62="",F62&gt;=Assumptions!$B$6)),1,0)</f>
        <v>0</v>
      </c>
      <c r="P62" s="13" t="n">
        <f aca="false">IF(F62="",0,IF(AND(F62&gt;=Assumptions!$B$6,F62&lt;=Assumptions!$B$5),1,0))</f>
        <v>0</v>
      </c>
      <c r="Q62" s="14" t="n">
        <f aca="false">P62*N62*Assumptions!$B$7</f>
        <v>0</v>
      </c>
      <c r="R62" s="13" t="n">
        <f aca="false">IF(AND(P62=1,J62&gt;=Assumptions!$B$10),1,0)</f>
        <v>0</v>
      </c>
    </row>
    <row r="63" customFormat="false" ht="15" hidden="false" customHeight="false" outlineLevel="0" collapsed="false">
      <c r="A63" s="26" t="s">
        <v>166</v>
      </c>
      <c r="B63" s="26" t="s">
        <v>50</v>
      </c>
      <c r="C63" s="26" t="s">
        <v>108</v>
      </c>
      <c r="D63" s="26" t="s">
        <v>101</v>
      </c>
      <c r="E63" s="27" t="n">
        <v>45248</v>
      </c>
      <c r="F63" s="27"/>
      <c r="G63" s="26"/>
      <c r="H63" s="28" t="n">
        <v>90000</v>
      </c>
      <c r="I63" s="26" t="n">
        <v>4</v>
      </c>
      <c r="J63" s="26" t="n">
        <v>3</v>
      </c>
      <c r="K63" s="13" t="str">
        <f aca="false">IF(F63="","Active","Left")</f>
        <v>Active</v>
      </c>
      <c r="L63" s="16" t="n">
        <f aca="false">ROUND((IF(F63="",Assumptions!$B$5,F63)-E63)/365.25,1)</f>
        <v>2.9</v>
      </c>
      <c r="M63" s="13" t="str">
        <f aca="false">IF(L63&lt;1,"Under 1 yr",IF(L63&lt;3,"1 to 3 yrs",IF(L63&lt;5,"3 to 5 yrs","5+ yrs")))</f>
        <v>1 to 3 yrs</v>
      </c>
      <c r="N63" s="14" t="n">
        <f aca="false">H63*12</f>
        <v>1080000</v>
      </c>
      <c r="O63" s="13" t="n">
        <f aca="false">IF(AND(E63&lt;Assumptions!$B$6,OR(F63="",F63&gt;=Assumptions!$B$6)),1,0)</f>
        <v>1</v>
      </c>
      <c r="P63" s="13" t="n">
        <f aca="false">IF(F63="",0,IF(AND(F63&gt;=Assumptions!$B$6,F63&lt;=Assumptions!$B$5),1,0))</f>
        <v>0</v>
      </c>
      <c r="Q63" s="14" t="n">
        <f aca="false">P63*N63*Assumptions!$B$7</f>
        <v>0</v>
      </c>
      <c r="R63" s="13" t="n">
        <f aca="false">IF(AND(P63=1,J63&gt;=Assumptions!$B$10),1,0)</f>
        <v>0</v>
      </c>
    </row>
    <row r="64" customFormat="false" ht="15" hidden="false" customHeight="false" outlineLevel="0" collapsed="false">
      <c r="A64" s="26" t="s">
        <v>167</v>
      </c>
      <c r="B64" s="26" t="s">
        <v>45</v>
      </c>
      <c r="C64" s="26" t="s">
        <v>108</v>
      </c>
      <c r="D64" s="26" t="s">
        <v>101</v>
      </c>
      <c r="E64" s="27" t="n">
        <v>44532</v>
      </c>
      <c r="F64" s="27"/>
      <c r="G64" s="26"/>
      <c r="H64" s="28" t="n">
        <v>83000</v>
      </c>
      <c r="I64" s="26" t="n">
        <v>9</v>
      </c>
      <c r="J64" s="26" t="n">
        <v>4</v>
      </c>
      <c r="K64" s="13" t="str">
        <f aca="false">IF(F64="","Active","Left")</f>
        <v>Active</v>
      </c>
      <c r="L64" s="16" t="n">
        <f aca="false">ROUND((IF(F64="",Assumptions!$B$5,F64)-E64)/365.25,1)</f>
        <v>4.8</v>
      </c>
      <c r="M64" s="13" t="str">
        <f aca="false">IF(L64&lt;1,"Under 1 yr",IF(L64&lt;3,"1 to 3 yrs",IF(L64&lt;5,"3 to 5 yrs","5+ yrs")))</f>
        <v>3 to 5 yrs</v>
      </c>
      <c r="N64" s="14" t="n">
        <f aca="false">H64*12</f>
        <v>996000</v>
      </c>
      <c r="O64" s="13" t="n">
        <f aca="false">IF(AND(E64&lt;Assumptions!$B$6,OR(F64="",F64&gt;=Assumptions!$B$6)),1,0)</f>
        <v>1</v>
      </c>
      <c r="P64" s="13" t="n">
        <f aca="false">IF(F64="",0,IF(AND(F64&gt;=Assumptions!$B$6,F64&lt;=Assumptions!$B$5),1,0))</f>
        <v>0</v>
      </c>
      <c r="Q64" s="14" t="n">
        <f aca="false">P64*N64*Assumptions!$B$7</f>
        <v>0</v>
      </c>
      <c r="R64" s="13" t="n">
        <f aca="false">IF(AND(P64=1,J64&gt;=Assumptions!$B$10),1,0)</f>
        <v>0</v>
      </c>
    </row>
    <row r="65" customFormat="false" ht="15" hidden="false" customHeight="false" outlineLevel="0" collapsed="false">
      <c r="A65" s="26" t="s">
        <v>168</v>
      </c>
      <c r="B65" s="26" t="s">
        <v>49</v>
      </c>
      <c r="C65" s="26" t="s">
        <v>104</v>
      </c>
      <c r="D65" s="26" t="s">
        <v>105</v>
      </c>
      <c r="E65" s="27" t="n">
        <v>42298</v>
      </c>
      <c r="F65" s="27"/>
      <c r="G65" s="26"/>
      <c r="H65" s="28" t="n">
        <v>159000</v>
      </c>
      <c r="I65" s="26" t="n">
        <v>3</v>
      </c>
      <c r="J65" s="26" t="n">
        <v>4</v>
      </c>
      <c r="K65" s="13" t="str">
        <f aca="false">IF(F65="","Active","Left")</f>
        <v>Active</v>
      </c>
      <c r="L65" s="16" t="n">
        <f aca="false">ROUND((IF(F65="",Assumptions!$B$5,F65)-E65)/365.25,1)</f>
        <v>10.9</v>
      </c>
      <c r="M65" s="13" t="str">
        <f aca="false">IF(L65&lt;1,"Under 1 yr",IF(L65&lt;3,"1 to 3 yrs",IF(L65&lt;5,"3 to 5 yrs","5+ yrs")))</f>
        <v>5+ yrs</v>
      </c>
      <c r="N65" s="14" t="n">
        <f aca="false">H65*12</f>
        <v>1908000</v>
      </c>
      <c r="O65" s="13" t="n">
        <f aca="false">IF(AND(E65&lt;Assumptions!$B$6,OR(F65="",F65&gt;=Assumptions!$B$6)),1,0)</f>
        <v>1</v>
      </c>
      <c r="P65" s="13" t="n">
        <f aca="false">IF(F65="",0,IF(AND(F65&gt;=Assumptions!$B$6,F65&lt;=Assumptions!$B$5),1,0))</f>
        <v>0</v>
      </c>
      <c r="Q65" s="14" t="n">
        <f aca="false">P65*N65*Assumptions!$B$7</f>
        <v>0</v>
      </c>
      <c r="R65" s="13" t="n">
        <f aca="false">IF(AND(P65=1,J65&gt;=Assumptions!$B$10),1,0)</f>
        <v>0</v>
      </c>
    </row>
    <row r="66" customFormat="false" ht="15" hidden="false" customHeight="false" outlineLevel="0" collapsed="false">
      <c r="A66" s="26" t="s">
        <v>169</v>
      </c>
      <c r="B66" s="26" t="s">
        <v>46</v>
      </c>
      <c r="C66" s="26" t="s">
        <v>108</v>
      </c>
      <c r="D66" s="26" t="s">
        <v>105</v>
      </c>
      <c r="E66" s="27" t="n">
        <v>42420</v>
      </c>
      <c r="F66" s="27"/>
      <c r="G66" s="26"/>
      <c r="H66" s="28" t="n">
        <v>82000</v>
      </c>
      <c r="I66" s="26" t="n">
        <v>5</v>
      </c>
      <c r="J66" s="26" t="n">
        <v>3</v>
      </c>
      <c r="K66" s="13" t="str">
        <f aca="false">IF(F66="","Active","Left")</f>
        <v>Active</v>
      </c>
      <c r="L66" s="16" t="n">
        <f aca="false">ROUND((IF(F66="",Assumptions!$B$5,F66)-E66)/365.25,1)</f>
        <v>10.6</v>
      </c>
      <c r="M66" s="13" t="str">
        <f aca="false">IF(L66&lt;1,"Under 1 yr",IF(L66&lt;3,"1 to 3 yrs",IF(L66&lt;5,"3 to 5 yrs","5+ yrs")))</f>
        <v>5+ yrs</v>
      </c>
      <c r="N66" s="14" t="n">
        <f aca="false">H66*12</f>
        <v>984000</v>
      </c>
      <c r="O66" s="13" t="n">
        <f aca="false">IF(AND(E66&lt;Assumptions!$B$6,OR(F66="",F66&gt;=Assumptions!$B$6)),1,0)</f>
        <v>1</v>
      </c>
      <c r="P66" s="13" t="n">
        <f aca="false">IF(F66="",0,IF(AND(F66&gt;=Assumptions!$B$6,F66&lt;=Assumptions!$B$5),1,0))</f>
        <v>0</v>
      </c>
      <c r="Q66" s="14" t="n">
        <f aca="false">P66*N66*Assumptions!$B$7</f>
        <v>0</v>
      </c>
      <c r="R66" s="13" t="n">
        <f aca="false">IF(AND(P66=1,J66&gt;=Assumptions!$B$10),1,0)</f>
        <v>0</v>
      </c>
    </row>
    <row r="67" customFormat="false" ht="15" hidden="false" customHeight="false" outlineLevel="0" collapsed="false">
      <c r="A67" s="26" t="s">
        <v>170</v>
      </c>
      <c r="B67" s="26" t="s">
        <v>45</v>
      </c>
      <c r="C67" s="26" t="s">
        <v>104</v>
      </c>
      <c r="D67" s="26" t="s">
        <v>105</v>
      </c>
      <c r="E67" s="27" t="n">
        <v>45446</v>
      </c>
      <c r="F67" s="27"/>
      <c r="G67" s="26"/>
      <c r="H67" s="28" t="n">
        <v>175000</v>
      </c>
      <c r="I67" s="26" t="n">
        <v>8</v>
      </c>
      <c r="J67" s="26" t="n">
        <v>3</v>
      </c>
      <c r="K67" s="13" t="str">
        <f aca="false">IF(F67="","Active","Left")</f>
        <v>Active</v>
      </c>
      <c r="L67" s="16" t="n">
        <f aca="false">ROUND((IF(F67="",Assumptions!$B$5,F67)-E67)/365.25,1)</f>
        <v>2.3</v>
      </c>
      <c r="M67" s="13" t="str">
        <f aca="false">IF(L67&lt;1,"Under 1 yr",IF(L67&lt;3,"1 to 3 yrs",IF(L67&lt;5,"3 to 5 yrs","5+ yrs")))</f>
        <v>1 to 3 yrs</v>
      </c>
      <c r="N67" s="14" t="n">
        <f aca="false">H67*12</f>
        <v>2100000</v>
      </c>
      <c r="O67" s="13" t="n">
        <f aca="false">IF(AND(E67&lt;Assumptions!$B$6,OR(F67="",F67&gt;=Assumptions!$B$6)),1,0)</f>
        <v>1</v>
      </c>
      <c r="P67" s="13" t="n">
        <f aca="false">IF(F67="",0,IF(AND(F67&gt;=Assumptions!$B$6,F67&lt;=Assumptions!$B$5),1,0))</f>
        <v>0</v>
      </c>
      <c r="Q67" s="14" t="n">
        <f aca="false">P67*N67*Assumptions!$B$7</f>
        <v>0</v>
      </c>
      <c r="R67" s="13" t="n">
        <f aca="false">IF(AND(P67=1,J67&gt;=Assumptions!$B$10),1,0)</f>
        <v>0</v>
      </c>
    </row>
    <row r="68" customFormat="false" ht="15" hidden="false" customHeight="false" outlineLevel="0" collapsed="false">
      <c r="A68" s="26" t="s">
        <v>171</v>
      </c>
      <c r="B68" s="26" t="s">
        <v>50</v>
      </c>
      <c r="C68" s="26" t="s">
        <v>108</v>
      </c>
      <c r="D68" s="26" t="s">
        <v>105</v>
      </c>
      <c r="E68" s="27" t="n">
        <v>46195</v>
      </c>
      <c r="F68" s="27" t="n">
        <v>46289</v>
      </c>
      <c r="G68" s="26" t="s">
        <v>63</v>
      </c>
      <c r="H68" s="28" t="n">
        <v>85000</v>
      </c>
      <c r="I68" s="26" t="n">
        <v>4</v>
      </c>
      <c r="J68" s="26" t="n">
        <v>4</v>
      </c>
      <c r="K68" s="13" t="str">
        <f aca="false">IF(F68="","Active","Left")</f>
        <v>Left</v>
      </c>
      <c r="L68" s="16" t="n">
        <f aca="false">ROUND((IF(F68="",Assumptions!$B$5,F68)-E68)/365.25,1)</f>
        <v>0.3</v>
      </c>
      <c r="M68" s="13" t="str">
        <f aca="false">IF(L68&lt;1,"Under 1 yr",IF(L68&lt;3,"1 to 3 yrs",IF(L68&lt;5,"3 to 5 yrs","5+ yrs")))</f>
        <v>Under 1 yr</v>
      </c>
      <c r="N68" s="14" t="n">
        <f aca="false">H68*12</f>
        <v>1020000</v>
      </c>
      <c r="O68" s="13" t="n">
        <f aca="false">IF(AND(E68&lt;Assumptions!$B$6,OR(F68="",F68&gt;=Assumptions!$B$6)),1,0)</f>
        <v>0</v>
      </c>
      <c r="P68" s="13" t="n">
        <f aca="false">IF(F68="",0,IF(AND(F68&gt;=Assumptions!$B$6,F68&lt;=Assumptions!$B$5),1,0))</f>
        <v>1</v>
      </c>
      <c r="Q68" s="14" t="n">
        <f aca="false">P68*N68*Assumptions!$B$7</f>
        <v>510000</v>
      </c>
      <c r="R68" s="13" t="n">
        <f aca="false">IF(AND(P68=1,J68&gt;=Assumptions!$B$10),1,0)</f>
        <v>1</v>
      </c>
    </row>
    <row r="69" customFormat="false" ht="15" hidden="false" customHeight="false" outlineLevel="0" collapsed="false">
      <c r="A69" s="26" t="s">
        <v>172</v>
      </c>
      <c r="B69" s="26" t="s">
        <v>50</v>
      </c>
      <c r="C69" s="26" t="s">
        <v>104</v>
      </c>
      <c r="D69" s="26" t="s">
        <v>105</v>
      </c>
      <c r="E69" s="27" t="n">
        <v>43612</v>
      </c>
      <c r="F69" s="27"/>
      <c r="G69" s="26"/>
      <c r="H69" s="28" t="n">
        <v>174000</v>
      </c>
      <c r="I69" s="26" t="n">
        <v>14</v>
      </c>
      <c r="J69" s="26" t="n">
        <v>2</v>
      </c>
      <c r="K69" s="13" t="str">
        <f aca="false">IF(F69="","Active","Left")</f>
        <v>Active</v>
      </c>
      <c r="L69" s="16" t="n">
        <f aca="false">ROUND((IF(F69="",Assumptions!$B$5,F69)-E69)/365.25,1)</f>
        <v>7.3</v>
      </c>
      <c r="M69" s="13" t="str">
        <f aca="false">IF(L69&lt;1,"Under 1 yr",IF(L69&lt;3,"1 to 3 yrs",IF(L69&lt;5,"3 to 5 yrs","5+ yrs")))</f>
        <v>5+ yrs</v>
      </c>
      <c r="N69" s="14" t="n">
        <f aca="false">H69*12</f>
        <v>2088000</v>
      </c>
      <c r="O69" s="13" t="n">
        <f aca="false">IF(AND(E69&lt;Assumptions!$B$6,OR(F69="",F69&gt;=Assumptions!$B$6)),1,0)</f>
        <v>1</v>
      </c>
      <c r="P69" s="13" t="n">
        <f aca="false">IF(F69="",0,IF(AND(F69&gt;=Assumptions!$B$6,F69&lt;=Assumptions!$B$5),1,0))</f>
        <v>0</v>
      </c>
      <c r="Q69" s="14" t="n">
        <f aca="false">P69*N69*Assumptions!$B$7</f>
        <v>0</v>
      </c>
      <c r="R69" s="13" t="n">
        <f aca="false">IF(AND(P69=1,J69&gt;=Assumptions!$B$10),1,0)</f>
        <v>0</v>
      </c>
    </row>
    <row r="70" customFormat="false" ht="15" hidden="false" customHeight="false" outlineLevel="0" collapsed="false">
      <c r="A70" s="26" t="s">
        <v>173</v>
      </c>
      <c r="B70" s="26" t="s">
        <v>45</v>
      </c>
      <c r="C70" s="26" t="s">
        <v>100</v>
      </c>
      <c r="D70" s="26" t="s">
        <v>101</v>
      </c>
      <c r="E70" s="27" t="n">
        <v>44213</v>
      </c>
      <c r="F70" s="27"/>
      <c r="G70" s="26"/>
      <c r="H70" s="28" t="n">
        <v>52000</v>
      </c>
      <c r="I70" s="26" t="n">
        <v>2</v>
      </c>
      <c r="J70" s="26" t="n">
        <v>3</v>
      </c>
      <c r="K70" s="13" t="str">
        <f aca="false">IF(F70="","Active","Left")</f>
        <v>Active</v>
      </c>
      <c r="L70" s="16" t="n">
        <f aca="false">ROUND((IF(F70="",Assumptions!$B$5,F70)-E70)/365.25,1)</f>
        <v>5.7</v>
      </c>
      <c r="M70" s="13" t="str">
        <f aca="false">IF(L70&lt;1,"Under 1 yr",IF(L70&lt;3,"1 to 3 yrs",IF(L70&lt;5,"3 to 5 yrs","5+ yrs")))</f>
        <v>5+ yrs</v>
      </c>
      <c r="N70" s="14" t="n">
        <f aca="false">H70*12</f>
        <v>624000</v>
      </c>
      <c r="O70" s="13" t="n">
        <f aca="false">IF(AND(E70&lt;Assumptions!$B$6,OR(F70="",F70&gt;=Assumptions!$B$6)),1,0)</f>
        <v>1</v>
      </c>
      <c r="P70" s="13" t="n">
        <f aca="false">IF(F70="",0,IF(AND(F70&gt;=Assumptions!$B$6,F70&lt;=Assumptions!$B$5),1,0))</f>
        <v>0</v>
      </c>
      <c r="Q70" s="14" t="n">
        <f aca="false">P70*N70*Assumptions!$B$7</f>
        <v>0</v>
      </c>
      <c r="R70" s="13" t="n">
        <f aca="false">IF(AND(P70=1,J70&gt;=Assumptions!$B$10),1,0)</f>
        <v>0</v>
      </c>
    </row>
    <row r="71" customFormat="false" ht="15" hidden="false" customHeight="false" outlineLevel="0" collapsed="false">
      <c r="A71" s="26" t="s">
        <v>174</v>
      </c>
      <c r="B71" s="26" t="s">
        <v>46</v>
      </c>
      <c r="C71" s="26" t="s">
        <v>100</v>
      </c>
      <c r="D71" s="26" t="s">
        <v>105</v>
      </c>
      <c r="E71" s="27" t="n">
        <v>44552</v>
      </c>
      <c r="F71" s="27" t="n">
        <v>45241</v>
      </c>
      <c r="G71" s="26" t="s">
        <v>65</v>
      </c>
      <c r="H71" s="28" t="n">
        <v>55000</v>
      </c>
      <c r="I71" s="26" t="n">
        <v>6</v>
      </c>
      <c r="J71" s="26" t="n">
        <v>4</v>
      </c>
      <c r="K71" s="13" t="str">
        <f aca="false">IF(F71="","Active","Left")</f>
        <v>Left</v>
      </c>
      <c r="L71" s="16" t="n">
        <f aca="false">ROUND((IF(F71="",Assumptions!$B$5,F71)-E71)/365.25,1)</f>
        <v>1.9</v>
      </c>
      <c r="M71" s="13" t="str">
        <f aca="false">IF(L71&lt;1,"Under 1 yr",IF(L71&lt;3,"1 to 3 yrs",IF(L71&lt;5,"3 to 5 yrs","5+ yrs")))</f>
        <v>1 to 3 yrs</v>
      </c>
      <c r="N71" s="14" t="n">
        <f aca="false">H71*12</f>
        <v>660000</v>
      </c>
      <c r="O71" s="13" t="n">
        <f aca="false">IF(AND(E71&lt;Assumptions!$B$6,OR(F71="",F71&gt;=Assumptions!$B$6)),1,0)</f>
        <v>0</v>
      </c>
      <c r="P71" s="13" t="n">
        <f aca="false">IF(F71="",0,IF(AND(F71&gt;=Assumptions!$B$6,F71&lt;=Assumptions!$B$5),1,0))</f>
        <v>0</v>
      </c>
      <c r="Q71" s="14" t="n">
        <f aca="false">P71*N71*Assumptions!$B$7</f>
        <v>0</v>
      </c>
      <c r="R71" s="13" t="n">
        <f aca="false">IF(AND(P71=1,J71&gt;=Assumptions!$B$10),1,0)</f>
        <v>0</v>
      </c>
    </row>
    <row r="72" customFormat="false" ht="15" hidden="false" customHeight="false" outlineLevel="0" collapsed="false">
      <c r="A72" s="26" t="s">
        <v>175</v>
      </c>
      <c r="B72" s="26" t="s">
        <v>50</v>
      </c>
      <c r="C72" s="26" t="s">
        <v>108</v>
      </c>
      <c r="D72" s="26" t="s">
        <v>105</v>
      </c>
      <c r="E72" s="27" t="n">
        <v>43070</v>
      </c>
      <c r="F72" s="27"/>
      <c r="G72" s="26"/>
      <c r="H72" s="28" t="n">
        <v>100000</v>
      </c>
      <c r="I72" s="26" t="n">
        <v>7</v>
      </c>
      <c r="J72" s="26" t="n">
        <v>3</v>
      </c>
      <c r="K72" s="13" t="str">
        <f aca="false">IF(F72="","Active","Left")</f>
        <v>Active</v>
      </c>
      <c r="L72" s="16" t="n">
        <f aca="false">ROUND((IF(F72="",Assumptions!$B$5,F72)-E72)/365.25,1)</f>
        <v>8.8</v>
      </c>
      <c r="M72" s="13" t="str">
        <f aca="false">IF(L72&lt;1,"Under 1 yr",IF(L72&lt;3,"1 to 3 yrs",IF(L72&lt;5,"3 to 5 yrs","5+ yrs")))</f>
        <v>5+ yrs</v>
      </c>
      <c r="N72" s="14" t="n">
        <f aca="false">H72*12</f>
        <v>1200000</v>
      </c>
      <c r="O72" s="13" t="n">
        <f aca="false">IF(AND(E72&lt;Assumptions!$B$6,OR(F72="",F72&gt;=Assumptions!$B$6)),1,0)</f>
        <v>1</v>
      </c>
      <c r="P72" s="13" t="n">
        <f aca="false">IF(F72="",0,IF(AND(F72&gt;=Assumptions!$B$6,F72&lt;=Assumptions!$B$5),1,0))</f>
        <v>0</v>
      </c>
      <c r="Q72" s="14" t="n">
        <f aca="false">P72*N72*Assumptions!$B$7</f>
        <v>0</v>
      </c>
      <c r="R72" s="13" t="n">
        <f aca="false">IF(AND(P72=1,J72&gt;=Assumptions!$B$10),1,0)</f>
        <v>0</v>
      </c>
    </row>
    <row r="73" customFormat="false" ht="15" hidden="false" customHeight="false" outlineLevel="0" collapsed="false">
      <c r="A73" s="26" t="s">
        <v>176</v>
      </c>
      <c r="B73" s="26" t="s">
        <v>45</v>
      </c>
      <c r="C73" s="26" t="s">
        <v>125</v>
      </c>
      <c r="D73" s="26" t="s">
        <v>105</v>
      </c>
      <c r="E73" s="27" t="n">
        <v>45658</v>
      </c>
      <c r="F73" s="27"/>
      <c r="G73" s="26"/>
      <c r="H73" s="28" t="n">
        <v>200000</v>
      </c>
      <c r="I73" s="26" t="n">
        <v>1</v>
      </c>
      <c r="J73" s="26" t="n">
        <v>2</v>
      </c>
      <c r="K73" s="13" t="str">
        <f aca="false">IF(F73="","Active","Left")</f>
        <v>Active</v>
      </c>
      <c r="L73" s="16" t="n">
        <f aca="false">ROUND((IF(F73="",Assumptions!$B$5,F73)-E73)/365.25,1)</f>
        <v>1.7</v>
      </c>
      <c r="M73" s="13" t="str">
        <f aca="false">IF(L73&lt;1,"Under 1 yr",IF(L73&lt;3,"1 to 3 yrs",IF(L73&lt;5,"3 to 5 yrs","5+ yrs")))</f>
        <v>1 to 3 yrs</v>
      </c>
      <c r="N73" s="14" t="n">
        <f aca="false">H73*12</f>
        <v>2400000</v>
      </c>
      <c r="O73" s="13" t="n">
        <f aca="false">IF(AND(E73&lt;Assumptions!$B$6,OR(F73="",F73&gt;=Assumptions!$B$6)),1,0)</f>
        <v>1</v>
      </c>
      <c r="P73" s="13" t="n">
        <f aca="false">IF(F73="",0,IF(AND(F73&gt;=Assumptions!$B$6,F73&lt;=Assumptions!$B$5),1,0))</f>
        <v>0</v>
      </c>
      <c r="Q73" s="14" t="n">
        <f aca="false">P73*N73*Assumptions!$B$7</f>
        <v>0</v>
      </c>
      <c r="R73" s="13" t="n">
        <f aca="false">IF(AND(P73=1,J73&gt;=Assumptions!$B$10),1,0)</f>
        <v>0</v>
      </c>
    </row>
    <row r="74" customFormat="false" ht="15" hidden="false" customHeight="false" outlineLevel="0" collapsed="false">
      <c r="A74" s="26" t="s">
        <v>177</v>
      </c>
      <c r="B74" s="26" t="s">
        <v>47</v>
      </c>
      <c r="C74" s="26" t="s">
        <v>108</v>
      </c>
      <c r="D74" s="26" t="s">
        <v>101</v>
      </c>
      <c r="E74" s="27" t="n">
        <v>43902</v>
      </c>
      <c r="F74" s="27"/>
      <c r="G74" s="26"/>
      <c r="H74" s="28" t="n">
        <v>85000</v>
      </c>
      <c r="I74" s="26" t="n">
        <v>2</v>
      </c>
      <c r="J74" s="26" t="n">
        <v>2</v>
      </c>
      <c r="K74" s="13" t="str">
        <f aca="false">IF(F74="","Active","Left")</f>
        <v>Active</v>
      </c>
      <c r="L74" s="16" t="n">
        <f aca="false">ROUND((IF(F74="",Assumptions!$B$5,F74)-E74)/365.25,1)</f>
        <v>6.6</v>
      </c>
      <c r="M74" s="13" t="str">
        <f aca="false">IF(L74&lt;1,"Under 1 yr",IF(L74&lt;3,"1 to 3 yrs",IF(L74&lt;5,"3 to 5 yrs","5+ yrs")))</f>
        <v>5+ yrs</v>
      </c>
      <c r="N74" s="14" t="n">
        <f aca="false">H74*12</f>
        <v>1020000</v>
      </c>
      <c r="O74" s="13" t="n">
        <f aca="false">IF(AND(E74&lt;Assumptions!$B$6,OR(F74="",F74&gt;=Assumptions!$B$6)),1,0)</f>
        <v>1</v>
      </c>
      <c r="P74" s="13" t="n">
        <f aca="false">IF(F74="",0,IF(AND(F74&gt;=Assumptions!$B$6,F74&lt;=Assumptions!$B$5),1,0))</f>
        <v>0</v>
      </c>
      <c r="Q74" s="14" t="n">
        <f aca="false">P74*N74*Assumptions!$B$7</f>
        <v>0</v>
      </c>
      <c r="R74" s="13" t="n">
        <f aca="false">IF(AND(P74=1,J74&gt;=Assumptions!$B$10),1,0)</f>
        <v>0</v>
      </c>
    </row>
    <row r="75" customFormat="false" ht="15" hidden="false" customHeight="false" outlineLevel="0" collapsed="false">
      <c r="A75" s="26" t="s">
        <v>178</v>
      </c>
      <c r="B75" s="26" t="s">
        <v>45</v>
      </c>
      <c r="C75" s="26" t="s">
        <v>104</v>
      </c>
      <c r="D75" s="26" t="s">
        <v>101</v>
      </c>
      <c r="E75" s="27" t="n">
        <v>44243</v>
      </c>
      <c r="F75" s="27"/>
      <c r="G75" s="26"/>
      <c r="H75" s="28" t="n">
        <v>118000</v>
      </c>
      <c r="I75" s="26" t="n">
        <v>11</v>
      </c>
      <c r="J75" s="26" t="n">
        <v>4</v>
      </c>
      <c r="K75" s="13" t="str">
        <f aca="false">IF(F75="","Active","Left")</f>
        <v>Active</v>
      </c>
      <c r="L75" s="16" t="n">
        <f aca="false">ROUND((IF(F75="",Assumptions!$B$5,F75)-E75)/365.25,1)</f>
        <v>5.6</v>
      </c>
      <c r="M75" s="13" t="str">
        <f aca="false">IF(L75&lt;1,"Under 1 yr",IF(L75&lt;3,"1 to 3 yrs",IF(L75&lt;5,"3 to 5 yrs","5+ yrs")))</f>
        <v>5+ yrs</v>
      </c>
      <c r="N75" s="14" t="n">
        <f aca="false">H75*12</f>
        <v>1416000</v>
      </c>
      <c r="O75" s="13" t="n">
        <f aca="false">IF(AND(E75&lt;Assumptions!$B$6,OR(F75="",F75&gt;=Assumptions!$B$6)),1,0)</f>
        <v>1</v>
      </c>
      <c r="P75" s="13" t="n">
        <f aca="false">IF(F75="",0,IF(AND(F75&gt;=Assumptions!$B$6,F75&lt;=Assumptions!$B$5),1,0))</f>
        <v>0</v>
      </c>
      <c r="Q75" s="14" t="n">
        <f aca="false">P75*N75*Assumptions!$B$7</f>
        <v>0</v>
      </c>
      <c r="R75" s="13" t="n">
        <f aca="false">IF(AND(P75=1,J75&gt;=Assumptions!$B$10),1,0)</f>
        <v>0</v>
      </c>
    </row>
    <row r="76" customFormat="false" ht="15" hidden="false" customHeight="false" outlineLevel="0" collapsed="false">
      <c r="A76" s="26" t="s">
        <v>179</v>
      </c>
      <c r="B76" s="26" t="s">
        <v>50</v>
      </c>
      <c r="C76" s="26" t="s">
        <v>100</v>
      </c>
      <c r="D76" s="26" t="s">
        <v>101</v>
      </c>
      <c r="E76" s="27" t="n">
        <v>42338</v>
      </c>
      <c r="F76" s="27"/>
      <c r="G76" s="26"/>
      <c r="H76" s="28" t="n">
        <v>38000</v>
      </c>
      <c r="I76" s="26" t="n">
        <v>10</v>
      </c>
      <c r="J76" s="26" t="n">
        <v>4</v>
      </c>
      <c r="K76" s="13" t="str">
        <f aca="false">IF(F76="","Active","Left")</f>
        <v>Active</v>
      </c>
      <c r="L76" s="16" t="n">
        <f aca="false">ROUND((IF(F76="",Assumptions!$B$5,F76)-E76)/365.25,1)</f>
        <v>10.8</v>
      </c>
      <c r="M76" s="13" t="str">
        <f aca="false">IF(L76&lt;1,"Under 1 yr",IF(L76&lt;3,"1 to 3 yrs",IF(L76&lt;5,"3 to 5 yrs","5+ yrs")))</f>
        <v>5+ yrs</v>
      </c>
      <c r="N76" s="14" t="n">
        <f aca="false">H76*12</f>
        <v>456000</v>
      </c>
      <c r="O76" s="13" t="n">
        <f aca="false">IF(AND(E76&lt;Assumptions!$B$6,OR(F76="",F76&gt;=Assumptions!$B$6)),1,0)</f>
        <v>1</v>
      </c>
      <c r="P76" s="13" t="n">
        <f aca="false">IF(F76="",0,IF(AND(F76&gt;=Assumptions!$B$6,F76&lt;=Assumptions!$B$5),1,0))</f>
        <v>0</v>
      </c>
      <c r="Q76" s="14" t="n">
        <f aca="false">P76*N76*Assumptions!$B$7</f>
        <v>0</v>
      </c>
      <c r="R76" s="13" t="n">
        <f aca="false">IF(AND(P76=1,J76&gt;=Assumptions!$B$10),1,0)</f>
        <v>0</v>
      </c>
    </row>
    <row r="77" customFormat="false" ht="15" hidden="false" customHeight="false" outlineLevel="0" collapsed="false">
      <c r="A77" s="26" t="s">
        <v>180</v>
      </c>
      <c r="B77" s="26" t="s">
        <v>45</v>
      </c>
      <c r="C77" s="26" t="s">
        <v>104</v>
      </c>
      <c r="D77" s="26" t="s">
        <v>105</v>
      </c>
      <c r="E77" s="27" t="n">
        <v>44491</v>
      </c>
      <c r="F77" s="27"/>
      <c r="G77" s="26"/>
      <c r="H77" s="28" t="n">
        <v>127000</v>
      </c>
      <c r="I77" s="26" t="n">
        <v>2</v>
      </c>
      <c r="J77" s="26" t="n">
        <v>4</v>
      </c>
      <c r="K77" s="13" t="str">
        <f aca="false">IF(F77="","Active","Left")</f>
        <v>Active</v>
      </c>
      <c r="L77" s="16" t="n">
        <f aca="false">ROUND((IF(F77="",Assumptions!$B$5,F77)-E77)/365.25,1)</f>
        <v>4.9</v>
      </c>
      <c r="M77" s="13" t="str">
        <f aca="false">IF(L77&lt;1,"Under 1 yr",IF(L77&lt;3,"1 to 3 yrs",IF(L77&lt;5,"3 to 5 yrs","5+ yrs")))</f>
        <v>3 to 5 yrs</v>
      </c>
      <c r="N77" s="14" t="n">
        <f aca="false">H77*12</f>
        <v>1524000</v>
      </c>
      <c r="O77" s="13" t="n">
        <f aca="false">IF(AND(E77&lt;Assumptions!$B$6,OR(F77="",F77&gt;=Assumptions!$B$6)),1,0)</f>
        <v>1</v>
      </c>
      <c r="P77" s="13" t="n">
        <f aca="false">IF(F77="",0,IF(AND(F77&gt;=Assumptions!$B$6,F77&lt;=Assumptions!$B$5),1,0))</f>
        <v>0</v>
      </c>
      <c r="Q77" s="14" t="n">
        <f aca="false">P77*N77*Assumptions!$B$7</f>
        <v>0</v>
      </c>
      <c r="R77" s="13" t="n">
        <f aca="false">IF(AND(P77=1,J77&gt;=Assumptions!$B$10),1,0)</f>
        <v>0</v>
      </c>
    </row>
    <row r="78" customFormat="false" ht="15" hidden="false" customHeight="false" outlineLevel="0" collapsed="false">
      <c r="A78" s="26" t="s">
        <v>181</v>
      </c>
      <c r="B78" s="26" t="s">
        <v>49</v>
      </c>
      <c r="C78" s="26" t="s">
        <v>104</v>
      </c>
      <c r="D78" s="26" t="s">
        <v>101</v>
      </c>
      <c r="E78" s="27" t="n">
        <v>43721</v>
      </c>
      <c r="F78" s="27"/>
      <c r="G78" s="26"/>
      <c r="H78" s="28" t="n">
        <v>172000</v>
      </c>
      <c r="I78" s="26" t="n">
        <v>6</v>
      </c>
      <c r="J78" s="26" t="n">
        <v>4</v>
      </c>
      <c r="K78" s="13" t="str">
        <f aca="false">IF(F78="","Active","Left")</f>
        <v>Active</v>
      </c>
      <c r="L78" s="16" t="n">
        <f aca="false">ROUND((IF(F78="",Assumptions!$B$5,F78)-E78)/365.25,1)</f>
        <v>7</v>
      </c>
      <c r="M78" s="13" t="str">
        <f aca="false">IF(L78&lt;1,"Under 1 yr",IF(L78&lt;3,"1 to 3 yrs",IF(L78&lt;5,"3 to 5 yrs","5+ yrs")))</f>
        <v>5+ yrs</v>
      </c>
      <c r="N78" s="14" t="n">
        <f aca="false">H78*12</f>
        <v>2064000</v>
      </c>
      <c r="O78" s="13" t="n">
        <f aca="false">IF(AND(E78&lt;Assumptions!$B$6,OR(F78="",F78&gt;=Assumptions!$B$6)),1,0)</f>
        <v>1</v>
      </c>
      <c r="P78" s="13" t="n">
        <f aca="false">IF(F78="",0,IF(AND(F78&gt;=Assumptions!$B$6,F78&lt;=Assumptions!$B$5),1,0))</f>
        <v>0</v>
      </c>
      <c r="Q78" s="14" t="n">
        <f aca="false">P78*N78*Assumptions!$B$7</f>
        <v>0</v>
      </c>
      <c r="R78" s="13" t="n">
        <f aca="false">IF(AND(P78=1,J78&gt;=Assumptions!$B$10),1,0)</f>
        <v>0</v>
      </c>
    </row>
    <row r="79" customFormat="false" ht="15" hidden="false" customHeight="false" outlineLevel="0" collapsed="false">
      <c r="A79" s="26" t="s">
        <v>182</v>
      </c>
      <c r="B79" s="26" t="s">
        <v>49</v>
      </c>
      <c r="C79" s="26" t="s">
        <v>104</v>
      </c>
      <c r="D79" s="26" t="s">
        <v>101</v>
      </c>
      <c r="E79" s="27" t="n">
        <v>44625</v>
      </c>
      <c r="F79" s="27"/>
      <c r="G79" s="26"/>
      <c r="H79" s="28" t="n">
        <v>172000</v>
      </c>
      <c r="I79" s="26" t="n">
        <v>4</v>
      </c>
      <c r="J79" s="26" t="n">
        <v>3</v>
      </c>
      <c r="K79" s="13" t="str">
        <f aca="false">IF(F79="","Active","Left")</f>
        <v>Active</v>
      </c>
      <c r="L79" s="16" t="n">
        <f aca="false">ROUND((IF(F79="",Assumptions!$B$5,F79)-E79)/365.25,1)</f>
        <v>4.6</v>
      </c>
      <c r="M79" s="13" t="str">
        <f aca="false">IF(L79&lt;1,"Under 1 yr",IF(L79&lt;3,"1 to 3 yrs",IF(L79&lt;5,"3 to 5 yrs","5+ yrs")))</f>
        <v>3 to 5 yrs</v>
      </c>
      <c r="N79" s="14" t="n">
        <f aca="false">H79*12</f>
        <v>2064000</v>
      </c>
      <c r="O79" s="13" t="n">
        <f aca="false">IF(AND(E79&lt;Assumptions!$B$6,OR(F79="",F79&gt;=Assumptions!$B$6)),1,0)</f>
        <v>1</v>
      </c>
      <c r="P79" s="13" t="n">
        <f aca="false">IF(F79="",0,IF(AND(F79&gt;=Assumptions!$B$6,F79&lt;=Assumptions!$B$5),1,0))</f>
        <v>0</v>
      </c>
      <c r="Q79" s="14" t="n">
        <f aca="false">P79*N79*Assumptions!$B$7</f>
        <v>0</v>
      </c>
      <c r="R79" s="13" t="n">
        <f aca="false">IF(AND(P79=1,J79&gt;=Assumptions!$B$10),1,0)</f>
        <v>0</v>
      </c>
    </row>
    <row r="80" customFormat="false" ht="15" hidden="false" customHeight="false" outlineLevel="0" collapsed="false">
      <c r="A80" s="26" t="s">
        <v>183</v>
      </c>
      <c r="B80" s="26" t="s">
        <v>47</v>
      </c>
      <c r="C80" s="26" t="s">
        <v>108</v>
      </c>
      <c r="D80" s="26" t="s">
        <v>101</v>
      </c>
      <c r="E80" s="27" t="n">
        <v>43904</v>
      </c>
      <c r="F80" s="27"/>
      <c r="G80" s="26"/>
      <c r="H80" s="28" t="n">
        <v>90000</v>
      </c>
      <c r="I80" s="26" t="n">
        <v>5</v>
      </c>
      <c r="J80" s="26" t="n">
        <v>3</v>
      </c>
      <c r="K80" s="13" t="str">
        <f aca="false">IF(F80="","Active","Left")</f>
        <v>Active</v>
      </c>
      <c r="L80" s="16" t="n">
        <f aca="false">ROUND((IF(F80="",Assumptions!$B$5,F80)-E80)/365.25,1)</f>
        <v>6.5</v>
      </c>
      <c r="M80" s="13" t="str">
        <f aca="false">IF(L80&lt;1,"Under 1 yr",IF(L80&lt;3,"1 to 3 yrs",IF(L80&lt;5,"3 to 5 yrs","5+ yrs")))</f>
        <v>5+ yrs</v>
      </c>
      <c r="N80" s="14" t="n">
        <f aca="false">H80*12</f>
        <v>1080000</v>
      </c>
      <c r="O80" s="13" t="n">
        <f aca="false">IF(AND(E80&lt;Assumptions!$B$6,OR(F80="",F80&gt;=Assumptions!$B$6)),1,0)</f>
        <v>1</v>
      </c>
      <c r="P80" s="13" t="n">
        <f aca="false">IF(F80="",0,IF(AND(F80&gt;=Assumptions!$B$6,F80&lt;=Assumptions!$B$5),1,0))</f>
        <v>0</v>
      </c>
      <c r="Q80" s="14" t="n">
        <f aca="false">P80*N80*Assumptions!$B$7</f>
        <v>0</v>
      </c>
      <c r="R80" s="13" t="n">
        <f aca="false">IF(AND(P80=1,J80&gt;=Assumptions!$B$10),1,0)</f>
        <v>0</v>
      </c>
    </row>
    <row r="81" customFormat="false" ht="15" hidden="false" customHeight="false" outlineLevel="0" collapsed="false">
      <c r="A81" s="26" t="s">
        <v>184</v>
      </c>
      <c r="B81" s="26" t="s">
        <v>50</v>
      </c>
      <c r="C81" s="26" t="s">
        <v>108</v>
      </c>
      <c r="D81" s="26" t="s">
        <v>105</v>
      </c>
      <c r="E81" s="27" t="n">
        <v>42257</v>
      </c>
      <c r="F81" s="27"/>
      <c r="G81" s="26"/>
      <c r="H81" s="28" t="n">
        <v>97000</v>
      </c>
      <c r="I81" s="26" t="n">
        <v>3</v>
      </c>
      <c r="J81" s="26" t="n">
        <v>3</v>
      </c>
      <c r="K81" s="13" t="str">
        <f aca="false">IF(F81="","Active","Left")</f>
        <v>Active</v>
      </c>
      <c r="L81" s="16" t="n">
        <f aca="false">ROUND((IF(F81="",Assumptions!$B$5,F81)-E81)/365.25,1)</f>
        <v>11.1</v>
      </c>
      <c r="M81" s="13" t="str">
        <f aca="false">IF(L81&lt;1,"Under 1 yr",IF(L81&lt;3,"1 to 3 yrs",IF(L81&lt;5,"3 to 5 yrs","5+ yrs")))</f>
        <v>5+ yrs</v>
      </c>
      <c r="N81" s="14" t="n">
        <f aca="false">H81*12</f>
        <v>1164000</v>
      </c>
      <c r="O81" s="13" t="n">
        <f aca="false">IF(AND(E81&lt;Assumptions!$B$6,OR(F81="",F81&gt;=Assumptions!$B$6)),1,0)</f>
        <v>1</v>
      </c>
      <c r="P81" s="13" t="n">
        <f aca="false">IF(F81="",0,IF(AND(F81&gt;=Assumptions!$B$6,F81&lt;=Assumptions!$B$5),1,0))</f>
        <v>0</v>
      </c>
      <c r="Q81" s="14" t="n">
        <f aca="false">P81*N81*Assumptions!$B$7</f>
        <v>0</v>
      </c>
      <c r="R81" s="13" t="n">
        <f aca="false">IF(AND(P81=1,J81&gt;=Assumptions!$B$10),1,0)</f>
        <v>0</v>
      </c>
    </row>
    <row r="82" customFormat="false" ht="15" hidden="false" customHeight="false" outlineLevel="0" collapsed="false">
      <c r="A82" s="26" t="s">
        <v>185</v>
      </c>
      <c r="B82" s="26" t="s">
        <v>48</v>
      </c>
      <c r="C82" s="26" t="s">
        <v>100</v>
      </c>
      <c r="D82" s="26" t="s">
        <v>105</v>
      </c>
      <c r="E82" s="27" t="n">
        <v>45567</v>
      </c>
      <c r="F82" s="27"/>
      <c r="G82" s="26"/>
      <c r="H82" s="28" t="n">
        <v>54000</v>
      </c>
      <c r="I82" s="26" t="n">
        <v>1</v>
      </c>
      <c r="J82" s="26" t="n">
        <v>4</v>
      </c>
      <c r="K82" s="13" t="str">
        <f aca="false">IF(F82="","Active","Left")</f>
        <v>Active</v>
      </c>
      <c r="L82" s="16" t="n">
        <f aca="false">ROUND((IF(F82="",Assumptions!$B$5,F82)-E82)/365.25,1)</f>
        <v>2</v>
      </c>
      <c r="M82" s="13" t="str">
        <f aca="false">IF(L82&lt;1,"Under 1 yr",IF(L82&lt;3,"1 to 3 yrs",IF(L82&lt;5,"3 to 5 yrs","5+ yrs")))</f>
        <v>1 to 3 yrs</v>
      </c>
      <c r="N82" s="14" t="n">
        <f aca="false">H82*12</f>
        <v>648000</v>
      </c>
      <c r="O82" s="13" t="n">
        <f aca="false">IF(AND(E82&lt;Assumptions!$B$6,OR(F82="",F82&gt;=Assumptions!$B$6)),1,0)</f>
        <v>1</v>
      </c>
      <c r="P82" s="13" t="n">
        <f aca="false">IF(F82="",0,IF(AND(F82&gt;=Assumptions!$B$6,F82&lt;=Assumptions!$B$5),1,0))</f>
        <v>0</v>
      </c>
      <c r="Q82" s="14" t="n">
        <f aca="false">P82*N82*Assumptions!$B$7</f>
        <v>0</v>
      </c>
      <c r="R82" s="13" t="n">
        <f aca="false">IF(AND(P82=1,J82&gt;=Assumptions!$B$10),1,0)</f>
        <v>0</v>
      </c>
    </row>
    <row r="83" customFormat="false" ht="15" hidden="false" customHeight="false" outlineLevel="0" collapsed="false">
      <c r="A83" s="26" t="s">
        <v>186</v>
      </c>
      <c r="B83" s="26" t="s">
        <v>47</v>
      </c>
      <c r="C83" s="26" t="s">
        <v>100</v>
      </c>
      <c r="D83" s="26" t="s">
        <v>105</v>
      </c>
      <c r="E83" s="27" t="n">
        <v>46224</v>
      </c>
      <c r="F83" s="27"/>
      <c r="G83" s="26"/>
      <c r="H83" s="28" t="n">
        <v>50000</v>
      </c>
      <c r="I83" s="26" t="n">
        <v>6</v>
      </c>
      <c r="J83" s="26" t="n">
        <v>5</v>
      </c>
      <c r="K83" s="13" t="str">
        <f aca="false">IF(F83="","Active","Left")</f>
        <v>Active</v>
      </c>
      <c r="L83" s="16" t="n">
        <f aca="false">ROUND((IF(F83="",Assumptions!$B$5,F83)-E83)/365.25,1)</f>
        <v>0.2</v>
      </c>
      <c r="M83" s="13" t="str">
        <f aca="false">IF(L83&lt;1,"Under 1 yr",IF(L83&lt;3,"1 to 3 yrs",IF(L83&lt;5,"3 to 5 yrs","5+ yrs")))</f>
        <v>Under 1 yr</v>
      </c>
      <c r="N83" s="14" t="n">
        <f aca="false">H83*12</f>
        <v>600000</v>
      </c>
      <c r="O83" s="13" t="n">
        <f aca="false">IF(AND(E83&lt;Assumptions!$B$6,OR(F83="",F83&gt;=Assumptions!$B$6)),1,0)</f>
        <v>0</v>
      </c>
      <c r="P83" s="13" t="n">
        <f aca="false">IF(F83="",0,IF(AND(F83&gt;=Assumptions!$B$6,F83&lt;=Assumptions!$B$5),1,0))</f>
        <v>0</v>
      </c>
      <c r="Q83" s="14" t="n">
        <f aca="false">P83*N83*Assumptions!$B$7</f>
        <v>0</v>
      </c>
      <c r="R83" s="13" t="n">
        <f aca="false">IF(AND(P83=1,J83&gt;=Assumptions!$B$10),1,0)</f>
        <v>0</v>
      </c>
    </row>
    <row r="84" customFormat="false" ht="15" hidden="false" customHeight="false" outlineLevel="0" collapsed="false">
      <c r="A84" s="26" t="s">
        <v>187</v>
      </c>
      <c r="B84" s="26" t="s">
        <v>50</v>
      </c>
      <c r="C84" s="26" t="s">
        <v>100</v>
      </c>
      <c r="D84" s="26" t="s">
        <v>105</v>
      </c>
      <c r="E84" s="27" t="n">
        <v>43328</v>
      </c>
      <c r="F84" s="27" t="n">
        <v>46123</v>
      </c>
      <c r="G84" s="26" t="s">
        <v>64</v>
      </c>
      <c r="H84" s="28" t="n">
        <v>52000</v>
      </c>
      <c r="I84" s="26" t="n">
        <v>4</v>
      </c>
      <c r="J84" s="26" t="n">
        <v>3</v>
      </c>
      <c r="K84" s="13" t="str">
        <f aca="false">IF(F84="","Active","Left")</f>
        <v>Left</v>
      </c>
      <c r="L84" s="16" t="n">
        <f aca="false">ROUND((IF(F84="",Assumptions!$B$5,F84)-E84)/365.25,1)</f>
        <v>7.7</v>
      </c>
      <c r="M84" s="13" t="str">
        <f aca="false">IF(L84&lt;1,"Under 1 yr",IF(L84&lt;3,"1 to 3 yrs",IF(L84&lt;5,"3 to 5 yrs","5+ yrs")))</f>
        <v>5+ yrs</v>
      </c>
      <c r="N84" s="14" t="n">
        <f aca="false">H84*12</f>
        <v>624000</v>
      </c>
      <c r="O84" s="13" t="n">
        <f aca="false">IF(AND(E84&lt;Assumptions!$B$6,OR(F84="",F84&gt;=Assumptions!$B$6)),1,0)</f>
        <v>1</v>
      </c>
      <c r="P84" s="13" t="n">
        <f aca="false">IF(F84="",0,IF(AND(F84&gt;=Assumptions!$B$6,F84&lt;=Assumptions!$B$5),1,0))</f>
        <v>1</v>
      </c>
      <c r="Q84" s="14" t="n">
        <f aca="false">P84*N84*Assumptions!$B$7</f>
        <v>312000</v>
      </c>
      <c r="R84" s="13" t="n">
        <f aca="false">IF(AND(P84=1,J84&gt;=Assumptions!$B$10),1,0)</f>
        <v>0</v>
      </c>
    </row>
    <row r="85" customFormat="false" ht="15" hidden="false" customHeight="false" outlineLevel="0" collapsed="false">
      <c r="A85" s="26" t="s">
        <v>188</v>
      </c>
      <c r="B85" s="26" t="s">
        <v>45</v>
      </c>
      <c r="C85" s="26" t="s">
        <v>108</v>
      </c>
      <c r="D85" s="26" t="s">
        <v>101</v>
      </c>
      <c r="E85" s="27" t="n">
        <v>45929</v>
      </c>
      <c r="F85" s="27"/>
      <c r="G85" s="26"/>
      <c r="H85" s="28" t="n">
        <v>62000</v>
      </c>
      <c r="I85" s="26" t="n">
        <v>4</v>
      </c>
      <c r="J85" s="26" t="n">
        <v>4</v>
      </c>
      <c r="K85" s="13" t="str">
        <f aca="false">IF(F85="","Active","Left")</f>
        <v>Active</v>
      </c>
      <c r="L85" s="16" t="n">
        <f aca="false">ROUND((IF(F85="",Assumptions!$B$5,F85)-E85)/365.25,1)</f>
        <v>1</v>
      </c>
      <c r="M85" s="13" t="str">
        <f aca="false">IF(L85&lt;1,"Under 1 yr",IF(L85&lt;3,"1 to 3 yrs",IF(L85&lt;5,"3 to 5 yrs","5+ yrs")))</f>
        <v>1 to 3 yrs</v>
      </c>
      <c r="N85" s="14" t="n">
        <f aca="false">H85*12</f>
        <v>744000</v>
      </c>
      <c r="O85" s="13" t="n">
        <f aca="false">IF(AND(E85&lt;Assumptions!$B$6,OR(F85="",F85&gt;=Assumptions!$B$6)),1,0)</f>
        <v>1</v>
      </c>
      <c r="P85" s="13" t="n">
        <f aca="false">IF(F85="",0,IF(AND(F85&gt;=Assumptions!$B$6,F85&lt;=Assumptions!$B$5),1,0))</f>
        <v>0</v>
      </c>
      <c r="Q85" s="14" t="n">
        <f aca="false">P85*N85*Assumptions!$B$7</f>
        <v>0</v>
      </c>
      <c r="R85" s="13" t="n">
        <f aca="false">IF(AND(P85=1,J85&gt;=Assumptions!$B$10),1,0)</f>
        <v>0</v>
      </c>
    </row>
    <row r="86" customFormat="false" ht="15" hidden="false" customHeight="false" outlineLevel="0" collapsed="false">
      <c r="A86" s="26" t="s">
        <v>189</v>
      </c>
      <c r="B86" s="26" t="s">
        <v>49</v>
      </c>
      <c r="C86" s="26" t="s">
        <v>100</v>
      </c>
      <c r="D86" s="26" t="s">
        <v>101</v>
      </c>
      <c r="E86" s="27" t="n">
        <v>43454</v>
      </c>
      <c r="F86" s="27"/>
      <c r="G86" s="26"/>
      <c r="H86" s="28" t="n">
        <v>59000</v>
      </c>
      <c r="I86" s="26" t="n">
        <v>7</v>
      </c>
      <c r="J86" s="26" t="n">
        <v>4</v>
      </c>
      <c r="K86" s="13" t="str">
        <f aca="false">IF(F86="","Active","Left")</f>
        <v>Active</v>
      </c>
      <c r="L86" s="16" t="n">
        <f aca="false">ROUND((IF(F86="",Assumptions!$B$5,F86)-E86)/365.25,1)</f>
        <v>7.8</v>
      </c>
      <c r="M86" s="13" t="str">
        <f aca="false">IF(L86&lt;1,"Under 1 yr",IF(L86&lt;3,"1 to 3 yrs",IF(L86&lt;5,"3 to 5 yrs","5+ yrs")))</f>
        <v>5+ yrs</v>
      </c>
      <c r="N86" s="14" t="n">
        <f aca="false">H86*12</f>
        <v>708000</v>
      </c>
      <c r="O86" s="13" t="n">
        <f aca="false">IF(AND(E86&lt;Assumptions!$B$6,OR(F86="",F86&gt;=Assumptions!$B$6)),1,0)</f>
        <v>1</v>
      </c>
      <c r="P86" s="13" t="n">
        <f aca="false">IF(F86="",0,IF(AND(F86&gt;=Assumptions!$B$6,F86&lt;=Assumptions!$B$5),1,0))</f>
        <v>0</v>
      </c>
      <c r="Q86" s="14" t="n">
        <f aca="false">P86*N86*Assumptions!$B$7</f>
        <v>0</v>
      </c>
      <c r="R86" s="13" t="n">
        <f aca="false">IF(AND(P86=1,J86&gt;=Assumptions!$B$10),1,0)</f>
        <v>0</v>
      </c>
    </row>
    <row r="87" customFormat="false" ht="15" hidden="false" customHeight="false" outlineLevel="0" collapsed="false">
      <c r="A87" s="26" t="s">
        <v>190</v>
      </c>
      <c r="B87" s="26" t="s">
        <v>48</v>
      </c>
      <c r="C87" s="26" t="s">
        <v>104</v>
      </c>
      <c r="D87" s="26" t="s">
        <v>101</v>
      </c>
      <c r="E87" s="27" t="n">
        <v>42081</v>
      </c>
      <c r="F87" s="27" t="n">
        <v>46259</v>
      </c>
      <c r="G87" s="26" t="s">
        <v>63</v>
      </c>
      <c r="H87" s="28" t="n">
        <v>145000</v>
      </c>
      <c r="I87" s="26" t="n">
        <v>2</v>
      </c>
      <c r="J87" s="26" t="n">
        <v>2</v>
      </c>
      <c r="K87" s="13" t="str">
        <f aca="false">IF(F87="","Active","Left")</f>
        <v>Left</v>
      </c>
      <c r="L87" s="16" t="n">
        <f aca="false">ROUND((IF(F87="",Assumptions!$B$5,F87)-E87)/365.25,1)</f>
        <v>11.4</v>
      </c>
      <c r="M87" s="13" t="str">
        <f aca="false">IF(L87&lt;1,"Under 1 yr",IF(L87&lt;3,"1 to 3 yrs",IF(L87&lt;5,"3 to 5 yrs","5+ yrs")))</f>
        <v>5+ yrs</v>
      </c>
      <c r="N87" s="14" t="n">
        <f aca="false">H87*12</f>
        <v>1740000</v>
      </c>
      <c r="O87" s="13" t="n">
        <f aca="false">IF(AND(E87&lt;Assumptions!$B$6,OR(F87="",F87&gt;=Assumptions!$B$6)),1,0)</f>
        <v>1</v>
      </c>
      <c r="P87" s="13" t="n">
        <f aca="false">IF(F87="",0,IF(AND(F87&gt;=Assumptions!$B$6,F87&lt;=Assumptions!$B$5),1,0))</f>
        <v>1</v>
      </c>
      <c r="Q87" s="14" t="n">
        <f aca="false">P87*N87*Assumptions!$B$7</f>
        <v>870000</v>
      </c>
      <c r="R87" s="13" t="n">
        <f aca="false">IF(AND(P87=1,J87&gt;=Assumptions!$B$10),1,0)</f>
        <v>0</v>
      </c>
    </row>
    <row r="88" customFormat="false" ht="15" hidden="false" customHeight="false" outlineLevel="0" collapsed="false">
      <c r="A88" s="26" t="s">
        <v>191</v>
      </c>
      <c r="B88" s="26" t="s">
        <v>50</v>
      </c>
      <c r="C88" s="26" t="s">
        <v>104</v>
      </c>
      <c r="D88" s="26" t="s">
        <v>105</v>
      </c>
      <c r="E88" s="27" t="n">
        <v>46081</v>
      </c>
      <c r="F88" s="27"/>
      <c r="G88" s="26"/>
      <c r="H88" s="28" t="n">
        <v>126000</v>
      </c>
      <c r="I88" s="26" t="n">
        <v>9</v>
      </c>
      <c r="J88" s="26" t="n">
        <v>3</v>
      </c>
      <c r="K88" s="13" t="str">
        <f aca="false">IF(F88="","Active","Left")</f>
        <v>Active</v>
      </c>
      <c r="L88" s="16" t="n">
        <f aca="false">ROUND((IF(F88="",Assumptions!$B$5,F88)-E88)/365.25,1)</f>
        <v>0.6</v>
      </c>
      <c r="M88" s="13" t="str">
        <f aca="false">IF(L88&lt;1,"Under 1 yr",IF(L88&lt;3,"1 to 3 yrs",IF(L88&lt;5,"3 to 5 yrs","5+ yrs")))</f>
        <v>Under 1 yr</v>
      </c>
      <c r="N88" s="14" t="n">
        <f aca="false">H88*12</f>
        <v>1512000</v>
      </c>
      <c r="O88" s="13" t="n">
        <f aca="false">IF(AND(E88&lt;Assumptions!$B$6,OR(F88="",F88&gt;=Assumptions!$B$6)),1,0)</f>
        <v>0</v>
      </c>
      <c r="P88" s="13" t="n">
        <f aca="false">IF(F88="",0,IF(AND(F88&gt;=Assumptions!$B$6,F88&lt;=Assumptions!$B$5),1,0))</f>
        <v>0</v>
      </c>
      <c r="Q88" s="14" t="n">
        <f aca="false">P88*N88*Assumptions!$B$7</f>
        <v>0</v>
      </c>
      <c r="R88" s="13" t="n">
        <f aca="false">IF(AND(P88=1,J88&gt;=Assumptions!$B$10),1,0)</f>
        <v>0</v>
      </c>
    </row>
    <row r="89" customFormat="false" ht="15" hidden="false" customHeight="false" outlineLevel="0" collapsed="false">
      <c r="A89" s="26" t="s">
        <v>192</v>
      </c>
      <c r="B89" s="26" t="s">
        <v>46</v>
      </c>
      <c r="C89" s="26" t="s">
        <v>100</v>
      </c>
      <c r="D89" s="26" t="s">
        <v>105</v>
      </c>
      <c r="E89" s="27" t="n">
        <v>45050</v>
      </c>
      <c r="F89" s="27"/>
      <c r="G89" s="26"/>
      <c r="H89" s="28" t="n">
        <v>36000</v>
      </c>
      <c r="I89" s="26" t="n">
        <v>8</v>
      </c>
      <c r="J89" s="26" t="n">
        <v>4</v>
      </c>
      <c r="K89" s="13" t="str">
        <f aca="false">IF(F89="","Active","Left")</f>
        <v>Active</v>
      </c>
      <c r="L89" s="16" t="n">
        <f aca="false">ROUND((IF(F89="",Assumptions!$B$5,F89)-E89)/365.25,1)</f>
        <v>3.4</v>
      </c>
      <c r="M89" s="13" t="str">
        <f aca="false">IF(L89&lt;1,"Under 1 yr",IF(L89&lt;3,"1 to 3 yrs",IF(L89&lt;5,"3 to 5 yrs","5+ yrs")))</f>
        <v>3 to 5 yrs</v>
      </c>
      <c r="N89" s="14" t="n">
        <f aca="false">H89*12</f>
        <v>432000</v>
      </c>
      <c r="O89" s="13" t="n">
        <f aca="false">IF(AND(E89&lt;Assumptions!$B$6,OR(F89="",F89&gt;=Assumptions!$B$6)),1,0)</f>
        <v>1</v>
      </c>
      <c r="P89" s="13" t="n">
        <f aca="false">IF(F89="",0,IF(AND(F89&gt;=Assumptions!$B$6,F89&lt;=Assumptions!$B$5),1,0))</f>
        <v>0</v>
      </c>
      <c r="Q89" s="14" t="n">
        <f aca="false">P89*N89*Assumptions!$B$7</f>
        <v>0</v>
      </c>
      <c r="R89" s="13" t="n">
        <f aca="false">IF(AND(P89=1,J89&gt;=Assumptions!$B$10),1,0)</f>
        <v>0</v>
      </c>
    </row>
    <row r="90" customFormat="false" ht="15" hidden="false" customHeight="false" outlineLevel="0" collapsed="false">
      <c r="A90" s="26" t="s">
        <v>193</v>
      </c>
      <c r="B90" s="26" t="s">
        <v>50</v>
      </c>
      <c r="C90" s="26" t="s">
        <v>100</v>
      </c>
      <c r="D90" s="26" t="s">
        <v>105</v>
      </c>
      <c r="E90" s="27" t="n">
        <v>45299</v>
      </c>
      <c r="F90" s="27"/>
      <c r="G90" s="26"/>
      <c r="H90" s="28" t="n">
        <v>60000</v>
      </c>
      <c r="I90" s="26" t="n">
        <v>7</v>
      </c>
      <c r="J90" s="26" t="n">
        <v>4</v>
      </c>
      <c r="K90" s="13" t="str">
        <f aca="false">IF(F90="","Active","Left")</f>
        <v>Active</v>
      </c>
      <c r="L90" s="16" t="n">
        <f aca="false">ROUND((IF(F90="",Assumptions!$B$5,F90)-E90)/365.25,1)</f>
        <v>2.7</v>
      </c>
      <c r="M90" s="13" t="str">
        <f aca="false">IF(L90&lt;1,"Under 1 yr",IF(L90&lt;3,"1 to 3 yrs",IF(L90&lt;5,"3 to 5 yrs","5+ yrs")))</f>
        <v>1 to 3 yrs</v>
      </c>
      <c r="N90" s="14" t="n">
        <f aca="false">H90*12</f>
        <v>720000</v>
      </c>
      <c r="O90" s="13" t="n">
        <f aca="false">IF(AND(E90&lt;Assumptions!$B$6,OR(F90="",F90&gt;=Assumptions!$B$6)),1,0)</f>
        <v>1</v>
      </c>
      <c r="P90" s="13" t="n">
        <f aca="false">IF(F90="",0,IF(AND(F90&gt;=Assumptions!$B$6,F90&lt;=Assumptions!$B$5),1,0))</f>
        <v>0</v>
      </c>
      <c r="Q90" s="14" t="n">
        <f aca="false">P90*N90*Assumptions!$B$7</f>
        <v>0</v>
      </c>
      <c r="R90" s="13" t="n">
        <f aca="false">IF(AND(P90=1,J90&gt;=Assumptions!$B$10),1,0)</f>
        <v>0</v>
      </c>
    </row>
    <row r="91" customFormat="false" ht="15" hidden="false" customHeight="false" outlineLevel="0" collapsed="false">
      <c r="A91" s="26" t="s">
        <v>194</v>
      </c>
      <c r="B91" s="26" t="s">
        <v>50</v>
      </c>
      <c r="C91" s="26" t="s">
        <v>104</v>
      </c>
      <c r="D91" s="26" t="s">
        <v>105</v>
      </c>
      <c r="E91" s="27" t="n">
        <v>42556</v>
      </c>
      <c r="F91" s="27" t="n">
        <v>46135</v>
      </c>
      <c r="G91" s="26" t="s">
        <v>64</v>
      </c>
      <c r="H91" s="28" t="n">
        <v>132000</v>
      </c>
      <c r="I91" s="26" t="n">
        <v>9</v>
      </c>
      <c r="J91" s="26" t="n">
        <v>4</v>
      </c>
      <c r="K91" s="13" t="str">
        <f aca="false">IF(F91="","Active","Left")</f>
        <v>Left</v>
      </c>
      <c r="L91" s="16" t="n">
        <f aca="false">ROUND((IF(F91="",Assumptions!$B$5,F91)-E91)/365.25,1)</f>
        <v>9.8</v>
      </c>
      <c r="M91" s="13" t="str">
        <f aca="false">IF(L91&lt;1,"Under 1 yr",IF(L91&lt;3,"1 to 3 yrs",IF(L91&lt;5,"3 to 5 yrs","5+ yrs")))</f>
        <v>5+ yrs</v>
      </c>
      <c r="N91" s="14" t="n">
        <f aca="false">H91*12</f>
        <v>1584000</v>
      </c>
      <c r="O91" s="13" t="n">
        <f aca="false">IF(AND(E91&lt;Assumptions!$B$6,OR(F91="",F91&gt;=Assumptions!$B$6)),1,0)</f>
        <v>1</v>
      </c>
      <c r="P91" s="13" t="n">
        <f aca="false">IF(F91="",0,IF(AND(F91&gt;=Assumptions!$B$6,F91&lt;=Assumptions!$B$5),1,0))</f>
        <v>1</v>
      </c>
      <c r="Q91" s="14" t="n">
        <f aca="false">P91*N91*Assumptions!$B$7</f>
        <v>792000</v>
      </c>
      <c r="R91" s="13" t="n">
        <f aca="false">IF(AND(P91=1,J91&gt;=Assumptions!$B$10),1,0)</f>
        <v>1</v>
      </c>
    </row>
    <row r="92" customFormat="false" ht="15" hidden="false" customHeight="false" outlineLevel="0" collapsed="false">
      <c r="A92" s="26" t="s">
        <v>195</v>
      </c>
      <c r="B92" s="26" t="s">
        <v>46</v>
      </c>
      <c r="C92" s="26" t="s">
        <v>108</v>
      </c>
      <c r="D92" s="26" t="s">
        <v>105</v>
      </c>
      <c r="E92" s="27" t="n">
        <v>42836</v>
      </c>
      <c r="F92" s="27"/>
      <c r="G92" s="26"/>
      <c r="H92" s="28" t="n">
        <v>94000</v>
      </c>
      <c r="I92" s="26" t="n">
        <v>4</v>
      </c>
      <c r="J92" s="26" t="n">
        <v>3</v>
      </c>
      <c r="K92" s="13" t="str">
        <f aca="false">IF(F92="","Active","Left")</f>
        <v>Active</v>
      </c>
      <c r="L92" s="16" t="n">
        <f aca="false">ROUND((IF(F92="",Assumptions!$B$5,F92)-E92)/365.25,1)</f>
        <v>9.5</v>
      </c>
      <c r="M92" s="13" t="str">
        <f aca="false">IF(L92&lt;1,"Under 1 yr",IF(L92&lt;3,"1 to 3 yrs",IF(L92&lt;5,"3 to 5 yrs","5+ yrs")))</f>
        <v>5+ yrs</v>
      </c>
      <c r="N92" s="14" t="n">
        <f aca="false">H92*12</f>
        <v>1128000</v>
      </c>
      <c r="O92" s="13" t="n">
        <f aca="false">IF(AND(E92&lt;Assumptions!$B$6,OR(F92="",F92&gt;=Assumptions!$B$6)),1,0)</f>
        <v>1</v>
      </c>
      <c r="P92" s="13" t="n">
        <f aca="false">IF(F92="",0,IF(AND(F92&gt;=Assumptions!$B$6,F92&lt;=Assumptions!$B$5),1,0))</f>
        <v>0</v>
      </c>
      <c r="Q92" s="14" t="n">
        <f aca="false">P92*N92*Assumptions!$B$7</f>
        <v>0</v>
      </c>
      <c r="R92" s="13" t="n">
        <f aca="false">IF(AND(P92=1,J92&gt;=Assumptions!$B$10),1,0)</f>
        <v>0</v>
      </c>
    </row>
    <row r="93" customFormat="false" ht="15" hidden="false" customHeight="false" outlineLevel="0" collapsed="false">
      <c r="A93" s="26" t="s">
        <v>196</v>
      </c>
      <c r="B93" s="26" t="s">
        <v>45</v>
      </c>
      <c r="C93" s="26" t="s">
        <v>100</v>
      </c>
      <c r="D93" s="26" t="s">
        <v>101</v>
      </c>
      <c r="E93" s="27" t="n">
        <v>42423</v>
      </c>
      <c r="F93" s="27"/>
      <c r="G93" s="26"/>
      <c r="H93" s="28" t="n">
        <v>43000</v>
      </c>
      <c r="I93" s="26" t="n">
        <v>4</v>
      </c>
      <c r="J93" s="26" t="n">
        <v>3</v>
      </c>
      <c r="K93" s="13" t="str">
        <f aca="false">IF(F93="","Active","Left")</f>
        <v>Active</v>
      </c>
      <c r="L93" s="16" t="n">
        <f aca="false">ROUND((IF(F93="",Assumptions!$B$5,F93)-E93)/365.25,1)</f>
        <v>10.6</v>
      </c>
      <c r="M93" s="13" t="str">
        <f aca="false">IF(L93&lt;1,"Under 1 yr",IF(L93&lt;3,"1 to 3 yrs",IF(L93&lt;5,"3 to 5 yrs","5+ yrs")))</f>
        <v>5+ yrs</v>
      </c>
      <c r="N93" s="14" t="n">
        <f aca="false">H93*12</f>
        <v>516000</v>
      </c>
      <c r="O93" s="13" t="n">
        <f aca="false">IF(AND(E93&lt;Assumptions!$B$6,OR(F93="",F93&gt;=Assumptions!$B$6)),1,0)</f>
        <v>1</v>
      </c>
      <c r="P93" s="13" t="n">
        <f aca="false">IF(F93="",0,IF(AND(F93&gt;=Assumptions!$B$6,F93&lt;=Assumptions!$B$5),1,0))</f>
        <v>0</v>
      </c>
      <c r="Q93" s="14" t="n">
        <f aca="false">P93*N93*Assumptions!$B$7</f>
        <v>0</v>
      </c>
      <c r="R93" s="13" t="n">
        <f aca="false">IF(AND(P93=1,J93&gt;=Assumptions!$B$10),1,0)</f>
        <v>0</v>
      </c>
    </row>
    <row r="94" customFormat="false" ht="15" hidden="false" customHeight="false" outlineLevel="0" collapsed="false">
      <c r="A94" s="26" t="s">
        <v>197</v>
      </c>
      <c r="B94" s="26" t="s">
        <v>48</v>
      </c>
      <c r="C94" s="26" t="s">
        <v>125</v>
      </c>
      <c r="D94" s="26" t="s">
        <v>101</v>
      </c>
      <c r="E94" s="27" t="n">
        <v>42387</v>
      </c>
      <c r="F94" s="27" t="n">
        <v>42574</v>
      </c>
      <c r="G94" s="26" t="s">
        <v>63</v>
      </c>
      <c r="H94" s="28" t="n">
        <v>242000</v>
      </c>
      <c r="I94" s="26" t="n">
        <v>2</v>
      </c>
      <c r="J94" s="26" t="n">
        <v>4</v>
      </c>
      <c r="K94" s="13" t="str">
        <f aca="false">IF(F94="","Active","Left")</f>
        <v>Left</v>
      </c>
      <c r="L94" s="16" t="n">
        <f aca="false">ROUND((IF(F94="",Assumptions!$B$5,F94)-E94)/365.25,1)</f>
        <v>0.5</v>
      </c>
      <c r="M94" s="13" t="str">
        <f aca="false">IF(L94&lt;1,"Under 1 yr",IF(L94&lt;3,"1 to 3 yrs",IF(L94&lt;5,"3 to 5 yrs","5+ yrs")))</f>
        <v>Under 1 yr</v>
      </c>
      <c r="N94" s="14" t="n">
        <f aca="false">H94*12</f>
        <v>2904000</v>
      </c>
      <c r="O94" s="13" t="n">
        <f aca="false">IF(AND(E94&lt;Assumptions!$B$6,OR(F94="",F94&gt;=Assumptions!$B$6)),1,0)</f>
        <v>0</v>
      </c>
      <c r="P94" s="13" t="n">
        <f aca="false">IF(F94="",0,IF(AND(F94&gt;=Assumptions!$B$6,F94&lt;=Assumptions!$B$5),1,0))</f>
        <v>0</v>
      </c>
      <c r="Q94" s="14" t="n">
        <f aca="false">P94*N94*Assumptions!$B$7</f>
        <v>0</v>
      </c>
      <c r="R94" s="13" t="n">
        <f aca="false">IF(AND(P94=1,J94&gt;=Assumptions!$B$10),1,0)</f>
        <v>0</v>
      </c>
    </row>
    <row r="95" customFormat="false" ht="15" hidden="false" customHeight="false" outlineLevel="0" collapsed="false">
      <c r="A95" s="26" t="s">
        <v>198</v>
      </c>
      <c r="B95" s="26" t="s">
        <v>49</v>
      </c>
      <c r="C95" s="26" t="s">
        <v>104</v>
      </c>
      <c r="D95" s="26" t="s">
        <v>101</v>
      </c>
      <c r="E95" s="27" t="n">
        <v>44559</v>
      </c>
      <c r="F95" s="27" t="n">
        <v>46108</v>
      </c>
      <c r="G95" s="26" t="s">
        <v>62</v>
      </c>
      <c r="H95" s="28" t="n">
        <v>166000</v>
      </c>
      <c r="I95" s="26" t="n">
        <v>3</v>
      </c>
      <c r="J95" s="26" t="n">
        <v>4</v>
      </c>
      <c r="K95" s="13" t="str">
        <f aca="false">IF(F95="","Active","Left")</f>
        <v>Left</v>
      </c>
      <c r="L95" s="16" t="n">
        <f aca="false">ROUND((IF(F95="",Assumptions!$B$5,F95)-E95)/365.25,1)</f>
        <v>4.2</v>
      </c>
      <c r="M95" s="13" t="str">
        <f aca="false">IF(L95&lt;1,"Under 1 yr",IF(L95&lt;3,"1 to 3 yrs",IF(L95&lt;5,"3 to 5 yrs","5+ yrs")))</f>
        <v>3 to 5 yrs</v>
      </c>
      <c r="N95" s="14" t="n">
        <f aca="false">H95*12</f>
        <v>1992000</v>
      </c>
      <c r="O95" s="13" t="n">
        <f aca="false">IF(AND(E95&lt;Assumptions!$B$6,OR(F95="",F95&gt;=Assumptions!$B$6)),1,0)</f>
        <v>1</v>
      </c>
      <c r="P95" s="13" t="n">
        <f aca="false">IF(F95="",0,IF(AND(F95&gt;=Assumptions!$B$6,F95&lt;=Assumptions!$B$5),1,0))</f>
        <v>1</v>
      </c>
      <c r="Q95" s="14" t="n">
        <f aca="false">P95*N95*Assumptions!$B$7</f>
        <v>996000</v>
      </c>
      <c r="R95" s="13" t="n">
        <f aca="false">IF(AND(P95=1,J95&gt;=Assumptions!$B$10),1,0)</f>
        <v>1</v>
      </c>
    </row>
    <row r="96" customFormat="false" ht="15" hidden="false" customHeight="false" outlineLevel="0" collapsed="false">
      <c r="A96" s="26" t="s">
        <v>199</v>
      </c>
      <c r="B96" s="26" t="s">
        <v>47</v>
      </c>
      <c r="C96" s="26" t="s">
        <v>108</v>
      </c>
      <c r="D96" s="26" t="s">
        <v>101</v>
      </c>
      <c r="E96" s="27" t="n">
        <v>44771</v>
      </c>
      <c r="F96" s="27"/>
      <c r="G96" s="26"/>
      <c r="H96" s="28" t="n">
        <v>84000</v>
      </c>
      <c r="I96" s="26" t="n">
        <v>5</v>
      </c>
      <c r="J96" s="26" t="n">
        <v>4</v>
      </c>
      <c r="K96" s="13" t="str">
        <f aca="false">IF(F96="","Active","Left")</f>
        <v>Active</v>
      </c>
      <c r="L96" s="16" t="n">
        <f aca="false">ROUND((IF(F96="",Assumptions!$B$5,F96)-E96)/365.25,1)</f>
        <v>4.2</v>
      </c>
      <c r="M96" s="13" t="str">
        <f aca="false">IF(L96&lt;1,"Under 1 yr",IF(L96&lt;3,"1 to 3 yrs",IF(L96&lt;5,"3 to 5 yrs","5+ yrs")))</f>
        <v>3 to 5 yrs</v>
      </c>
      <c r="N96" s="14" t="n">
        <f aca="false">H96*12</f>
        <v>1008000</v>
      </c>
      <c r="O96" s="13" t="n">
        <f aca="false">IF(AND(E96&lt;Assumptions!$B$6,OR(F96="",F96&gt;=Assumptions!$B$6)),1,0)</f>
        <v>1</v>
      </c>
      <c r="P96" s="13" t="n">
        <f aca="false">IF(F96="",0,IF(AND(F96&gt;=Assumptions!$B$6,F96&lt;=Assumptions!$B$5),1,0))</f>
        <v>0</v>
      </c>
      <c r="Q96" s="14" t="n">
        <f aca="false">P96*N96*Assumptions!$B$7</f>
        <v>0</v>
      </c>
      <c r="R96" s="13" t="n">
        <f aca="false">IF(AND(P96=1,J96&gt;=Assumptions!$B$10),1,0)</f>
        <v>0</v>
      </c>
    </row>
    <row r="97" customFormat="false" ht="15" hidden="false" customHeight="false" outlineLevel="0" collapsed="false">
      <c r="A97" s="26" t="s">
        <v>200</v>
      </c>
      <c r="B97" s="26" t="s">
        <v>45</v>
      </c>
      <c r="C97" s="26" t="s">
        <v>100</v>
      </c>
      <c r="D97" s="26" t="s">
        <v>101</v>
      </c>
      <c r="E97" s="27" t="n">
        <v>45244</v>
      </c>
      <c r="F97" s="27"/>
      <c r="G97" s="26"/>
      <c r="H97" s="28" t="n">
        <v>36000</v>
      </c>
      <c r="I97" s="26" t="n">
        <v>4</v>
      </c>
      <c r="J97" s="26" t="n">
        <v>3</v>
      </c>
      <c r="K97" s="13" t="str">
        <f aca="false">IF(F97="","Active","Left")</f>
        <v>Active</v>
      </c>
      <c r="L97" s="16" t="n">
        <f aca="false">ROUND((IF(F97="",Assumptions!$B$5,F97)-E97)/365.25,1)</f>
        <v>2.9</v>
      </c>
      <c r="M97" s="13" t="str">
        <f aca="false">IF(L97&lt;1,"Under 1 yr",IF(L97&lt;3,"1 to 3 yrs",IF(L97&lt;5,"3 to 5 yrs","5+ yrs")))</f>
        <v>1 to 3 yrs</v>
      </c>
      <c r="N97" s="14" t="n">
        <f aca="false">H97*12</f>
        <v>432000</v>
      </c>
      <c r="O97" s="13" t="n">
        <f aca="false">IF(AND(E97&lt;Assumptions!$B$6,OR(F97="",F97&gt;=Assumptions!$B$6)),1,0)</f>
        <v>1</v>
      </c>
      <c r="P97" s="13" t="n">
        <f aca="false">IF(F97="",0,IF(AND(F97&gt;=Assumptions!$B$6,F97&lt;=Assumptions!$B$5),1,0))</f>
        <v>0</v>
      </c>
      <c r="Q97" s="14" t="n">
        <f aca="false">P97*N97*Assumptions!$B$7</f>
        <v>0</v>
      </c>
      <c r="R97" s="13" t="n">
        <f aca="false">IF(AND(P97=1,J97&gt;=Assumptions!$B$10),1,0)</f>
        <v>0</v>
      </c>
    </row>
    <row r="98" customFormat="false" ht="15" hidden="false" customHeight="false" outlineLevel="0" collapsed="false">
      <c r="A98" s="26" t="s">
        <v>201</v>
      </c>
      <c r="B98" s="26" t="s">
        <v>50</v>
      </c>
      <c r="C98" s="26" t="s">
        <v>104</v>
      </c>
      <c r="D98" s="26" t="s">
        <v>105</v>
      </c>
      <c r="E98" s="27" t="n">
        <v>44117</v>
      </c>
      <c r="F98" s="27" t="n">
        <v>46061</v>
      </c>
      <c r="G98" s="26" t="s">
        <v>63</v>
      </c>
      <c r="H98" s="28" t="n">
        <v>166000</v>
      </c>
      <c r="I98" s="26" t="n">
        <v>8</v>
      </c>
      <c r="J98" s="26" t="n">
        <v>5</v>
      </c>
      <c r="K98" s="13" t="str">
        <f aca="false">IF(F98="","Active","Left")</f>
        <v>Left</v>
      </c>
      <c r="L98" s="16" t="n">
        <f aca="false">ROUND((IF(F98="",Assumptions!$B$5,F98)-E98)/365.25,1)</f>
        <v>5.3</v>
      </c>
      <c r="M98" s="13" t="str">
        <f aca="false">IF(L98&lt;1,"Under 1 yr",IF(L98&lt;3,"1 to 3 yrs",IF(L98&lt;5,"3 to 5 yrs","5+ yrs")))</f>
        <v>5+ yrs</v>
      </c>
      <c r="N98" s="14" t="n">
        <f aca="false">H98*12</f>
        <v>1992000</v>
      </c>
      <c r="O98" s="13" t="n">
        <f aca="false">IF(AND(E98&lt;Assumptions!$B$6,OR(F98="",F98&gt;=Assumptions!$B$6)),1,0)</f>
        <v>1</v>
      </c>
      <c r="P98" s="13" t="n">
        <f aca="false">IF(F98="",0,IF(AND(F98&gt;=Assumptions!$B$6,F98&lt;=Assumptions!$B$5),1,0))</f>
        <v>1</v>
      </c>
      <c r="Q98" s="14" t="n">
        <f aca="false">P98*N98*Assumptions!$B$7</f>
        <v>996000</v>
      </c>
      <c r="R98" s="13" t="n">
        <f aca="false">IF(AND(P98=1,J98&gt;=Assumptions!$B$10),1,0)</f>
        <v>1</v>
      </c>
    </row>
    <row r="99" customFormat="false" ht="15" hidden="false" customHeight="false" outlineLevel="0" collapsed="false">
      <c r="A99" s="26" t="s">
        <v>202</v>
      </c>
      <c r="B99" s="26" t="s">
        <v>50</v>
      </c>
      <c r="C99" s="26" t="s">
        <v>100</v>
      </c>
      <c r="D99" s="26" t="s">
        <v>105</v>
      </c>
      <c r="E99" s="27" t="n">
        <v>44244</v>
      </c>
      <c r="F99" s="27"/>
      <c r="G99" s="26"/>
      <c r="H99" s="28" t="n">
        <v>58000</v>
      </c>
      <c r="I99" s="26" t="n">
        <v>9</v>
      </c>
      <c r="J99" s="26" t="n">
        <v>4</v>
      </c>
      <c r="K99" s="13" t="str">
        <f aca="false">IF(F99="","Active","Left")</f>
        <v>Active</v>
      </c>
      <c r="L99" s="16" t="n">
        <f aca="false">ROUND((IF(F99="",Assumptions!$B$5,F99)-E99)/365.25,1)</f>
        <v>5.6</v>
      </c>
      <c r="M99" s="13" t="str">
        <f aca="false">IF(L99&lt;1,"Under 1 yr",IF(L99&lt;3,"1 to 3 yrs",IF(L99&lt;5,"3 to 5 yrs","5+ yrs")))</f>
        <v>5+ yrs</v>
      </c>
      <c r="N99" s="14" t="n">
        <f aca="false">H99*12</f>
        <v>696000</v>
      </c>
      <c r="O99" s="13" t="n">
        <f aca="false">IF(AND(E99&lt;Assumptions!$B$6,OR(F99="",F99&gt;=Assumptions!$B$6)),1,0)</f>
        <v>1</v>
      </c>
      <c r="P99" s="13" t="n">
        <f aca="false">IF(F99="",0,IF(AND(F99&gt;=Assumptions!$B$6,F99&lt;=Assumptions!$B$5),1,0))</f>
        <v>0</v>
      </c>
      <c r="Q99" s="14" t="n">
        <f aca="false">P99*N99*Assumptions!$B$7</f>
        <v>0</v>
      </c>
      <c r="R99" s="13" t="n">
        <f aca="false">IF(AND(P99=1,J99&gt;=Assumptions!$B$10),1,0)</f>
        <v>0</v>
      </c>
    </row>
    <row r="100" customFormat="false" ht="15" hidden="false" customHeight="false" outlineLevel="0" collapsed="false">
      <c r="A100" s="26" t="s">
        <v>203</v>
      </c>
      <c r="B100" s="26" t="s">
        <v>45</v>
      </c>
      <c r="C100" s="26" t="s">
        <v>100</v>
      </c>
      <c r="D100" s="26" t="s">
        <v>105</v>
      </c>
      <c r="E100" s="27" t="n">
        <v>44892</v>
      </c>
      <c r="F100" s="27"/>
      <c r="G100" s="26"/>
      <c r="H100" s="28" t="n">
        <v>54000</v>
      </c>
      <c r="I100" s="26" t="n">
        <v>4</v>
      </c>
      <c r="J100" s="26" t="n">
        <v>1</v>
      </c>
      <c r="K100" s="13" t="str">
        <f aca="false">IF(F100="","Active","Left")</f>
        <v>Active</v>
      </c>
      <c r="L100" s="16" t="n">
        <f aca="false">ROUND((IF(F100="",Assumptions!$B$5,F100)-E100)/365.25,1)</f>
        <v>3.8</v>
      </c>
      <c r="M100" s="13" t="str">
        <f aca="false">IF(L100&lt;1,"Under 1 yr",IF(L100&lt;3,"1 to 3 yrs",IF(L100&lt;5,"3 to 5 yrs","5+ yrs")))</f>
        <v>3 to 5 yrs</v>
      </c>
      <c r="N100" s="14" t="n">
        <f aca="false">H100*12</f>
        <v>648000</v>
      </c>
      <c r="O100" s="13" t="n">
        <f aca="false">IF(AND(E100&lt;Assumptions!$B$6,OR(F100="",F100&gt;=Assumptions!$B$6)),1,0)</f>
        <v>1</v>
      </c>
      <c r="P100" s="13" t="n">
        <f aca="false">IF(F100="",0,IF(AND(F100&gt;=Assumptions!$B$6,F100&lt;=Assumptions!$B$5),1,0))</f>
        <v>0</v>
      </c>
      <c r="Q100" s="14" t="n">
        <f aca="false">P100*N100*Assumptions!$B$7</f>
        <v>0</v>
      </c>
      <c r="R100" s="13" t="n">
        <f aca="false">IF(AND(P100=1,J100&gt;=Assumptions!$B$10),1,0)</f>
        <v>0</v>
      </c>
    </row>
    <row r="101" customFormat="false" ht="15" hidden="false" customHeight="false" outlineLevel="0" collapsed="false">
      <c r="A101" s="26" t="s">
        <v>204</v>
      </c>
      <c r="B101" s="26" t="s">
        <v>45</v>
      </c>
      <c r="C101" s="26" t="s">
        <v>100</v>
      </c>
      <c r="D101" s="26" t="s">
        <v>101</v>
      </c>
      <c r="E101" s="27" t="n">
        <v>43382</v>
      </c>
      <c r="F101" s="27" t="n">
        <v>45661</v>
      </c>
      <c r="G101" s="26" t="s">
        <v>62</v>
      </c>
      <c r="H101" s="28" t="n">
        <v>60000</v>
      </c>
      <c r="I101" s="26" t="n">
        <v>9</v>
      </c>
      <c r="J101" s="26" t="n">
        <v>3</v>
      </c>
      <c r="K101" s="13" t="str">
        <f aca="false">IF(F101="","Active","Left")</f>
        <v>Left</v>
      </c>
      <c r="L101" s="16" t="n">
        <f aca="false">ROUND((IF(F101="",Assumptions!$B$5,F101)-E101)/365.25,1)</f>
        <v>6.2</v>
      </c>
      <c r="M101" s="13" t="str">
        <f aca="false">IF(L101&lt;1,"Under 1 yr",IF(L101&lt;3,"1 to 3 yrs",IF(L101&lt;5,"3 to 5 yrs","5+ yrs")))</f>
        <v>5+ yrs</v>
      </c>
      <c r="N101" s="14" t="n">
        <f aca="false">H101*12</f>
        <v>720000</v>
      </c>
      <c r="O101" s="13" t="n">
        <f aca="false">IF(AND(E101&lt;Assumptions!$B$6,OR(F101="",F101&gt;=Assumptions!$B$6)),1,0)</f>
        <v>0</v>
      </c>
      <c r="P101" s="13" t="n">
        <f aca="false">IF(F101="",0,IF(AND(F101&gt;=Assumptions!$B$6,F101&lt;=Assumptions!$B$5),1,0))</f>
        <v>0</v>
      </c>
      <c r="Q101" s="14" t="n">
        <f aca="false">P101*N101*Assumptions!$B$7</f>
        <v>0</v>
      </c>
      <c r="R101" s="13" t="n">
        <f aca="false">IF(AND(P101=1,J101&gt;=Assumptions!$B$10),1,0)</f>
        <v>0</v>
      </c>
    </row>
    <row r="102" customFormat="false" ht="15" hidden="false" customHeight="false" outlineLevel="0" collapsed="false">
      <c r="A102" s="26" t="s">
        <v>205</v>
      </c>
      <c r="B102" s="26" t="s">
        <v>45</v>
      </c>
      <c r="C102" s="26" t="s">
        <v>108</v>
      </c>
      <c r="D102" s="26" t="s">
        <v>101</v>
      </c>
      <c r="E102" s="27" t="n">
        <v>44190</v>
      </c>
      <c r="F102" s="27"/>
      <c r="G102" s="26"/>
      <c r="H102" s="28" t="n">
        <v>72000</v>
      </c>
      <c r="I102" s="26" t="n">
        <v>6</v>
      </c>
      <c r="J102" s="26" t="n">
        <v>4</v>
      </c>
      <c r="K102" s="13" t="str">
        <f aca="false">IF(F102="","Active","Left")</f>
        <v>Active</v>
      </c>
      <c r="L102" s="16" t="n">
        <f aca="false">ROUND((IF(F102="",Assumptions!$B$5,F102)-E102)/365.25,1)</f>
        <v>5.8</v>
      </c>
      <c r="M102" s="13" t="str">
        <f aca="false">IF(L102&lt;1,"Under 1 yr",IF(L102&lt;3,"1 to 3 yrs",IF(L102&lt;5,"3 to 5 yrs","5+ yrs")))</f>
        <v>5+ yrs</v>
      </c>
      <c r="N102" s="14" t="n">
        <f aca="false">H102*12</f>
        <v>864000</v>
      </c>
      <c r="O102" s="13" t="n">
        <f aca="false">IF(AND(E102&lt;Assumptions!$B$6,OR(F102="",F102&gt;=Assumptions!$B$6)),1,0)</f>
        <v>1</v>
      </c>
      <c r="P102" s="13" t="n">
        <f aca="false">IF(F102="",0,IF(AND(F102&gt;=Assumptions!$B$6,F102&lt;=Assumptions!$B$5),1,0))</f>
        <v>0</v>
      </c>
      <c r="Q102" s="14" t="n">
        <f aca="false">P102*N102*Assumptions!$B$7</f>
        <v>0</v>
      </c>
      <c r="R102" s="13" t="n">
        <f aca="false">IF(AND(P102=1,J102&gt;=Assumptions!$B$10),1,0)</f>
        <v>0</v>
      </c>
    </row>
    <row r="103" customFormat="false" ht="15" hidden="false" customHeight="false" outlineLevel="0" collapsed="false">
      <c r="A103" s="26" t="s">
        <v>206</v>
      </c>
      <c r="B103" s="26" t="s">
        <v>46</v>
      </c>
      <c r="C103" s="26" t="s">
        <v>100</v>
      </c>
      <c r="D103" s="26" t="s">
        <v>105</v>
      </c>
      <c r="E103" s="27" t="n">
        <v>43268</v>
      </c>
      <c r="F103" s="27" t="n">
        <v>46081</v>
      </c>
      <c r="G103" s="26" t="s">
        <v>62</v>
      </c>
      <c r="H103" s="28" t="n">
        <v>44000</v>
      </c>
      <c r="I103" s="26" t="n">
        <v>1</v>
      </c>
      <c r="J103" s="26" t="n">
        <v>3</v>
      </c>
      <c r="K103" s="13" t="str">
        <f aca="false">IF(F103="","Active","Left")</f>
        <v>Left</v>
      </c>
      <c r="L103" s="16" t="n">
        <f aca="false">ROUND((IF(F103="",Assumptions!$B$5,F103)-E103)/365.25,1)</f>
        <v>7.7</v>
      </c>
      <c r="M103" s="13" t="str">
        <f aca="false">IF(L103&lt;1,"Under 1 yr",IF(L103&lt;3,"1 to 3 yrs",IF(L103&lt;5,"3 to 5 yrs","5+ yrs")))</f>
        <v>5+ yrs</v>
      </c>
      <c r="N103" s="14" t="n">
        <f aca="false">H103*12</f>
        <v>528000</v>
      </c>
      <c r="O103" s="13" t="n">
        <f aca="false">IF(AND(E103&lt;Assumptions!$B$6,OR(F103="",F103&gt;=Assumptions!$B$6)),1,0)</f>
        <v>1</v>
      </c>
      <c r="P103" s="13" t="n">
        <f aca="false">IF(F103="",0,IF(AND(F103&gt;=Assumptions!$B$6,F103&lt;=Assumptions!$B$5),1,0))</f>
        <v>1</v>
      </c>
      <c r="Q103" s="14" t="n">
        <f aca="false">P103*N103*Assumptions!$B$7</f>
        <v>264000</v>
      </c>
      <c r="R103" s="13" t="n">
        <f aca="false">IF(AND(P103=1,J103&gt;=Assumptions!$B$10),1,0)</f>
        <v>0</v>
      </c>
    </row>
    <row r="104" customFormat="false" ht="15" hidden="false" customHeight="false" outlineLevel="0" collapsed="false">
      <c r="A104" s="26" t="s">
        <v>207</v>
      </c>
      <c r="B104" s="26" t="s">
        <v>50</v>
      </c>
      <c r="C104" s="26" t="s">
        <v>100</v>
      </c>
      <c r="D104" s="26" t="s">
        <v>101</v>
      </c>
      <c r="E104" s="27" t="n">
        <v>45596</v>
      </c>
      <c r="F104" s="27"/>
      <c r="G104" s="26"/>
      <c r="H104" s="28" t="n">
        <v>39000</v>
      </c>
      <c r="I104" s="26" t="n">
        <v>6</v>
      </c>
      <c r="J104" s="26" t="n">
        <v>1</v>
      </c>
      <c r="K104" s="13" t="str">
        <f aca="false">IF(F104="","Active","Left")</f>
        <v>Active</v>
      </c>
      <c r="L104" s="16" t="n">
        <f aca="false">ROUND((IF(F104="",Assumptions!$B$5,F104)-E104)/365.25,1)</f>
        <v>1.9</v>
      </c>
      <c r="M104" s="13" t="str">
        <f aca="false">IF(L104&lt;1,"Under 1 yr",IF(L104&lt;3,"1 to 3 yrs",IF(L104&lt;5,"3 to 5 yrs","5+ yrs")))</f>
        <v>1 to 3 yrs</v>
      </c>
      <c r="N104" s="14" t="n">
        <f aca="false">H104*12</f>
        <v>468000</v>
      </c>
      <c r="O104" s="13" t="n">
        <f aca="false">IF(AND(E104&lt;Assumptions!$B$6,OR(F104="",F104&gt;=Assumptions!$B$6)),1,0)</f>
        <v>1</v>
      </c>
      <c r="P104" s="13" t="n">
        <f aca="false">IF(F104="",0,IF(AND(F104&gt;=Assumptions!$B$6,F104&lt;=Assumptions!$B$5),1,0))</f>
        <v>0</v>
      </c>
      <c r="Q104" s="14" t="n">
        <f aca="false">P104*N104*Assumptions!$B$7</f>
        <v>0</v>
      </c>
      <c r="R104" s="13" t="n">
        <f aca="false">IF(AND(P104=1,J104&gt;=Assumptions!$B$10),1,0)</f>
        <v>0</v>
      </c>
    </row>
    <row r="105" customFormat="false" ht="15" hidden="false" customHeight="false" outlineLevel="0" collapsed="false">
      <c r="A105" s="26" t="s">
        <v>208</v>
      </c>
      <c r="B105" s="26" t="s">
        <v>47</v>
      </c>
      <c r="C105" s="26" t="s">
        <v>108</v>
      </c>
      <c r="D105" s="26" t="s">
        <v>105</v>
      </c>
      <c r="E105" s="27" t="n">
        <v>43940</v>
      </c>
      <c r="F105" s="27"/>
      <c r="G105" s="26"/>
      <c r="H105" s="28" t="n">
        <v>83000</v>
      </c>
      <c r="I105" s="26" t="n">
        <v>5</v>
      </c>
      <c r="J105" s="26" t="n">
        <v>5</v>
      </c>
      <c r="K105" s="13" t="str">
        <f aca="false">IF(F105="","Active","Left")</f>
        <v>Active</v>
      </c>
      <c r="L105" s="16" t="n">
        <f aca="false">ROUND((IF(F105="",Assumptions!$B$5,F105)-E105)/365.25,1)</f>
        <v>6.4</v>
      </c>
      <c r="M105" s="13" t="str">
        <f aca="false">IF(L105&lt;1,"Under 1 yr",IF(L105&lt;3,"1 to 3 yrs",IF(L105&lt;5,"3 to 5 yrs","5+ yrs")))</f>
        <v>5+ yrs</v>
      </c>
      <c r="N105" s="14" t="n">
        <f aca="false">H105*12</f>
        <v>996000</v>
      </c>
      <c r="O105" s="13" t="n">
        <f aca="false">IF(AND(E105&lt;Assumptions!$B$6,OR(F105="",F105&gt;=Assumptions!$B$6)),1,0)</f>
        <v>1</v>
      </c>
      <c r="P105" s="13" t="n">
        <f aca="false">IF(F105="",0,IF(AND(F105&gt;=Assumptions!$B$6,F105&lt;=Assumptions!$B$5),1,0))</f>
        <v>0</v>
      </c>
      <c r="Q105" s="14" t="n">
        <f aca="false">P105*N105*Assumptions!$B$7</f>
        <v>0</v>
      </c>
      <c r="R105" s="13" t="n">
        <f aca="false">IF(AND(P105=1,J105&gt;=Assumptions!$B$10),1,0)</f>
        <v>0</v>
      </c>
    </row>
    <row r="106" customFormat="false" ht="15" hidden="false" customHeight="false" outlineLevel="0" collapsed="false">
      <c r="A106" s="26" t="s">
        <v>209</v>
      </c>
      <c r="B106" s="26" t="s">
        <v>45</v>
      </c>
      <c r="C106" s="26" t="s">
        <v>108</v>
      </c>
      <c r="D106" s="26" t="s">
        <v>105</v>
      </c>
      <c r="E106" s="27" t="n">
        <v>44511</v>
      </c>
      <c r="F106" s="27"/>
      <c r="G106" s="26"/>
      <c r="H106" s="28" t="n">
        <v>84000</v>
      </c>
      <c r="I106" s="26" t="n">
        <v>4</v>
      </c>
      <c r="J106" s="26" t="n">
        <v>1</v>
      </c>
      <c r="K106" s="13" t="str">
        <f aca="false">IF(F106="","Active","Left")</f>
        <v>Active</v>
      </c>
      <c r="L106" s="16" t="n">
        <f aca="false">ROUND((IF(F106="",Assumptions!$B$5,F106)-E106)/365.25,1)</f>
        <v>4.9</v>
      </c>
      <c r="M106" s="13" t="str">
        <f aca="false">IF(L106&lt;1,"Under 1 yr",IF(L106&lt;3,"1 to 3 yrs",IF(L106&lt;5,"3 to 5 yrs","5+ yrs")))</f>
        <v>3 to 5 yrs</v>
      </c>
      <c r="N106" s="14" t="n">
        <f aca="false">H106*12</f>
        <v>1008000</v>
      </c>
      <c r="O106" s="13" t="n">
        <f aca="false">IF(AND(E106&lt;Assumptions!$B$6,OR(F106="",F106&gt;=Assumptions!$B$6)),1,0)</f>
        <v>1</v>
      </c>
      <c r="P106" s="13" t="n">
        <f aca="false">IF(F106="",0,IF(AND(F106&gt;=Assumptions!$B$6,F106&lt;=Assumptions!$B$5),1,0))</f>
        <v>0</v>
      </c>
      <c r="Q106" s="14" t="n">
        <f aca="false">P106*N106*Assumptions!$B$7</f>
        <v>0</v>
      </c>
      <c r="R106" s="13" t="n">
        <f aca="false">IF(AND(P106=1,J106&gt;=Assumptions!$B$10),1,0)</f>
        <v>0</v>
      </c>
    </row>
    <row r="107" customFormat="false" ht="15" hidden="false" customHeight="false" outlineLevel="0" collapsed="false">
      <c r="A107" s="26" t="s">
        <v>210</v>
      </c>
      <c r="B107" s="26" t="s">
        <v>46</v>
      </c>
      <c r="C107" s="26" t="s">
        <v>100</v>
      </c>
      <c r="D107" s="26" t="s">
        <v>101</v>
      </c>
      <c r="E107" s="27" t="n">
        <v>42524</v>
      </c>
      <c r="F107" s="27" t="n">
        <v>45831</v>
      </c>
      <c r="G107" s="26" t="s">
        <v>63</v>
      </c>
      <c r="H107" s="28" t="n">
        <v>51000</v>
      </c>
      <c r="I107" s="26" t="n">
        <v>4</v>
      </c>
      <c r="J107" s="26" t="n">
        <v>3</v>
      </c>
      <c r="K107" s="13" t="str">
        <f aca="false">IF(F107="","Active","Left")</f>
        <v>Left</v>
      </c>
      <c r="L107" s="16" t="n">
        <f aca="false">ROUND((IF(F107="",Assumptions!$B$5,F107)-E107)/365.25,1)</f>
        <v>9.1</v>
      </c>
      <c r="M107" s="13" t="str">
        <f aca="false">IF(L107&lt;1,"Under 1 yr",IF(L107&lt;3,"1 to 3 yrs",IF(L107&lt;5,"3 to 5 yrs","5+ yrs")))</f>
        <v>5+ yrs</v>
      </c>
      <c r="N107" s="14" t="n">
        <f aca="false">H107*12</f>
        <v>612000</v>
      </c>
      <c r="O107" s="13" t="n">
        <f aca="false">IF(AND(E107&lt;Assumptions!$B$6,OR(F107="",F107&gt;=Assumptions!$B$6)),1,0)</f>
        <v>0</v>
      </c>
      <c r="P107" s="13" t="n">
        <f aca="false">IF(F107="",0,IF(AND(F107&gt;=Assumptions!$B$6,F107&lt;=Assumptions!$B$5),1,0))</f>
        <v>0</v>
      </c>
      <c r="Q107" s="14" t="n">
        <f aca="false">P107*N107*Assumptions!$B$7</f>
        <v>0</v>
      </c>
      <c r="R107" s="13" t="n">
        <f aca="false">IF(AND(P107=1,J107&gt;=Assumptions!$B$10),1,0)</f>
        <v>0</v>
      </c>
    </row>
    <row r="108" customFormat="false" ht="15" hidden="false" customHeight="false" outlineLevel="0" collapsed="false">
      <c r="A108" s="26" t="s">
        <v>211</v>
      </c>
      <c r="B108" s="26" t="s">
        <v>48</v>
      </c>
      <c r="C108" s="26" t="s">
        <v>108</v>
      </c>
      <c r="D108" s="26" t="s">
        <v>105</v>
      </c>
      <c r="E108" s="27" t="n">
        <v>43851</v>
      </c>
      <c r="F108" s="27"/>
      <c r="G108" s="26"/>
      <c r="H108" s="28" t="n">
        <v>80000</v>
      </c>
      <c r="I108" s="26" t="n">
        <v>0</v>
      </c>
      <c r="J108" s="26" t="n">
        <v>3</v>
      </c>
      <c r="K108" s="13" t="str">
        <f aca="false">IF(F108="","Active","Left")</f>
        <v>Active</v>
      </c>
      <c r="L108" s="16" t="n">
        <f aca="false">ROUND((IF(F108="",Assumptions!$B$5,F108)-E108)/365.25,1)</f>
        <v>6.7</v>
      </c>
      <c r="M108" s="13" t="str">
        <f aca="false">IF(L108&lt;1,"Under 1 yr",IF(L108&lt;3,"1 to 3 yrs",IF(L108&lt;5,"3 to 5 yrs","5+ yrs")))</f>
        <v>5+ yrs</v>
      </c>
      <c r="N108" s="14" t="n">
        <f aca="false">H108*12</f>
        <v>960000</v>
      </c>
      <c r="O108" s="13" t="n">
        <f aca="false">IF(AND(E108&lt;Assumptions!$B$6,OR(F108="",F108&gt;=Assumptions!$B$6)),1,0)</f>
        <v>1</v>
      </c>
      <c r="P108" s="13" t="n">
        <f aca="false">IF(F108="",0,IF(AND(F108&gt;=Assumptions!$B$6,F108&lt;=Assumptions!$B$5),1,0))</f>
        <v>0</v>
      </c>
      <c r="Q108" s="14" t="n">
        <f aca="false">P108*N108*Assumptions!$B$7</f>
        <v>0</v>
      </c>
      <c r="R108" s="13" t="n">
        <f aca="false">IF(AND(P108=1,J108&gt;=Assumptions!$B$10),1,0)</f>
        <v>0</v>
      </c>
    </row>
    <row r="109" customFormat="false" ht="15" hidden="false" customHeight="false" outlineLevel="0" collapsed="false">
      <c r="A109" s="26" t="s">
        <v>212</v>
      </c>
      <c r="B109" s="26" t="s">
        <v>47</v>
      </c>
      <c r="C109" s="26" t="s">
        <v>108</v>
      </c>
      <c r="D109" s="26" t="s">
        <v>105</v>
      </c>
      <c r="E109" s="27" t="n">
        <v>42259</v>
      </c>
      <c r="F109" s="27"/>
      <c r="G109" s="26"/>
      <c r="H109" s="28" t="n">
        <v>66000</v>
      </c>
      <c r="I109" s="26" t="n">
        <v>9</v>
      </c>
      <c r="J109" s="26" t="n">
        <v>4</v>
      </c>
      <c r="K109" s="13" t="str">
        <f aca="false">IF(F109="","Active","Left")</f>
        <v>Active</v>
      </c>
      <c r="L109" s="16" t="n">
        <f aca="false">ROUND((IF(F109="",Assumptions!$B$5,F109)-E109)/365.25,1)</f>
        <v>11</v>
      </c>
      <c r="M109" s="13" t="str">
        <f aca="false">IF(L109&lt;1,"Under 1 yr",IF(L109&lt;3,"1 to 3 yrs",IF(L109&lt;5,"3 to 5 yrs","5+ yrs")))</f>
        <v>5+ yrs</v>
      </c>
      <c r="N109" s="14" t="n">
        <f aca="false">H109*12</f>
        <v>792000</v>
      </c>
      <c r="O109" s="13" t="n">
        <f aca="false">IF(AND(E109&lt;Assumptions!$B$6,OR(F109="",F109&gt;=Assumptions!$B$6)),1,0)</f>
        <v>1</v>
      </c>
      <c r="P109" s="13" t="n">
        <f aca="false">IF(F109="",0,IF(AND(F109&gt;=Assumptions!$B$6,F109&lt;=Assumptions!$B$5),1,0))</f>
        <v>0</v>
      </c>
      <c r="Q109" s="14" t="n">
        <f aca="false">P109*N109*Assumptions!$B$7</f>
        <v>0</v>
      </c>
      <c r="R109" s="13" t="n">
        <f aca="false">IF(AND(P109=1,J109&gt;=Assumptions!$B$10),1,0)</f>
        <v>0</v>
      </c>
    </row>
    <row r="110" customFormat="false" ht="15" hidden="false" customHeight="false" outlineLevel="0" collapsed="false">
      <c r="A110" s="26" t="s">
        <v>213</v>
      </c>
      <c r="B110" s="26" t="s">
        <v>45</v>
      </c>
      <c r="C110" s="26" t="s">
        <v>108</v>
      </c>
      <c r="D110" s="26" t="s">
        <v>101</v>
      </c>
      <c r="E110" s="27" t="n">
        <v>45525</v>
      </c>
      <c r="F110" s="27" t="n">
        <v>46260</v>
      </c>
      <c r="G110" s="26" t="s">
        <v>67</v>
      </c>
      <c r="H110" s="28" t="n">
        <v>101000</v>
      </c>
      <c r="I110" s="26" t="n">
        <v>6</v>
      </c>
      <c r="J110" s="26" t="n">
        <v>3</v>
      </c>
      <c r="K110" s="13" t="str">
        <f aca="false">IF(F110="","Active","Left")</f>
        <v>Left</v>
      </c>
      <c r="L110" s="16" t="n">
        <f aca="false">ROUND((IF(F110="",Assumptions!$B$5,F110)-E110)/365.25,1)</f>
        <v>2</v>
      </c>
      <c r="M110" s="13" t="str">
        <f aca="false">IF(L110&lt;1,"Under 1 yr",IF(L110&lt;3,"1 to 3 yrs",IF(L110&lt;5,"3 to 5 yrs","5+ yrs")))</f>
        <v>1 to 3 yrs</v>
      </c>
      <c r="N110" s="14" t="n">
        <f aca="false">H110*12</f>
        <v>1212000</v>
      </c>
      <c r="O110" s="13" t="n">
        <f aca="false">IF(AND(E110&lt;Assumptions!$B$6,OR(F110="",F110&gt;=Assumptions!$B$6)),1,0)</f>
        <v>1</v>
      </c>
      <c r="P110" s="13" t="n">
        <f aca="false">IF(F110="",0,IF(AND(F110&gt;=Assumptions!$B$6,F110&lt;=Assumptions!$B$5),1,0))</f>
        <v>1</v>
      </c>
      <c r="Q110" s="14" t="n">
        <f aca="false">P110*N110*Assumptions!$B$7</f>
        <v>606000</v>
      </c>
      <c r="R110" s="13" t="n">
        <f aca="false">IF(AND(P110=1,J110&gt;=Assumptions!$B$10),1,0)</f>
        <v>0</v>
      </c>
    </row>
    <row r="111" customFormat="false" ht="15" hidden="false" customHeight="false" outlineLevel="0" collapsed="false">
      <c r="A111" s="26" t="s">
        <v>214</v>
      </c>
      <c r="B111" s="26" t="s">
        <v>46</v>
      </c>
      <c r="C111" s="26" t="s">
        <v>108</v>
      </c>
      <c r="D111" s="26" t="s">
        <v>101</v>
      </c>
      <c r="E111" s="27" t="n">
        <v>44655</v>
      </c>
      <c r="F111" s="27"/>
      <c r="G111" s="26"/>
      <c r="H111" s="28" t="n">
        <v>60000</v>
      </c>
      <c r="I111" s="26" t="n">
        <v>1</v>
      </c>
      <c r="J111" s="26" t="n">
        <v>3</v>
      </c>
      <c r="K111" s="13" t="str">
        <f aca="false">IF(F111="","Active","Left")</f>
        <v>Active</v>
      </c>
      <c r="L111" s="16" t="n">
        <f aca="false">ROUND((IF(F111="",Assumptions!$B$5,F111)-E111)/365.25,1)</f>
        <v>4.5</v>
      </c>
      <c r="M111" s="13" t="str">
        <f aca="false">IF(L111&lt;1,"Under 1 yr",IF(L111&lt;3,"1 to 3 yrs",IF(L111&lt;5,"3 to 5 yrs","5+ yrs")))</f>
        <v>3 to 5 yrs</v>
      </c>
      <c r="N111" s="14" t="n">
        <f aca="false">H111*12</f>
        <v>720000</v>
      </c>
      <c r="O111" s="13" t="n">
        <f aca="false">IF(AND(E111&lt;Assumptions!$B$6,OR(F111="",F111&gt;=Assumptions!$B$6)),1,0)</f>
        <v>1</v>
      </c>
      <c r="P111" s="13" t="n">
        <f aca="false">IF(F111="",0,IF(AND(F111&gt;=Assumptions!$B$6,F111&lt;=Assumptions!$B$5),1,0))</f>
        <v>0</v>
      </c>
      <c r="Q111" s="14" t="n">
        <f aca="false">P111*N111*Assumptions!$B$7</f>
        <v>0</v>
      </c>
      <c r="R111" s="13" t="n">
        <f aca="false">IF(AND(P111=1,J111&gt;=Assumptions!$B$10),1,0)</f>
        <v>0</v>
      </c>
    </row>
    <row r="112" customFormat="false" ht="15" hidden="false" customHeight="false" outlineLevel="0" collapsed="false">
      <c r="A112" s="26" t="s">
        <v>215</v>
      </c>
      <c r="B112" s="26" t="s">
        <v>50</v>
      </c>
      <c r="C112" s="26" t="s">
        <v>108</v>
      </c>
      <c r="D112" s="26" t="s">
        <v>105</v>
      </c>
      <c r="E112" s="27" t="n">
        <v>42499</v>
      </c>
      <c r="F112" s="27"/>
      <c r="G112" s="26"/>
      <c r="H112" s="28" t="n">
        <v>88000</v>
      </c>
      <c r="I112" s="26" t="n">
        <v>5</v>
      </c>
      <c r="J112" s="26" t="n">
        <v>5</v>
      </c>
      <c r="K112" s="13" t="str">
        <f aca="false">IF(F112="","Active","Left")</f>
        <v>Active</v>
      </c>
      <c r="L112" s="16" t="n">
        <f aca="false">ROUND((IF(F112="",Assumptions!$B$5,F112)-E112)/365.25,1)</f>
        <v>10.4</v>
      </c>
      <c r="M112" s="13" t="str">
        <f aca="false">IF(L112&lt;1,"Under 1 yr",IF(L112&lt;3,"1 to 3 yrs",IF(L112&lt;5,"3 to 5 yrs","5+ yrs")))</f>
        <v>5+ yrs</v>
      </c>
      <c r="N112" s="14" t="n">
        <f aca="false">H112*12</f>
        <v>1056000</v>
      </c>
      <c r="O112" s="13" t="n">
        <f aca="false">IF(AND(E112&lt;Assumptions!$B$6,OR(F112="",F112&gt;=Assumptions!$B$6)),1,0)</f>
        <v>1</v>
      </c>
      <c r="P112" s="13" t="n">
        <f aca="false">IF(F112="",0,IF(AND(F112&gt;=Assumptions!$B$6,F112&lt;=Assumptions!$B$5),1,0))</f>
        <v>0</v>
      </c>
      <c r="Q112" s="14" t="n">
        <f aca="false">P112*N112*Assumptions!$B$7</f>
        <v>0</v>
      </c>
      <c r="R112" s="13" t="n">
        <f aca="false">IF(AND(P112=1,J112&gt;=Assumptions!$B$10),1,0)</f>
        <v>0</v>
      </c>
    </row>
    <row r="113" customFormat="false" ht="15" hidden="false" customHeight="false" outlineLevel="0" collapsed="false">
      <c r="A113" s="26" t="s">
        <v>216</v>
      </c>
      <c r="B113" s="26" t="s">
        <v>46</v>
      </c>
      <c r="C113" s="26" t="s">
        <v>108</v>
      </c>
      <c r="D113" s="26" t="s">
        <v>105</v>
      </c>
      <c r="E113" s="27" t="n">
        <v>45481</v>
      </c>
      <c r="F113" s="27" t="n">
        <v>46210</v>
      </c>
      <c r="G113" s="26" t="s">
        <v>67</v>
      </c>
      <c r="H113" s="28" t="n">
        <v>72000</v>
      </c>
      <c r="I113" s="26" t="n">
        <v>4</v>
      </c>
      <c r="J113" s="26" t="n">
        <v>5</v>
      </c>
      <c r="K113" s="13" t="str">
        <f aca="false">IF(F113="","Active","Left")</f>
        <v>Left</v>
      </c>
      <c r="L113" s="16" t="n">
        <f aca="false">ROUND((IF(F113="",Assumptions!$B$5,F113)-E113)/365.25,1)</f>
        <v>2</v>
      </c>
      <c r="M113" s="13" t="str">
        <f aca="false">IF(L113&lt;1,"Under 1 yr",IF(L113&lt;3,"1 to 3 yrs",IF(L113&lt;5,"3 to 5 yrs","5+ yrs")))</f>
        <v>1 to 3 yrs</v>
      </c>
      <c r="N113" s="14" t="n">
        <f aca="false">H113*12</f>
        <v>864000</v>
      </c>
      <c r="O113" s="13" t="n">
        <f aca="false">IF(AND(E113&lt;Assumptions!$B$6,OR(F113="",F113&gt;=Assumptions!$B$6)),1,0)</f>
        <v>1</v>
      </c>
      <c r="P113" s="13" t="n">
        <f aca="false">IF(F113="",0,IF(AND(F113&gt;=Assumptions!$B$6,F113&lt;=Assumptions!$B$5),1,0))</f>
        <v>1</v>
      </c>
      <c r="Q113" s="14" t="n">
        <f aca="false">P113*N113*Assumptions!$B$7</f>
        <v>432000</v>
      </c>
      <c r="R113" s="13" t="n">
        <f aca="false">IF(AND(P113=1,J113&gt;=Assumptions!$B$10),1,0)</f>
        <v>1</v>
      </c>
    </row>
    <row r="114" customFormat="false" ht="15" hidden="false" customHeight="false" outlineLevel="0" collapsed="false">
      <c r="A114" s="26" t="s">
        <v>217</v>
      </c>
      <c r="B114" s="26" t="s">
        <v>50</v>
      </c>
      <c r="C114" s="26" t="s">
        <v>100</v>
      </c>
      <c r="D114" s="26" t="s">
        <v>105</v>
      </c>
      <c r="E114" s="27" t="n">
        <v>43017</v>
      </c>
      <c r="F114" s="27" t="n">
        <v>46063</v>
      </c>
      <c r="G114" s="26" t="s">
        <v>63</v>
      </c>
      <c r="H114" s="28" t="n">
        <v>42000</v>
      </c>
      <c r="I114" s="26" t="n">
        <v>3</v>
      </c>
      <c r="J114" s="26" t="n">
        <v>3</v>
      </c>
      <c r="K114" s="13" t="str">
        <f aca="false">IF(F114="","Active","Left")</f>
        <v>Left</v>
      </c>
      <c r="L114" s="16" t="n">
        <f aca="false">ROUND((IF(F114="",Assumptions!$B$5,F114)-E114)/365.25,1)</f>
        <v>8.3</v>
      </c>
      <c r="M114" s="13" t="str">
        <f aca="false">IF(L114&lt;1,"Under 1 yr",IF(L114&lt;3,"1 to 3 yrs",IF(L114&lt;5,"3 to 5 yrs","5+ yrs")))</f>
        <v>5+ yrs</v>
      </c>
      <c r="N114" s="14" t="n">
        <f aca="false">H114*12</f>
        <v>504000</v>
      </c>
      <c r="O114" s="13" t="n">
        <f aca="false">IF(AND(E114&lt;Assumptions!$B$6,OR(F114="",F114&gt;=Assumptions!$B$6)),1,0)</f>
        <v>1</v>
      </c>
      <c r="P114" s="13" t="n">
        <f aca="false">IF(F114="",0,IF(AND(F114&gt;=Assumptions!$B$6,F114&lt;=Assumptions!$B$5),1,0))</f>
        <v>1</v>
      </c>
      <c r="Q114" s="14" t="n">
        <f aca="false">P114*N114*Assumptions!$B$7</f>
        <v>252000</v>
      </c>
      <c r="R114" s="13" t="n">
        <f aca="false">IF(AND(P114=1,J114&gt;=Assumptions!$B$10),1,0)</f>
        <v>0</v>
      </c>
    </row>
    <row r="115" customFormat="false" ht="15" hidden="false" customHeight="false" outlineLevel="0" collapsed="false">
      <c r="A115" s="26" t="s">
        <v>218</v>
      </c>
      <c r="B115" s="26" t="s">
        <v>45</v>
      </c>
      <c r="C115" s="26" t="s">
        <v>100</v>
      </c>
      <c r="D115" s="26" t="s">
        <v>101</v>
      </c>
      <c r="E115" s="27" t="n">
        <v>46084</v>
      </c>
      <c r="F115" s="27"/>
      <c r="G115" s="26"/>
      <c r="H115" s="28" t="n">
        <v>40000</v>
      </c>
      <c r="I115" s="26" t="n">
        <v>6</v>
      </c>
      <c r="J115" s="26" t="n">
        <v>5</v>
      </c>
      <c r="K115" s="13" t="str">
        <f aca="false">IF(F115="","Active","Left")</f>
        <v>Active</v>
      </c>
      <c r="L115" s="16" t="n">
        <f aca="false">ROUND((IF(F115="",Assumptions!$B$5,F115)-E115)/365.25,1)</f>
        <v>0.6</v>
      </c>
      <c r="M115" s="13" t="str">
        <f aca="false">IF(L115&lt;1,"Under 1 yr",IF(L115&lt;3,"1 to 3 yrs",IF(L115&lt;5,"3 to 5 yrs","5+ yrs")))</f>
        <v>Under 1 yr</v>
      </c>
      <c r="N115" s="14" t="n">
        <f aca="false">H115*12</f>
        <v>480000</v>
      </c>
      <c r="O115" s="13" t="n">
        <f aca="false">IF(AND(E115&lt;Assumptions!$B$6,OR(F115="",F115&gt;=Assumptions!$B$6)),1,0)</f>
        <v>0</v>
      </c>
      <c r="P115" s="13" t="n">
        <f aca="false">IF(F115="",0,IF(AND(F115&gt;=Assumptions!$B$6,F115&lt;=Assumptions!$B$5),1,0))</f>
        <v>0</v>
      </c>
      <c r="Q115" s="14" t="n">
        <f aca="false">P115*N115*Assumptions!$B$7</f>
        <v>0</v>
      </c>
      <c r="R115" s="13" t="n">
        <f aca="false">IF(AND(P115=1,J115&gt;=Assumptions!$B$10),1,0)</f>
        <v>0</v>
      </c>
    </row>
    <row r="116" customFormat="false" ht="15" hidden="false" customHeight="false" outlineLevel="0" collapsed="false">
      <c r="A116" s="26" t="s">
        <v>219</v>
      </c>
      <c r="B116" s="26" t="s">
        <v>45</v>
      </c>
      <c r="C116" s="26" t="s">
        <v>100</v>
      </c>
      <c r="D116" s="26" t="s">
        <v>105</v>
      </c>
      <c r="E116" s="27" t="n">
        <v>42931</v>
      </c>
      <c r="F116" s="27"/>
      <c r="G116" s="26"/>
      <c r="H116" s="28" t="n">
        <v>44000</v>
      </c>
      <c r="I116" s="26" t="n">
        <v>5</v>
      </c>
      <c r="J116" s="26" t="n">
        <v>3</v>
      </c>
      <c r="K116" s="13" t="str">
        <f aca="false">IF(F116="","Active","Left")</f>
        <v>Active</v>
      </c>
      <c r="L116" s="16" t="n">
        <f aca="false">ROUND((IF(F116="",Assumptions!$B$5,F116)-E116)/365.25,1)</f>
        <v>9.2</v>
      </c>
      <c r="M116" s="13" t="str">
        <f aca="false">IF(L116&lt;1,"Under 1 yr",IF(L116&lt;3,"1 to 3 yrs",IF(L116&lt;5,"3 to 5 yrs","5+ yrs")))</f>
        <v>5+ yrs</v>
      </c>
      <c r="N116" s="14" t="n">
        <f aca="false">H116*12</f>
        <v>528000</v>
      </c>
      <c r="O116" s="13" t="n">
        <f aca="false">IF(AND(E116&lt;Assumptions!$B$6,OR(F116="",F116&gt;=Assumptions!$B$6)),1,0)</f>
        <v>1</v>
      </c>
      <c r="P116" s="13" t="n">
        <f aca="false">IF(F116="",0,IF(AND(F116&gt;=Assumptions!$B$6,F116&lt;=Assumptions!$B$5),1,0))</f>
        <v>0</v>
      </c>
      <c r="Q116" s="14" t="n">
        <f aca="false">P116*N116*Assumptions!$B$7</f>
        <v>0</v>
      </c>
      <c r="R116" s="13" t="n">
        <f aca="false">IF(AND(P116=1,J116&gt;=Assumptions!$B$10),1,0)</f>
        <v>0</v>
      </c>
    </row>
    <row r="117" customFormat="false" ht="15" hidden="false" customHeight="false" outlineLevel="0" collapsed="false">
      <c r="A117" s="26" t="s">
        <v>220</v>
      </c>
      <c r="B117" s="26" t="s">
        <v>47</v>
      </c>
      <c r="C117" s="26" t="s">
        <v>108</v>
      </c>
      <c r="D117" s="26" t="s">
        <v>105</v>
      </c>
      <c r="E117" s="27" t="n">
        <v>44012</v>
      </c>
      <c r="F117" s="27" t="n">
        <v>46015</v>
      </c>
      <c r="G117" s="26" t="s">
        <v>62</v>
      </c>
      <c r="H117" s="28" t="n">
        <v>88000</v>
      </c>
      <c r="I117" s="26" t="n">
        <v>4</v>
      </c>
      <c r="J117" s="26" t="n">
        <v>3</v>
      </c>
      <c r="K117" s="13" t="str">
        <f aca="false">IF(F117="","Active","Left")</f>
        <v>Left</v>
      </c>
      <c r="L117" s="16" t="n">
        <f aca="false">ROUND((IF(F117="",Assumptions!$B$5,F117)-E117)/365.25,1)</f>
        <v>5.5</v>
      </c>
      <c r="M117" s="13" t="str">
        <f aca="false">IF(L117&lt;1,"Under 1 yr",IF(L117&lt;3,"1 to 3 yrs",IF(L117&lt;5,"3 to 5 yrs","5+ yrs")))</f>
        <v>5+ yrs</v>
      </c>
      <c r="N117" s="14" t="n">
        <f aca="false">H117*12</f>
        <v>1056000</v>
      </c>
      <c r="O117" s="13" t="n">
        <f aca="false">IF(AND(E117&lt;Assumptions!$B$6,OR(F117="",F117&gt;=Assumptions!$B$6)),1,0)</f>
        <v>1</v>
      </c>
      <c r="P117" s="13" t="n">
        <f aca="false">IF(F117="",0,IF(AND(F117&gt;=Assumptions!$B$6,F117&lt;=Assumptions!$B$5),1,0))</f>
        <v>1</v>
      </c>
      <c r="Q117" s="14" t="n">
        <f aca="false">P117*N117*Assumptions!$B$7</f>
        <v>528000</v>
      </c>
      <c r="R117" s="13" t="n">
        <f aca="false">IF(AND(P117=1,J117&gt;=Assumptions!$B$10),1,0)</f>
        <v>0</v>
      </c>
    </row>
    <row r="118" customFormat="false" ht="15" hidden="false" customHeight="false" outlineLevel="0" collapsed="false">
      <c r="A118" s="26" t="s">
        <v>221</v>
      </c>
      <c r="B118" s="26" t="s">
        <v>50</v>
      </c>
      <c r="C118" s="26" t="s">
        <v>104</v>
      </c>
      <c r="D118" s="26" t="s">
        <v>101</v>
      </c>
      <c r="E118" s="27" t="n">
        <v>45493</v>
      </c>
      <c r="F118" s="27"/>
      <c r="G118" s="26"/>
      <c r="H118" s="28" t="n">
        <v>179000</v>
      </c>
      <c r="I118" s="26" t="n">
        <v>12</v>
      </c>
      <c r="J118" s="26" t="n">
        <v>5</v>
      </c>
      <c r="K118" s="13" t="str">
        <f aca="false">IF(F118="","Active","Left")</f>
        <v>Active</v>
      </c>
      <c r="L118" s="16" t="n">
        <f aca="false">ROUND((IF(F118="",Assumptions!$B$5,F118)-E118)/365.25,1)</f>
        <v>2.2</v>
      </c>
      <c r="M118" s="13" t="str">
        <f aca="false">IF(L118&lt;1,"Under 1 yr",IF(L118&lt;3,"1 to 3 yrs",IF(L118&lt;5,"3 to 5 yrs","5+ yrs")))</f>
        <v>1 to 3 yrs</v>
      </c>
      <c r="N118" s="14" t="n">
        <f aca="false">H118*12</f>
        <v>2148000</v>
      </c>
      <c r="O118" s="13" t="n">
        <f aca="false">IF(AND(E118&lt;Assumptions!$B$6,OR(F118="",F118&gt;=Assumptions!$B$6)),1,0)</f>
        <v>1</v>
      </c>
      <c r="P118" s="13" t="n">
        <f aca="false">IF(F118="",0,IF(AND(F118&gt;=Assumptions!$B$6,F118&lt;=Assumptions!$B$5),1,0))</f>
        <v>0</v>
      </c>
      <c r="Q118" s="14" t="n">
        <f aca="false">P118*N118*Assumptions!$B$7</f>
        <v>0</v>
      </c>
      <c r="R118" s="13" t="n">
        <f aca="false">IF(AND(P118=1,J118&gt;=Assumptions!$B$10),1,0)</f>
        <v>0</v>
      </c>
    </row>
    <row r="119" customFormat="false" ht="15" hidden="false" customHeight="false" outlineLevel="0" collapsed="false">
      <c r="A119" s="26" t="s">
        <v>222</v>
      </c>
      <c r="B119" s="26" t="s">
        <v>48</v>
      </c>
      <c r="C119" s="26" t="s">
        <v>100</v>
      </c>
      <c r="D119" s="26" t="s">
        <v>101</v>
      </c>
      <c r="E119" s="27" t="n">
        <v>44920</v>
      </c>
      <c r="F119" s="27" t="n">
        <v>45982</v>
      </c>
      <c r="G119" s="26" t="s">
        <v>62</v>
      </c>
      <c r="H119" s="28" t="n">
        <v>47000</v>
      </c>
      <c r="I119" s="26" t="n">
        <v>4</v>
      </c>
      <c r="J119" s="26" t="n">
        <v>2</v>
      </c>
      <c r="K119" s="13" t="str">
        <f aca="false">IF(F119="","Active","Left")</f>
        <v>Left</v>
      </c>
      <c r="L119" s="16" t="n">
        <f aca="false">ROUND((IF(F119="",Assumptions!$B$5,F119)-E119)/365.25,1)</f>
        <v>2.9</v>
      </c>
      <c r="M119" s="13" t="str">
        <f aca="false">IF(L119&lt;1,"Under 1 yr",IF(L119&lt;3,"1 to 3 yrs",IF(L119&lt;5,"3 to 5 yrs","5+ yrs")))</f>
        <v>1 to 3 yrs</v>
      </c>
      <c r="N119" s="14" t="n">
        <f aca="false">H119*12</f>
        <v>564000</v>
      </c>
      <c r="O119" s="13" t="n">
        <f aca="false">IF(AND(E119&lt;Assumptions!$B$6,OR(F119="",F119&gt;=Assumptions!$B$6)),1,0)</f>
        <v>1</v>
      </c>
      <c r="P119" s="13" t="n">
        <f aca="false">IF(F119="",0,IF(AND(F119&gt;=Assumptions!$B$6,F119&lt;=Assumptions!$B$5),1,0))</f>
        <v>1</v>
      </c>
      <c r="Q119" s="14" t="n">
        <f aca="false">P119*N119*Assumptions!$B$7</f>
        <v>282000</v>
      </c>
      <c r="R119" s="13" t="n">
        <f aca="false">IF(AND(P119=1,J119&gt;=Assumptions!$B$10),1,0)</f>
        <v>0</v>
      </c>
    </row>
    <row r="120" customFormat="false" ht="15" hidden="false" customHeight="false" outlineLevel="0" collapsed="false">
      <c r="A120" s="26" t="s">
        <v>223</v>
      </c>
      <c r="B120" s="26" t="s">
        <v>46</v>
      </c>
      <c r="C120" s="26" t="s">
        <v>100</v>
      </c>
      <c r="D120" s="26" t="s">
        <v>105</v>
      </c>
      <c r="E120" s="27" t="n">
        <v>45794</v>
      </c>
      <c r="F120" s="27"/>
      <c r="G120" s="26"/>
      <c r="H120" s="28" t="n">
        <v>43000</v>
      </c>
      <c r="I120" s="26" t="n">
        <v>4</v>
      </c>
      <c r="J120" s="26" t="n">
        <v>2</v>
      </c>
      <c r="K120" s="13" t="str">
        <f aca="false">IF(F120="","Active","Left")</f>
        <v>Active</v>
      </c>
      <c r="L120" s="16" t="n">
        <f aca="false">ROUND((IF(F120="",Assumptions!$B$5,F120)-E120)/365.25,1)</f>
        <v>1.4</v>
      </c>
      <c r="M120" s="13" t="str">
        <f aca="false">IF(L120&lt;1,"Under 1 yr",IF(L120&lt;3,"1 to 3 yrs",IF(L120&lt;5,"3 to 5 yrs","5+ yrs")))</f>
        <v>1 to 3 yrs</v>
      </c>
      <c r="N120" s="14" t="n">
        <f aca="false">H120*12</f>
        <v>516000</v>
      </c>
      <c r="O120" s="13" t="n">
        <f aca="false">IF(AND(E120&lt;Assumptions!$B$6,OR(F120="",F120&gt;=Assumptions!$B$6)),1,0)</f>
        <v>1</v>
      </c>
      <c r="P120" s="13" t="n">
        <f aca="false">IF(F120="",0,IF(AND(F120&gt;=Assumptions!$B$6,F120&lt;=Assumptions!$B$5),1,0))</f>
        <v>0</v>
      </c>
      <c r="Q120" s="14" t="n">
        <f aca="false">P120*N120*Assumptions!$B$7</f>
        <v>0</v>
      </c>
      <c r="R120" s="13" t="n">
        <f aca="false">IF(AND(P120=1,J120&gt;=Assumptions!$B$10),1,0)</f>
        <v>0</v>
      </c>
    </row>
    <row r="121" customFormat="false" ht="15" hidden="false" customHeight="false" outlineLevel="0" collapsed="false">
      <c r="A121" s="26" t="s">
        <v>224</v>
      </c>
      <c r="B121" s="26" t="s">
        <v>45</v>
      </c>
      <c r="C121" s="26" t="s">
        <v>108</v>
      </c>
      <c r="D121" s="26" t="s">
        <v>101</v>
      </c>
      <c r="E121" s="27" t="n">
        <v>46166</v>
      </c>
      <c r="F121" s="27"/>
      <c r="G121" s="26"/>
      <c r="H121" s="28" t="n">
        <v>100000</v>
      </c>
      <c r="I121" s="26" t="n">
        <v>7</v>
      </c>
      <c r="J121" s="26" t="n">
        <v>4</v>
      </c>
      <c r="K121" s="13" t="str">
        <f aca="false">IF(F121="","Active","Left")</f>
        <v>Active</v>
      </c>
      <c r="L121" s="16" t="n">
        <f aca="false">ROUND((IF(F121="",Assumptions!$B$5,F121)-E121)/365.25,1)</f>
        <v>0.4</v>
      </c>
      <c r="M121" s="13" t="str">
        <f aca="false">IF(L121&lt;1,"Under 1 yr",IF(L121&lt;3,"1 to 3 yrs",IF(L121&lt;5,"3 to 5 yrs","5+ yrs")))</f>
        <v>Under 1 yr</v>
      </c>
      <c r="N121" s="14" t="n">
        <f aca="false">H121*12</f>
        <v>1200000</v>
      </c>
      <c r="O121" s="13" t="n">
        <f aca="false">IF(AND(E121&lt;Assumptions!$B$6,OR(F121="",F121&gt;=Assumptions!$B$6)),1,0)</f>
        <v>0</v>
      </c>
      <c r="P121" s="13" t="n">
        <f aca="false">IF(F121="",0,IF(AND(F121&gt;=Assumptions!$B$6,F121&lt;=Assumptions!$B$5),1,0))</f>
        <v>0</v>
      </c>
      <c r="Q121" s="14" t="n">
        <f aca="false">P121*N121*Assumptions!$B$7</f>
        <v>0</v>
      </c>
      <c r="R121" s="13" t="n">
        <f aca="false">IF(AND(P121=1,J121&gt;=Assumptions!$B$10),1,0)</f>
        <v>0</v>
      </c>
    </row>
    <row r="122" customFormat="false" ht="15" hidden="false" customHeight="false" outlineLevel="0" collapsed="false">
      <c r="A122" s="26" t="s">
        <v>225</v>
      </c>
      <c r="B122" s="26" t="s">
        <v>46</v>
      </c>
      <c r="C122" s="26" t="s">
        <v>100</v>
      </c>
      <c r="D122" s="26" t="s">
        <v>101</v>
      </c>
      <c r="E122" s="27" t="n">
        <v>43564</v>
      </c>
      <c r="F122" s="27"/>
      <c r="G122" s="26"/>
      <c r="H122" s="28" t="n">
        <v>58000</v>
      </c>
      <c r="I122" s="26" t="n">
        <v>2</v>
      </c>
      <c r="J122" s="26" t="n">
        <v>3</v>
      </c>
      <c r="K122" s="13" t="str">
        <f aca="false">IF(F122="","Active","Left")</f>
        <v>Active</v>
      </c>
      <c r="L122" s="16" t="n">
        <f aca="false">ROUND((IF(F122="",Assumptions!$B$5,F122)-E122)/365.25,1)</f>
        <v>7.5</v>
      </c>
      <c r="M122" s="13" t="str">
        <f aca="false">IF(L122&lt;1,"Under 1 yr",IF(L122&lt;3,"1 to 3 yrs",IF(L122&lt;5,"3 to 5 yrs","5+ yrs")))</f>
        <v>5+ yrs</v>
      </c>
      <c r="N122" s="14" t="n">
        <f aca="false">H122*12</f>
        <v>696000</v>
      </c>
      <c r="O122" s="13" t="n">
        <f aca="false">IF(AND(E122&lt;Assumptions!$B$6,OR(F122="",F122&gt;=Assumptions!$B$6)),1,0)</f>
        <v>1</v>
      </c>
      <c r="P122" s="13" t="n">
        <f aca="false">IF(F122="",0,IF(AND(F122&gt;=Assumptions!$B$6,F122&lt;=Assumptions!$B$5),1,0))</f>
        <v>0</v>
      </c>
      <c r="Q122" s="14" t="n">
        <f aca="false">P122*N122*Assumptions!$B$7</f>
        <v>0</v>
      </c>
      <c r="R122" s="13" t="n">
        <f aca="false">IF(AND(P122=1,J122&gt;=Assumptions!$B$10),1,0)</f>
        <v>0</v>
      </c>
    </row>
    <row r="123" customFormat="false" ht="15" hidden="false" customHeight="false" outlineLevel="0" collapsed="false">
      <c r="A123" s="26" t="s">
        <v>226</v>
      </c>
      <c r="B123" s="26" t="s">
        <v>50</v>
      </c>
      <c r="C123" s="26" t="s">
        <v>108</v>
      </c>
      <c r="D123" s="26" t="s">
        <v>101</v>
      </c>
      <c r="E123" s="27" t="n">
        <v>44301</v>
      </c>
      <c r="F123" s="27"/>
      <c r="G123" s="26"/>
      <c r="H123" s="28" t="n">
        <v>69000</v>
      </c>
      <c r="I123" s="26" t="n">
        <v>6</v>
      </c>
      <c r="J123" s="26" t="n">
        <v>3</v>
      </c>
      <c r="K123" s="13" t="str">
        <f aca="false">IF(F123="","Active","Left")</f>
        <v>Active</v>
      </c>
      <c r="L123" s="16" t="n">
        <f aca="false">ROUND((IF(F123="",Assumptions!$B$5,F123)-E123)/365.25,1)</f>
        <v>5.5</v>
      </c>
      <c r="M123" s="13" t="str">
        <f aca="false">IF(L123&lt;1,"Under 1 yr",IF(L123&lt;3,"1 to 3 yrs",IF(L123&lt;5,"3 to 5 yrs","5+ yrs")))</f>
        <v>5+ yrs</v>
      </c>
      <c r="N123" s="14" t="n">
        <f aca="false">H123*12</f>
        <v>828000</v>
      </c>
      <c r="O123" s="13" t="n">
        <f aca="false">IF(AND(E123&lt;Assumptions!$B$6,OR(F123="",F123&gt;=Assumptions!$B$6)),1,0)</f>
        <v>1</v>
      </c>
      <c r="P123" s="13" t="n">
        <f aca="false">IF(F123="",0,IF(AND(F123&gt;=Assumptions!$B$6,F123&lt;=Assumptions!$B$5),1,0))</f>
        <v>0</v>
      </c>
      <c r="Q123" s="14" t="n">
        <f aca="false">P123*N123*Assumptions!$B$7</f>
        <v>0</v>
      </c>
      <c r="R123" s="13" t="n">
        <f aca="false">IF(AND(P123=1,J123&gt;=Assumptions!$B$10),1,0)</f>
        <v>0</v>
      </c>
    </row>
    <row r="124" customFormat="false" ht="15" hidden="false" customHeight="false" outlineLevel="0" collapsed="false">
      <c r="A124" s="26" t="s">
        <v>227</v>
      </c>
      <c r="B124" s="26" t="s">
        <v>47</v>
      </c>
      <c r="C124" s="26" t="s">
        <v>108</v>
      </c>
      <c r="D124" s="26" t="s">
        <v>105</v>
      </c>
      <c r="E124" s="27" t="n">
        <v>43446</v>
      </c>
      <c r="F124" s="27"/>
      <c r="G124" s="26"/>
      <c r="H124" s="28" t="n">
        <v>92000</v>
      </c>
      <c r="I124" s="26" t="n">
        <v>7</v>
      </c>
      <c r="J124" s="26" t="n">
        <v>3</v>
      </c>
      <c r="K124" s="13" t="str">
        <f aca="false">IF(F124="","Active","Left")</f>
        <v>Active</v>
      </c>
      <c r="L124" s="16" t="n">
        <f aca="false">ROUND((IF(F124="",Assumptions!$B$5,F124)-E124)/365.25,1)</f>
        <v>7.8</v>
      </c>
      <c r="M124" s="13" t="str">
        <f aca="false">IF(L124&lt;1,"Under 1 yr",IF(L124&lt;3,"1 to 3 yrs",IF(L124&lt;5,"3 to 5 yrs","5+ yrs")))</f>
        <v>5+ yrs</v>
      </c>
      <c r="N124" s="14" t="n">
        <f aca="false">H124*12</f>
        <v>1104000</v>
      </c>
      <c r="O124" s="13" t="n">
        <f aca="false">IF(AND(E124&lt;Assumptions!$B$6,OR(F124="",F124&gt;=Assumptions!$B$6)),1,0)</f>
        <v>1</v>
      </c>
      <c r="P124" s="13" t="n">
        <f aca="false">IF(F124="",0,IF(AND(F124&gt;=Assumptions!$B$6,F124&lt;=Assumptions!$B$5),1,0))</f>
        <v>0</v>
      </c>
      <c r="Q124" s="14" t="n">
        <f aca="false">P124*N124*Assumptions!$B$7</f>
        <v>0</v>
      </c>
      <c r="R124" s="13" t="n">
        <f aca="false">IF(AND(P124=1,J124&gt;=Assumptions!$B$10),1,0)</f>
        <v>0</v>
      </c>
    </row>
    <row r="125" customFormat="false" ht="15" hidden="false" customHeight="false" outlineLevel="0" collapsed="false">
      <c r="A125" s="26" t="s">
        <v>228</v>
      </c>
      <c r="B125" s="26" t="s">
        <v>50</v>
      </c>
      <c r="C125" s="26" t="s">
        <v>104</v>
      </c>
      <c r="D125" s="26" t="s">
        <v>105</v>
      </c>
      <c r="E125" s="27" t="n">
        <v>46030</v>
      </c>
      <c r="F125" s="27"/>
      <c r="G125" s="26"/>
      <c r="H125" s="28" t="n">
        <v>125000</v>
      </c>
      <c r="I125" s="26" t="n">
        <v>8</v>
      </c>
      <c r="J125" s="26" t="n">
        <v>3</v>
      </c>
      <c r="K125" s="13" t="str">
        <f aca="false">IF(F125="","Active","Left")</f>
        <v>Active</v>
      </c>
      <c r="L125" s="16" t="n">
        <f aca="false">ROUND((IF(F125="",Assumptions!$B$5,F125)-E125)/365.25,1)</f>
        <v>0.7</v>
      </c>
      <c r="M125" s="13" t="str">
        <f aca="false">IF(L125&lt;1,"Under 1 yr",IF(L125&lt;3,"1 to 3 yrs",IF(L125&lt;5,"3 to 5 yrs","5+ yrs")))</f>
        <v>Under 1 yr</v>
      </c>
      <c r="N125" s="14" t="n">
        <f aca="false">H125*12</f>
        <v>1500000</v>
      </c>
      <c r="O125" s="13" t="n">
        <f aca="false">IF(AND(E125&lt;Assumptions!$B$6,OR(F125="",F125&gt;=Assumptions!$B$6)),1,0)</f>
        <v>0</v>
      </c>
      <c r="P125" s="13" t="n">
        <f aca="false">IF(F125="",0,IF(AND(F125&gt;=Assumptions!$B$6,F125&lt;=Assumptions!$B$5),1,0))</f>
        <v>0</v>
      </c>
      <c r="Q125" s="14" t="n">
        <f aca="false">P125*N125*Assumptions!$B$7</f>
        <v>0</v>
      </c>
      <c r="R125" s="13" t="n">
        <f aca="false">IF(AND(P125=1,J125&gt;=Assumptions!$B$10),1,0)</f>
        <v>0</v>
      </c>
    </row>
    <row r="126" customFormat="false" ht="15" hidden="false" customHeight="false" outlineLevel="0" collapsed="false">
      <c r="A126" s="26" t="s">
        <v>229</v>
      </c>
      <c r="B126" s="26" t="s">
        <v>46</v>
      </c>
      <c r="C126" s="26" t="s">
        <v>104</v>
      </c>
      <c r="D126" s="26" t="s">
        <v>101</v>
      </c>
      <c r="E126" s="27" t="n">
        <v>42905</v>
      </c>
      <c r="F126" s="27"/>
      <c r="G126" s="26"/>
      <c r="H126" s="28" t="n">
        <v>147000</v>
      </c>
      <c r="I126" s="26" t="n">
        <v>4</v>
      </c>
      <c r="J126" s="26" t="n">
        <v>2</v>
      </c>
      <c r="K126" s="13" t="str">
        <f aca="false">IF(F126="","Active","Left")</f>
        <v>Active</v>
      </c>
      <c r="L126" s="16" t="n">
        <f aca="false">ROUND((IF(F126="",Assumptions!$B$5,F126)-E126)/365.25,1)</f>
        <v>9.3</v>
      </c>
      <c r="M126" s="13" t="str">
        <f aca="false">IF(L126&lt;1,"Under 1 yr",IF(L126&lt;3,"1 to 3 yrs",IF(L126&lt;5,"3 to 5 yrs","5+ yrs")))</f>
        <v>5+ yrs</v>
      </c>
      <c r="N126" s="14" t="n">
        <f aca="false">H126*12</f>
        <v>1764000</v>
      </c>
      <c r="O126" s="13" t="n">
        <f aca="false">IF(AND(E126&lt;Assumptions!$B$6,OR(F126="",F126&gt;=Assumptions!$B$6)),1,0)</f>
        <v>1</v>
      </c>
      <c r="P126" s="13" t="n">
        <f aca="false">IF(F126="",0,IF(AND(F126&gt;=Assumptions!$B$6,F126&lt;=Assumptions!$B$5),1,0))</f>
        <v>0</v>
      </c>
      <c r="Q126" s="14" t="n">
        <f aca="false">P126*N126*Assumptions!$B$7</f>
        <v>0</v>
      </c>
      <c r="R126" s="13" t="n">
        <f aca="false">IF(AND(P126=1,J126&gt;=Assumptions!$B$10),1,0)</f>
        <v>0</v>
      </c>
    </row>
    <row r="127" customFormat="false" ht="15" hidden="false" customHeight="false" outlineLevel="0" collapsed="false">
      <c r="A127" s="26" t="s">
        <v>230</v>
      </c>
      <c r="B127" s="26" t="s">
        <v>45</v>
      </c>
      <c r="C127" s="26" t="s">
        <v>100</v>
      </c>
      <c r="D127" s="26" t="s">
        <v>101</v>
      </c>
      <c r="E127" s="27" t="n">
        <v>43593</v>
      </c>
      <c r="F127" s="27"/>
      <c r="G127" s="26"/>
      <c r="H127" s="28" t="n">
        <v>60000</v>
      </c>
      <c r="I127" s="26" t="n">
        <v>4</v>
      </c>
      <c r="J127" s="26" t="n">
        <v>4</v>
      </c>
      <c r="K127" s="13" t="str">
        <f aca="false">IF(F127="","Active","Left")</f>
        <v>Active</v>
      </c>
      <c r="L127" s="16" t="n">
        <f aca="false">ROUND((IF(F127="",Assumptions!$B$5,F127)-E127)/365.25,1)</f>
        <v>7.4</v>
      </c>
      <c r="M127" s="13" t="str">
        <f aca="false">IF(L127&lt;1,"Under 1 yr",IF(L127&lt;3,"1 to 3 yrs",IF(L127&lt;5,"3 to 5 yrs","5+ yrs")))</f>
        <v>5+ yrs</v>
      </c>
      <c r="N127" s="14" t="n">
        <f aca="false">H127*12</f>
        <v>720000</v>
      </c>
      <c r="O127" s="13" t="n">
        <f aca="false">IF(AND(E127&lt;Assumptions!$B$6,OR(F127="",F127&gt;=Assumptions!$B$6)),1,0)</f>
        <v>1</v>
      </c>
      <c r="P127" s="13" t="n">
        <f aca="false">IF(F127="",0,IF(AND(F127&gt;=Assumptions!$B$6,F127&lt;=Assumptions!$B$5),1,0))</f>
        <v>0</v>
      </c>
      <c r="Q127" s="14" t="n">
        <f aca="false">P127*N127*Assumptions!$B$7</f>
        <v>0</v>
      </c>
      <c r="R127" s="13" t="n">
        <f aca="false">IF(AND(P127=1,J127&gt;=Assumptions!$B$10),1,0)</f>
        <v>0</v>
      </c>
    </row>
    <row r="128" customFormat="false" ht="15" hidden="false" customHeight="false" outlineLevel="0" collapsed="false">
      <c r="A128" s="26" t="s">
        <v>231</v>
      </c>
      <c r="B128" s="26" t="s">
        <v>50</v>
      </c>
      <c r="C128" s="26" t="s">
        <v>108</v>
      </c>
      <c r="D128" s="26" t="s">
        <v>105</v>
      </c>
      <c r="E128" s="27" t="n">
        <v>42848</v>
      </c>
      <c r="F128" s="27"/>
      <c r="G128" s="26"/>
      <c r="H128" s="28" t="n">
        <v>105000</v>
      </c>
      <c r="I128" s="26" t="n">
        <v>4</v>
      </c>
      <c r="J128" s="26" t="n">
        <v>4</v>
      </c>
      <c r="K128" s="13" t="str">
        <f aca="false">IF(F128="","Active","Left")</f>
        <v>Active</v>
      </c>
      <c r="L128" s="16" t="n">
        <f aca="false">ROUND((IF(F128="",Assumptions!$B$5,F128)-E128)/365.25,1)</f>
        <v>9.4</v>
      </c>
      <c r="M128" s="13" t="str">
        <f aca="false">IF(L128&lt;1,"Under 1 yr",IF(L128&lt;3,"1 to 3 yrs",IF(L128&lt;5,"3 to 5 yrs","5+ yrs")))</f>
        <v>5+ yrs</v>
      </c>
      <c r="N128" s="14" t="n">
        <f aca="false">H128*12</f>
        <v>1260000</v>
      </c>
      <c r="O128" s="13" t="n">
        <f aca="false">IF(AND(E128&lt;Assumptions!$B$6,OR(F128="",F128&gt;=Assumptions!$B$6)),1,0)</f>
        <v>1</v>
      </c>
      <c r="P128" s="13" t="n">
        <f aca="false">IF(F128="",0,IF(AND(F128&gt;=Assumptions!$B$6,F128&lt;=Assumptions!$B$5),1,0))</f>
        <v>0</v>
      </c>
      <c r="Q128" s="14" t="n">
        <f aca="false">P128*N128*Assumptions!$B$7</f>
        <v>0</v>
      </c>
      <c r="R128" s="13" t="n">
        <f aca="false">IF(AND(P128=1,J128&gt;=Assumptions!$B$10),1,0)</f>
        <v>0</v>
      </c>
    </row>
    <row r="129" customFormat="false" ht="15" hidden="false" customHeight="false" outlineLevel="0" collapsed="false">
      <c r="A129" s="26" t="s">
        <v>232</v>
      </c>
      <c r="B129" s="26" t="s">
        <v>46</v>
      </c>
      <c r="C129" s="26" t="s">
        <v>125</v>
      </c>
      <c r="D129" s="26" t="s">
        <v>101</v>
      </c>
      <c r="E129" s="27" t="n">
        <v>42273</v>
      </c>
      <c r="F129" s="27"/>
      <c r="G129" s="26"/>
      <c r="H129" s="28" t="n">
        <v>292000</v>
      </c>
      <c r="I129" s="26" t="n">
        <v>10</v>
      </c>
      <c r="J129" s="26" t="n">
        <v>4</v>
      </c>
      <c r="K129" s="13" t="str">
        <f aca="false">IF(F129="","Active","Left")</f>
        <v>Active</v>
      </c>
      <c r="L129" s="16" t="n">
        <f aca="false">ROUND((IF(F129="",Assumptions!$B$5,F129)-E129)/365.25,1)</f>
        <v>11</v>
      </c>
      <c r="M129" s="13" t="str">
        <f aca="false">IF(L129&lt;1,"Under 1 yr",IF(L129&lt;3,"1 to 3 yrs",IF(L129&lt;5,"3 to 5 yrs","5+ yrs")))</f>
        <v>5+ yrs</v>
      </c>
      <c r="N129" s="14" t="n">
        <f aca="false">H129*12</f>
        <v>3504000</v>
      </c>
      <c r="O129" s="13" t="n">
        <f aca="false">IF(AND(E129&lt;Assumptions!$B$6,OR(F129="",F129&gt;=Assumptions!$B$6)),1,0)</f>
        <v>1</v>
      </c>
      <c r="P129" s="13" t="n">
        <f aca="false">IF(F129="",0,IF(AND(F129&gt;=Assumptions!$B$6,F129&lt;=Assumptions!$B$5),1,0))</f>
        <v>0</v>
      </c>
      <c r="Q129" s="14" t="n">
        <f aca="false">P129*N129*Assumptions!$B$7</f>
        <v>0</v>
      </c>
      <c r="R129" s="13" t="n">
        <f aca="false">IF(AND(P129=1,J129&gt;=Assumptions!$B$10),1,0)</f>
        <v>0</v>
      </c>
    </row>
    <row r="130" customFormat="false" ht="15" hidden="false" customHeight="false" outlineLevel="0" collapsed="false">
      <c r="A130" s="26" t="s">
        <v>233</v>
      </c>
      <c r="B130" s="26" t="s">
        <v>46</v>
      </c>
      <c r="C130" s="26" t="s">
        <v>108</v>
      </c>
      <c r="D130" s="26" t="s">
        <v>101</v>
      </c>
      <c r="E130" s="27" t="n">
        <v>45047</v>
      </c>
      <c r="F130" s="27" t="n">
        <v>45780</v>
      </c>
      <c r="G130" s="26" t="s">
        <v>62</v>
      </c>
      <c r="H130" s="28" t="n">
        <v>99000</v>
      </c>
      <c r="I130" s="26" t="n">
        <v>10</v>
      </c>
      <c r="J130" s="26" t="n">
        <v>2</v>
      </c>
      <c r="K130" s="13" t="str">
        <f aca="false">IF(F130="","Active","Left")</f>
        <v>Left</v>
      </c>
      <c r="L130" s="16" t="n">
        <f aca="false">ROUND((IF(F130="",Assumptions!$B$5,F130)-E130)/365.25,1)</f>
        <v>2</v>
      </c>
      <c r="M130" s="13" t="str">
        <f aca="false">IF(L130&lt;1,"Under 1 yr",IF(L130&lt;3,"1 to 3 yrs",IF(L130&lt;5,"3 to 5 yrs","5+ yrs")))</f>
        <v>1 to 3 yrs</v>
      </c>
      <c r="N130" s="14" t="n">
        <f aca="false">H130*12</f>
        <v>1188000</v>
      </c>
      <c r="O130" s="13" t="n">
        <f aca="false">IF(AND(E130&lt;Assumptions!$B$6,OR(F130="",F130&gt;=Assumptions!$B$6)),1,0)</f>
        <v>0</v>
      </c>
      <c r="P130" s="13" t="n">
        <f aca="false">IF(F130="",0,IF(AND(F130&gt;=Assumptions!$B$6,F130&lt;=Assumptions!$B$5),1,0))</f>
        <v>0</v>
      </c>
      <c r="Q130" s="14" t="n">
        <f aca="false">P130*N130*Assumptions!$B$7</f>
        <v>0</v>
      </c>
      <c r="R130" s="13" t="n">
        <f aca="false">IF(AND(P130=1,J130&gt;=Assumptions!$B$10),1,0)</f>
        <v>0</v>
      </c>
    </row>
    <row r="131" customFormat="false" ht="15" hidden="false" customHeight="false" outlineLevel="0" collapsed="false">
      <c r="A131" s="26" t="s">
        <v>234</v>
      </c>
      <c r="B131" s="26" t="s">
        <v>46</v>
      </c>
      <c r="C131" s="26" t="s">
        <v>108</v>
      </c>
      <c r="D131" s="26" t="s">
        <v>101</v>
      </c>
      <c r="E131" s="27" t="n">
        <v>42196</v>
      </c>
      <c r="F131" s="27" t="n">
        <v>43108</v>
      </c>
      <c r="G131" s="26" t="s">
        <v>65</v>
      </c>
      <c r="H131" s="28" t="n">
        <v>84000</v>
      </c>
      <c r="I131" s="26" t="n">
        <v>2</v>
      </c>
      <c r="J131" s="26" t="n">
        <v>1</v>
      </c>
      <c r="K131" s="13" t="str">
        <f aca="false">IF(F131="","Active","Left")</f>
        <v>Left</v>
      </c>
      <c r="L131" s="16" t="n">
        <f aca="false">ROUND((IF(F131="",Assumptions!$B$5,F131)-E131)/365.25,1)</f>
        <v>2.5</v>
      </c>
      <c r="M131" s="13" t="str">
        <f aca="false">IF(L131&lt;1,"Under 1 yr",IF(L131&lt;3,"1 to 3 yrs",IF(L131&lt;5,"3 to 5 yrs","5+ yrs")))</f>
        <v>1 to 3 yrs</v>
      </c>
      <c r="N131" s="14" t="n">
        <f aca="false">H131*12</f>
        <v>1008000</v>
      </c>
      <c r="O131" s="13" t="n">
        <f aca="false">IF(AND(E131&lt;Assumptions!$B$6,OR(F131="",F131&gt;=Assumptions!$B$6)),1,0)</f>
        <v>0</v>
      </c>
      <c r="P131" s="13" t="n">
        <f aca="false">IF(F131="",0,IF(AND(F131&gt;=Assumptions!$B$6,F131&lt;=Assumptions!$B$5),1,0))</f>
        <v>0</v>
      </c>
      <c r="Q131" s="14" t="n">
        <f aca="false">P131*N131*Assumptions!$B$7</f>
        <v>0</v>
      </c>
      <c r="R131" s="13" t="n">
        <f aca="false">IF(AND(P131=1,J131&gt;=Assumptions!$B$10),1,0)</f>
        <v>0</v>
      </c>
    </row>
    <row r="132" customFormat="false" ht="15" hidden="false" customHeight="false" outlineLevel="0" collapsed="false">
      <c r="A132" s="26" t="s">
        <v>235</v>
      </c>
      <c r="B132" s="26" t="s">
        <v>50</v>
      </c>
      <c r="C132" s="26" t="s">
        <v>100</v>
      </c>
      <c r="D132" s="26" t="s">
        <v>105</v>
      </c>
      <c r="E132" s="27" t="n">
        <v>45074</v>
      </c>
      <c r="F132" s="27" t="n">
        <v>46138</v>
      </c>
      <c r="G132" s="26" t="s">
        <v>66</v>
      </c>
      <c r="H132" s="28" t="n">
        <v>54000</v>
      </c>
      <c r="I132" s="26" t="n">
        <v>5</v>
      </c>
      <c r="J132" s="26" t="n">
        <v>1</v>
      </c>
      <c r="K132" s="13" t="str">
        <f aca="false">IF(F132="","Active","Left")</f>
        <v>Left</v>
      </c>
      <c r="L132" s="16" t="n">
        <f aca="false">ROUND((IF(F132="",Assumptions!$B$5,F132)-E132)/365.25,1)</f>
        <v>2.9</v>
      </c>
      <c r="M132" s="13" t="str">
        <f aca="false">IF(L132&lt;1,"Under 1 yr",IF(L132&lt;3,"1 to 3 yrs",IF(L132&lt;5,"3 to 5 yrs","5+ yrs")))</f>
        <v>1 to 3 yrs</v>
      </c>
      <c r="N132" s="14" t="n">
        <f aca="false">H132*12</f>
        <v>648000</v>
      </c>
      <c r="O132" s="13" t="n">
        <f aca="false">IF(AND(E132&lt;Assumptions!$B$6,OR(F132="",F132&gt;=Assumptions!$B$6)),1,0)</f>
        <v>1</v>
      </c>
      <c r="P132" s="13" t="n">
        <f aca="false">IF(F132="",0,IF(AND(F132&gt;=Assumptions!$B$6,F132&lt;=Assumptions!$B$5),1,0))</f>
        <v>1</v>
      </c>
      <c r="Q132" s="14" t="n">
        <f aca="false">P132*N132*Assumptions!$B$7</f>
        <v>324000</v>
      </c>
      <c r="R132" s="13" t="n">
        <f aca="false">IF(AND(P132=1,J132&gt;=Assumptions!$B$10),1,0)</f>
        <v>0</v>
      </c>
    </row>
    <row r="133" customFormat="false" ht="15" hidden="false" customHeight="false" outlineLevel="0" collapsed="false">
      <c r="A133" s="26" t="s">
        <v>236</v>
      </c>
      <c r="B133" s="26" t="s">
        <v>50</v>
      </c>
      <c r="C133" s="26" t="s">
        <v>108</v>
      </c>
      <c r="D133" s="26" t="s">
        <v>105</v>
      </c>
      <c r="E133" s="27" t="n">
        <v>46137</v>
      </c>
      <c r="F133" s="27"/>
      <c r="G133" s="26"/>
      <c r="H133" s="28" t="n">
        <v>62000</v>
      </c>
      <c r="I133" s="26" t="n">
        <v>3</v>
      </c>
      <c r="J133" s="26" t="n">
        <v>3</v>
      </c>
      <c r="K133" s="13" t="str">
        <f aca="false">IF(F133="","Active","Left")</f>
        <v>Active</v>
      </c>
      <c r="L133" s="16" t="n">
        <f aca="false">ROUND((IF(F133="",Assumptions!$B$5,F133)-E133)/365.25,1)</f>
        <v>0.4</v>
      </c>
      <c r="M133" s="13" t="str">
        <f aca="false">IF(L133&lt;1,"Under 1 yr",IF(L133&lt;3,"1 to 3 yrs",IF(L133&lt;5,"3 to 5 yrs","5+ yrs")))</f>
        <v>Under 1 yr</v>
      </c>
      <c r="N133" s="14" t="n">
        <f aca="false">H133*12</f>
        <v>744000</v>
      </c>
      <c r="O133" s="13" t="n">
        <f aca="false">IF(AND(E133&lt;Assumptions!$B$6,OR(F133="",F133&gt;=Assumptions!$B$6)),1,0)</f>
        <v>0</v>
      </c>
      <c r="P133" s="13" t="n">
        <f aca="false">IF(F133="",0,IF(AND(F133&gt;=Assumptions!$B$6,F133&lt;=Assumptions!$B$5),1,0))</f>
        <v>0</v>
      </c>
      <c r="Q133" s="14" t="n">
        <f aca="false">P133*N133*Assumptions!$B$7</f>
        <v>0</v>
      </c>
      <c r="R133" s="13" t="n">
        <f aca="false">IF(AND(P133=1,J133&gt;=Assumptions!$B$10),1,0)</f>
        <v>0</v>
      </c>
    </row>
    <row r="134" customFormat="false" ht="15" hidden="false" customHeight="false" outlineLevel="0" collapsed="false">
      <c r="A134" s="26" t="s">
        <v>237</v>
      </c>
      <c r="B134" s="26" t="s">
        <v>50</v>
      </c>
      <c r="C134" s="26" t="s">
        <v>100</v>
      </c>
      <c r="D134" s="26" t="s">
        <v>105</v>
      </c>
      <c r="E134" s="27" t="n">
        <v>45774</v>
      </c>
      <c r="F134" s="27"/>
      <c r="G134" s="26"/>
      <c r="H134" s="28" t="n">
        <v>56000</v>
      </c>
      <c r="I134" s="26" t="n">
        <v>9</v>
      </c>
      <c r="J134" s="26" t="n">
        <v>4</v>
      </c>
      <c r="K134" s="13" t="str">
        <f aca="false">IF(F134="","Active","Left")</f>
        <v>Active</v>
      </c>
      <c r="L134" s="16" t="n">
        <f aca="false">ROUND((IF(F134="",Assumptions!$B$5,F134)-E134)/365.25,1)</f>
        <v>1.4</v>
      </c>
      <c r="M134" s="13" t="str">
        <f aca="false">IF(L134&lt;1,"Under 1 yr",IF(L134&lt;3,"1 to 3 yrs",IF(L134&lt;5,"3 to 5 yrs","5+ yrs")))</f>
        <v>1 to 3 yrs</v>
      </c>
      <c r="N134" s="14" t="n">
        <f aca="false">H134*12</f>
        <v>672000</v>
      </c>
      <c r="O134" s="13" t="n">
        <f aca="false">IF(AND(E134&lt;Assumptions!$B$6,OR(F134="",F134&gt;=Assumptions!$B$6)),1,0)</f>
        <v>1</v>
      </c>
      <c r="P134" s="13" t="n">
        <f aca="false">IF(F134="",0,IF(AND(F134&gt;=Assumptions!$B$6,F134&lt;=Assumptions!$B$5),1,0))</f>
        <v>0</v>
      </c>
      <c r="Q134" s="14" t="n">
        <f aca="false">P134*N134*Assumptions!$B$7</f>
        <v>0</v>
      </c>
      <c r="R134" s="13" t="n">
        <f aca="false">IF(AND(P134=1,J134&gt;=Assumptions!$B$10),1,0)</f>
        <v>0</v>
      </c>
    </row>
    <row r="135" customFormat="false" ht="15" hidden="false" customHeight="false" outlineLevel="0" collapsed="false">
      <c r="A135" s="26" t="s">
        <v>238</v>
      </c>
      <c r="B135" s="26" t="s">
        <v>45</v>
      </c>
      <c r="C135" s="26" t="s">
        <v>125</v>
      </c>
      <c r="D135" s="26" t="s">
        <v>101</v>
      </c>
      <c r="E135" s="27" t="n">
        <v>43842</v>
      </c>
      <c r="F135" s="27"/>
      <c r="G135" s="26"/>
      <c r="H135" s="28" t="n">
        <v>184000</v>
      </c>
      <c r="I135" s="26" t="n">
        <v>11</v>
      </c>
      <c r="J135" s="26" t="n">
        <v>4</v>
      </c>
      <c r="K135" s="13" t="str">
        <f aca="false">IF(F135="","Active","Left")</f>
        <v>Active</v>
      </c>
      <c r="L135" s="16" t="n">
        <f aca="false">ROUND((IF(F135="",Assumptions!$B$5,F135)-E135)/365.25,1)</f>
        <v>6.7</v>
      </c>
      <c r="M135" s="13" t="str">
        <f aca="false">IF(L135&lt;1,"Under 1 yr",IF(L135&lt;3,"1 to 3 yrs",IF(L135&lt;5,"3 to 5 yrs","5+ yrs")))</f>
        <v>5+ yrs</v>
      </c>
      <c r="N135" s="14" t="n">
        <f aca="false">H135*12</f>
        <v>2208000</v>
      </c>
      <c r="O135" s="13" t="n">
        <f aca="false">IF(AND(E135&lt;Assumptions!$B$6,OR(F135="",F135&gt;=Assumptions!$B$6)),1,0)</f>
        <v>1</v>
      </c>
      <c r="P135" s="13" t="n">
        <f aca="false">IF(F135="",0,IF(AND(F135&gt;=Assumptions!$B$6,F135&lt;=Assumptions!$B$5),1,0))</f>
        <v>0</v>
      </c>
      <c r="Q135" s="14" t="n">
        <f aca="false">P135*N135*Assumptions!$B$7</f>
        <v>0</v>
      </c>
      <c r="R135" s="13" t="n">
        <f aca="false">IF(AND(P135=1,J135&gt;=Assumptions!$B$10),1,0)</f>
        <v>0</v>
      </c>
    </row>
    <row r="136" customFormat="false" ht="15" hidden="false" customHeight="false" outlineLevel="0" collapsed="false">
      <c r="A136" s="26" t="s">
        <v>239</v>
      </c>
      <c r="B136" s="26" t="s">
        <v>50</v>
      </c>
      <c r="C136" s="26" t="s">
        <v>100</v>
      </c>
      <c r="D136" s="26" t="s">
        <v>101</v>
      </c>
      <c r="E136" s="27" t="n">
        <v>42548</v>
      </c>
      <c r="F136" s="27" t="n">
        <v>46094</v>
      </c>
      <c r="G136" s="26" t="s">
        <v>65</v>
      </c>
      <c r="H136" s="28" t="n">
        <v>51000</v>
      </c>
      <c r="I136" s="26" t="n">
        <v>8</v>
      </c>
      <c r="J136" s="26" t="n">
        <v>3</v>
      </c>
      <c r="K136" s="13" t="str">
        <f aca="false">IF(F136="","Active","Left")</f>
        <v>Left</v>
      </c>
      <c r="L136" s="16" t="n">
        <f aca="false">ROUND((IF(F136="",Assumptions!$B$5,F136)-E136)/365.25,1)</f>
        <v>9.7</v>
      </c>
      <c r="M136" s="13" t="str">
        <f aca="false">IF(L136&lt;1,"Under 1 yr",IF(L136&lt;3,"1 to 3 yrs",IF(L136&lt;5,"3 to 5 yrs","5+ yrs")))</f>
        <v>5+ yrs</v>
      </c>
      <c r="N136" s="14" t="n">
        <f aca="false">H136*12</f>
        <v>612000</v>
      </c>
      <c r="O136" s="13" t="n">
        <f aca="false">IF(AND(E136&lt;Assumptions!$B$6,OR(F136="",F136&gt;=Assumptions!$B$6)),1,0)</f>
        <v>1</v>
      </c>
      <c r="P136" s="13" t="n">
        <f aca="false">IF(F136="",0,IF(AND(F136&gt;=Assumptions!$B$6,F136&lt;=Assumptions!$B$5),1,0))</f>
        <v>1</v>
      </c>
      <c r="Q136" s="14" t="n">
        <f aca="false">P136*N136*Assumptions!$B$7</f>
        <v>306000</v>
      </c>
      <c r="R136" s="13" t="n">
        <f aca="false">IF(AND(P136=1,J136&gt;=Assumptions!$B$10),1,0)</f>
        <v>0</v>
      </c>
    </row>
    <row r="137" customFormat="false" ht="15" hidden="false" customHeight="false" outlineLevel="0" collapsed="false">
      <c r="A137" s="26" t="s">
        <v>240</v>
      </c>
      <c r="B137" s="26" t="s">
        <v>50</v>
      </c>
      <c r="C137" s="26" t="s">
        <v>104</v>
      </c>
      <c r="D137" s="26" t="s">
        <v>105</v>
      </c>
      <c r="E137" s="27" t="n">
        <v>42617</v>
      </c>
      <c r="F137" s="27"/>
      <c r="G137" s="26"/>
      <c r="H137" s="28" t="n">
        <v>132000</v>
      </c>
      <c r="I137" s="26" t="n">
        <v>9</v>
      </c>
      <c r="J137" s="26" t="n">
        <v>4</v>
      </c>
      <c r="K137" s="13" t="str">
        <f aca="false">IF(F137="","Active","Left")</f>
        <v>Active</v>
      </c>
      <c r="L137" s="16" t="n">
        <f aca="false">ROUND((IF(F137="",Assumptions!$B$5,F137)-E137)/365.25,1)</f>
        <v>10.1</v>
      </c>
      <c r="M137" s="13" t="str">
        <f aca="false">IF(L137&lt;1,"Under 1 yr",IF(L137&lt;3,"1 to 3 yrs",IF(L137&lt;5,"3 to 5 yrs","5+ yrs")))</f>
        <v>5+ yrs</v>
      </c>
      <c r="N137" s="14" t="n">
        <f aca="false">H137*12</f>
        <v>1584000</v>
      </c>
      <c r="O137" s="13" t="n">
        <f aca="false">IF(AND(E137&lt;Assumptions!$B$6,OR(F137="",F137&gt;=Assumptions!$B$6)),1,0)</f>
        <v>1</v>
      </c>
      <c r="P137" s="13" t="n">
        <f aca="false">IF(F137="",0,IF(AND(F137&gt;=Assumptions!$B$6,F137&lt;=Assumptions!$B$5),1,0))</f>
        <v>0</v>
      </c>
      <c r="Q137" s="14" t="n">
        <f aca="false">P137*N137*Assumptions!$B$7</f>
        <v>0</v>
      </c>
      <c r="R137" s="13" t="n">
        <f aca="false">IF(AND(P137=1,J137&gt;=Assumptions!$B$10),1,0)</f>
        <v>0</v>
      </c>
    </row>
    <row r="138" customFormat="false" ht="15" hidden="false" customHeight="false" outlineLevel="0" collapsed="false">
      <c r="A138" s="26" t="s">
        <v>241</v>
      </c>
      <c r="B138" s="26" t="s">
        <v>50</v>
      </c>
      <c r="C138" s="26" t="s">
        <v>108</v>
      </c>
      <c r="D138" s="26" t="s">
        <v>101</v>
      </c>
      <c r="E138" s="27" t="n">
        <v>44714</v>
      </c>
      <c r="F138" s="27"/>
      <c r="G138" s="26"/>
      <c r="H138" s="28" t="n">
        <v>94000</v>
      </c>
      <c r="I138" s="26" t="n">
        <v>3</v>
      </c>
      <c r="J138" s="26" t="n">
        <v>4</v>
      </c>
      <c r="K138" s="13" t="str">
        <f aca="false">IF(F138="","Active","Left")</f>
        <v>Active</v>
      </c>
      <c r="L138" s="16" t="n">
        <f aca="false">ROUND((IF(F138="",Assumptions!$B$5,F138)-E138)/365.25,1)</f>
        <v>4.3</v>
      </c>
      <c r="M138" s="13" t="str">
        <f aca="false">IF(L138&lt;1,"Under 1 yr",IF(L138&lt;3,"1 to 3 yrs",IF(L138&lt;5,"3 to 5 yrs","5+ yrs")))</f>
        <v>3 to 5 yrs</v>
      </c>
      <c r="N138" s="14" t="n">
        <f aca="false">H138*12</f>
        <v>1128000</v>
      </c>
      <c r="O138" s="13" t="n">
        <f aca="false">IF(AND(E138&lt;Assumptions!$B$6,OR(F138="",F138&gt;=Assumptions!$B$6)),1,0)</f>
        <v>1</v>
      </c>
      <c r="P138" s="13" t="n">
        <f aca="false">IF(F138="",0,IF(AND(F138&gt;=Assumptions!$B$6,F138&lt;=Assumptions!$B$5),1,0))</f>
        <v>0</v>
      </c>
      <c r="Q138" s="14" t="n">
        <f aca="false">P138*N138*Assumptions!$B$7</f>
        <v>0</v>
      </c>
      <c r="R138" s="13" t="n">
        <f aca="false">IF(AND(P138=1,J138&gt;=Assumptions!$B$10),1,0)</f>
        <v>0</v>
      </c>
    </row>
    <row r="139" customFormat="false" ht="15" hidden="false" customHeight="false" outlineLevel="0" collapsed="false">
      <c r="A139" s="26" t="s">
        <v>242</v>
      </c>
      <c r="B139" s="26" t="s">
        <v>50</v>
      </c>
      <c r="C139" s="26" t="s">
        <v>108</v>
      </c>
      <c r="D139" s="26" t="s">
        <v>101</v>
      </c>
      <c r="E139" s="27" t="n">
        <v>45509</v>
      </c>
      <c r="F139" s="27"/>
      <c r="G139" s="26"/>
      <c r="H139" s="28" t="n">
        <v>96000</v>
      </c>
      <c r="I139" s="26" t="n">
        <v>9</v>
      </c>
      <c r="J139" s="26" t="n">
        <v>2</v>
      </c>
      <c r="K139" s="13" t="str">
        <f aca="false">IF(F139="","Active","Left")</f>
        <v>Active</v>
      </c>
      <c r="L139" s="16" t="n">
        <f aca="false">ROUND((IF(F139="",Assumptions!$B$5,F139)-E139)/365.25,1)</f>
        <v>2.2</v>
      </c>
      <c r="M139" s="13" t="str">
        <f aca="false">IF(L139&lt;1,"Under 1 yr",IF(L139&lt;3,"1 to 3 yrs",IF(L139&lt;5,"3 to 5 yrs","5+ yrs")))</f>
        <v>1 to 3 yrs</v>
      </c>
      <c r="N139" s="14" t="n">
        <f aca="false">H139*12</f>
        <v>1152000</v>
      </c>
      <c r="O139" s="13" t="n">
        <f aca="false">IF(AND(E139&lt;Assumptions!$B$6,OR(F139="",F139&gt;=Assumptions!$B$6)),1,0)</f>
        <v>1</v>
      </c>
      <c r="P139" s="13" t="n">
        <f aca="false">IF(F139="",0,IF(AND(F139&gt;=Assumptions!$B$6,F139&lt;=Assumptions!$B$5),1,0))</f>
        <v>0</v>
      </c>
      <c r="Q139" s="14" t="n">
        <f aca="false">P139*N139*Assumptions!$B$7</f>
        <v>0</v>
      </c>
      <c r="R139" s="13" t="n">
        <f aca="false">IF(AND(P139=1,J139&gt;=Assumptions!$B$10),1,0)</f>
        <v>0</v>
      </c>
    </row>
    <row r="140" customFormat="false" ht="15" hidden="false" customHeight="false" outlineLevel="0" collapsed="false">
      <c r="A140" s="26" t="s">
        <v>243</v>
      </c>
      <c r="B140" s="26" t="s">
        <v>50</v>
      </c>
      <c r="C140" s="26" t="s">
        <v>108</v>
      </c>
      <c r="D140" s="26" t="s">
        <v>101</v>
      </c>
      <c r="E140" s="27" t="n">
        <v>44105</v>
      </c>
      <c r="F140" s="27" t="n">
        <v>46008</v>
      </c>
      <c r="G140" s="26" t="s">
        <v>65</v>
      </c>
      <c r="H140" s="28" t="n">
        <v>87000</v>
      </c>
      <c r="I140" s="26" t="n">
        <v>7</v>
      </c>
      <c r="J140" s="26" t="n">
        <v>3</v>
      </c>
      <c r="K140" s="13" t="str">
        <f aca="false">IF(F140="","Active","Left")</f>
        <v>Left</v>
      </c>
      <c r="L140" s="16" t="n">
        <f aca="false">ROUND((IF(F140="",Assumptions!$B$5,F140)-E140)/365.25,1)</f>
        <v>5.2</v>
      </c>
      <c r="M140" s="13" t="str">
        <f aca="false">IF(L140&lt;1,"Under 1 yr",IF(L140&lt;3,"1 to 3 yrs",IF(L140&lt;5,"3 to 5 yrs","5+ yrs")))</f>
        <v>5+ yrs</v>
      </c>
      <c r="N140" s="14" t="n">
        <f aca="false">H140*12</f>
        <v>1044000</v>
      </c>
      <c r="O140" s="13" t="n">
        <f aca="false">IF(AND(E140&lt;Assumptions!$B$6,OR(F140="",F140&gt;=Assumptions!$B$6)),1,0)</f>
        <v>1</v>
      </c>
      <c r="P140" s="13" t="n">
        <f aca="false">IF(F140="",0,IF(AND(F140&gt;=Assumptions!$B$6,F140&lt;=Assumptions!$B$5),1,0))</f>
        <v>1</v>
      </c>
      <c r="Q140" s="14" t="n">
        <f aca="false">P140*N140*Assumptions!$B$7</f>
        <v>522000</v>
      </c>
      <c r="R140" s="13" t="n">
        <f aca="false">IF(AND(P140=1,J140&gt;=Assumptions!$B$10),1,0)</f>
        <v>0</v>
      </c>
    </row>
    <row r="141" customFormat="false" ht="15" hidden="false" customHeight="false" outlineLevel="0" collapsed="false">
      <c r="A141" s="26" t="s">
        <v>244</v>
      </c>
      <c r="B141" s="26" t="s">
        <v>45</v>
      </c>
      <c r="C141" s="26" t="s">
        <v>108</v>
      </c>
      <c r="D141" s="26" t="s">
        <v>101</v>
      </c>
      <c r="E141" s="27" t="n">
        <v>46096</v>
      </c>
      <c r="F141" s="27"/>
      <c r="G141" s="26"/>
      <c r="H141" s="28" t="n">
        <v>109000</v>
      </c>
      <c r="I141" s="26" t="n">
        <v>1</v>
      </c>
      <c r="J141" s="26" t="n">
        <v>4</v>
      </c>
      <c r="K141" s="13" t="str">
        <f aca="false">IF(F141="","Active","Left")</f>
        <v>Active</v>
      </c>
      <c r="L141" s="16" t="n">
        <f aca="false">ROUND((IF(F141="",Assumptions!$B$5,F141)-E141)/365.25,1)</f>
        <v>0.5</v>
      </c>
      <c r="M141" s="13" t="str">
        <f aca="false">IF(L141&lt;1,"Under 1 yr",IF(L141&lt;3,"1 to 3 yrs",IF(L141&lt;5,"3 to 5 yrs","5+ yrs")))</f>
        <v>Under 1 yr</v>
      </c>
      <c r="N141" s="14" t="n">
        <f aca="false">H141*12</f>
        <v>1308000</v>
      </c>
      <c r="O141" s="13" t="n">
        <f aca="false">IF(AND(E141&lt;Assumptions!$B$6,OR(F141="",F141&gt;=Assumptions!$B$6)),1,0)</f>
        <v>0</v>
      </c>
      <c r="P141" s="13" t="n">
        <f aca="false">IF(F141="",0,IF(AND(F141&gt;=Assumptions!$B$6,F141&lt;=Assumptions!$B$5),1,0))</f>
        <v>0</v>
      </c>
      <c r="Q141" s="14" t="n">
        <f aca="false">P141*N141*Assumptions!$B$7</f>
        <v>0</v>
      </c>
      <c r="R141" s="13" t="n">
        <f aca="false">IF(AND(P141=1,J141&gt;=Assumptions!$B$10),1,0)</f>
        <v>0</v>
      </c>
    </row>
    <row r="142" customFormat="false" ht="15" hidden="false" customHeight="false" outlineLevel="0" collapsed="false">
      <c r="A142" s="26" t="s">
        <v>245</v>
      </c>
      <c r="B142" s="26" t="s">
        <v>45</v>
      </c>
      <c r="C142" s="26" t="s">
        <v>104</v>
      </c>
      <c r="D142" s="26" t="s">
        <v>105</v>
      </c>
      <c r="E142" s="27" t="n">
        <v>45349</v>
      </c>
      <c r="F142" s="27"/>
      <c r="G142" s="26"/>
      <c r="H142" s="28" t="n">
        <v>122000</v>
      </c>
      <c r="I142" s="26" t="n">
        <v>7</v>
      </c>
      <c r="J142" s="26" t="n">
        <v>4</v>
      </c>
      <c r="K142" s="13" t="str">
        <f aca="false">IF(F142="","Active","Left")</f>
        <v>Active</v>
      </c>
      <c r="L142" s="16" t="n">
        <f aca="false">ROUND((IF(F142="",Assumptions!$B$5,F142)-E142)/365.25,1)</f>
        <v>2.6</v>
      </c>
      <c r="M142" s="13" t="str">
        <f aca="false">IF(L142&lt;1,"Under 1 yr",IF(L142&lt;3,"1 to 3 yrs",IF(L142&lt;5,"3 to 5 yrs","5+ yrs")))</f>
        <v>1 to 3 yrs</v>
      </c>
      <c r="N142" s="14" t="n">
        <f aca="false">H142*12</f>
        <v>1464000</v>
      </c>
      <c r="O142" s="13" t="n">
        <f aca="false">IF(AND(E142&lt;Assumptions!$B$6,OR(F142="",F142&gt;=Assumptions!$B$6)),1,0)</f>
        <v>1</v>
      </c>
      <c r="P142" s="13" t="n">
        <f aca="false">IF(F142="",0,IF(AND(F142&gt;=Assumptions!$B$6,F142&lt;=Assumptions!$B$5),1,0))</f>
        <v>0</v>
      </c>
      <c r="Q142" s="14" t="n">
        <f aca="false">P142*N142*Assumptions!$B$7</f>
        <v>0</v>
      </c>
      <c r="R142" s="13" t="n">
        <f aca="false">IF(AND(P142=1,J142&gt;=Assumptions!$B$10),1,0)</f>
        <v>0</v>
      </c>
    </row>
    <row r="143" customFormat="false" ht="15" hidden="false" customHeight="false" outlineLevel="0" collapsed="false">
      <c r="A143" s="26" t="s">
        <v>246</v>
      </c>
      <c r="B143" s="26" t="s">
        <v>45</v>
      </c>
      <c r="C143" s="26" t="s">
        <v>100</v>
      </c>
      <c r="D143" s="26" t="s">
        <v>101</v>
      </c>
      <c r="E143" s="27" t="n">
        <v>42367</v>
      </c>
      <c r="F143" s="27"/>
      <c r="G143" s="26"/>
      <c r="H143" s="28" t="n">
        <v>49000</v>
      </c>
      <c r="I143" s="26" t="n">
        <v>5</v>
      </c>
      <c r="J143" s="26" t="n">
        <v>3</v>
      </c>
      <c r="K143" s="13" t="str">
        <f aca="false">IF(F143="","Active","Left")</f>
        <v>Active</v>
      </c>
      <c r="L143" s="16" t="n">
        <f aca="false">ROUND((IF(F143="",Assumptions!$B$5,F143)-E143)/365.25,1)</f>
        <v>10.8</v>
      </c>
      <c r="M143" s="13" t="str">
        <f aca="false">IF(L143&lt;1,"Under 1 yr",IF(L143&lt;3,"1 to 3 yrs",IF(L143&lt;5,"3 to 5 yrs","5+ yrs")))</f>
        <v>5+ yrs</v>
      </c>
      <c r="N143" s="14" t="n">
        <f aca="false">H143*12</f>
        <v>588000</v>
      </c>
      <c r="O143" s="13" t="n">
        <f aca="false">IF(AND(E143&lt;Assumptions!$B$6,OR(F143="",F143&gt;=Assumptions!$B$6)),1,0)</f>
        <v>1</v>
      </c>
      <c r="P143" s="13" t="n">
        <f aca="false">IF(F143="",0,IF(AND(F143&gt;=Assumptions!$B$6,F143&lt;=Assumptions!$B$5),1,0))</f>
        <v>0</v>
      </c>
      <c r="Q143" s="14" t="n">
        <f aca="false">P143*N143*Assumptions!$B$7</f>
        <v>0</v>
      </c>
      <c r="R143" s="13" t="n">
        <f aca="false">IF(AND(P143=1,J143&gt;=Assumptions!$B$10),1,0)</f>
        <v>0</v>
      </c>
    </row>
    <row r="144" customFormat="false" ht="15" hidden="false" customHeight="false" outlineLevel="0" collapsed="false">
      <c r="A144" s="26" t="s">
        <v>247</v>
      </c>
      <c r="B144" s="26" t="s">
        <v>48</v>
      </c>
      <c r="C144" s="26" t="s">
        <v>108</v>
      </c>
      <c r="D144" s="26" t="s">
        <v>101</v>
      </c>
      <c r="E144" s="27" t="n">
        <v>44595</v>
      </c>
      <c r="F144" s="27"/>
      <c r="G144" s="26"/>
      <c r="H144" s="28" t="n">
        <v>64000</v>
      </c>
      <c r="I144" s="26" t="n">
        <v>9</v>
      </c>
      <c r="J144" s="26" t="n">
        <v>3</v>
      </c>
      <c r="K144" s="13" t="str">
        <f aca="false">IF(F144="","Active","Left")</f>
        <v>Active</v>
      </c>
      <c r="L144" s="16" t="n">
        <f aca="false">ROUND((IF(F144="",Assumptions!$B$5,F144)-E144)/365.25,1)</f>
        <v>4.7</v>
      </c>
      <c r="M144" s="13" t="str">
        <f aca="false">IF(L144&lt;1,"Under 1 yr",IF(L144&lt;3,"1 to 3 yrs",IF(L144&lt;5,"3 to 5 yrs","5+ yrs")))</f>
        <v>3 to 5 yrs</v>
      </c>
      <c r="N144" s="14" t="n">
        <f aca="false">H144*12</f>
        <v>768000</v>
      </c>
      <c r="O144" s="13" t="n">
        <f aca="false">IF(AND(E144&lt;Assumptions!$B$6,OR(F144="",F144&gt;=Assumptions!$B$6)),1,0)</f>
        <v>1</v>
      </c>
      <c r="P144" s="13" t="n">
        <f aca="false">IF(F144="",0,IF(AND(F144&gt;=Assumptions!$B$6,F144&lt;=Assumptions!$B$5),1,0))</f>
        <v>0</v>
      </c>
      <c r="Q144" s="14" t="n">
        <f aca="false">P144*N144*Assumptions!$B$7</f>
        <v>0</v>
      </c>
      <c r="R144" s="13" t="n">
        <f aca="false">IF(AND(P144=1,J144&gt;=Assumptions!$B$10),1,0)</f>
        <v>0</v>
      </c>
    </row>
    <row r="145" customFormat="false" ht="15" hidden="false" customHeight="false" outlineLevel="0" collapsed="false">
      <c r="A145" s="26" t="s">
        <v>248</v>
      </c>
      <c r="B145" s="26" t="s">
        <v>46</v>
      </c>
      <c r="C145" s="26" t="s">
        <v>100</v>
      </c>
      <c r="D145" s="26" t="s">
        <v>105</v>
      </c>
      <c r="E145" s="27" t="n">
        <v>46008</v>
      </c>
      <c r="F145" s="27"/>
      <c r="G145" s="26"/>
      <c r="H145" s="28" t="n">
        <v>41000</v>
      </c>
      <c r="I145" s="26" t="n">
        <v>4</v>
      </c>
      <c r="J145" s="26" t="n">
        <v>3</v>
      </c>
      <c r="K145" s="13" t="str">
        <f aca="false">IF(F145="","Active","Left")</f>
        <v>Active</v>
      </c>
      <c r="L145" s="16" t="n">
        <f aca="false">ROUND((IF(F145="",Assumptions!$B$5,F145)-E145)/365.25,1)</f>
        <v>0.8</v>
      </c>
      <c r="M145" s="13" t="str">
        <f aca="false">IF(L145&lt;1,"Under 1 yr",IF(L145&lt;3,"1 to 3 yrs",IF(L145&lt;5,"3 to 5 yrs","5+ yrs")))</f>
        <v>Under 1 yr</v>
      </c>
      <c r="N145" s="14" t="n">
        <f aca="false">H145*12</f>
        <v>492000</v>
      </c>
      <c r="O145" s="13" t="n">
        <f aca="false">IF(AND(E145&lt;Assumptions!$B$6,OR(F145="",F145&gt;=Assumptions!$B$6)),1,0)</f>
        <v>0</v>
      </c>
      <c r="P145" s="13" t="n">
        <f aca="false">IF(F145="",0,IF(AND(F145&gt;=Assumptions!$B$6,F145&lt;=Assumptions!$B$5),1,0))</f>
        <v>0</v>
      </c>
      <c r="Q145" s="14" t="n">
        <f aca="false">P145*N145*Assumptions!$B$7</f>
        <v>0</v>
      </c>
      <c r="R145" s="13" t="n">
        <f aca="false">IF(AND(P145=1,J145&gt;=Assumptions!$B$10),1,0)</f>
        <v>0</v>
      </c>
    </row>
    <row r="146" customFormat="false" ht="15" hidden="false" customHeight="false" outlineLevel="0" collapsed="false">
      <c r="A146" s="26" t="s">
        <v>249</v>
      </c>
      <c r="B146" s="26" t="s">
        <v>45</v>
      </c>
      <c r="C146" s="26" t="s">
        <v>108</v>
      </c>
      <c r="D146" s="26" t="s">
        <v>101</v>
      </c>
      <c r="E146" s="27" t="n">
        <v>45401</v>
      </c>
      <c r="F146" s="27" t="n">
        <v>46162</v>
      </c>
      <c r="G146" s="26" t="s">
        <v>67</v>
      </c>
      <c r="H146" s="28" t="n">
        <v>80000</v>
      </c>
      <c r="I146" s="26" t="n">
        <v>2</v>
      </c>
      <c r="J146" s="26" t="n">
        <v>4</v>
      </c>
      <c r="K146" s="13" t="str">
        <f aca="false">IF(F146="","Active","Left")</f>
        <v>Left</v>
      </c>
      <c r="L146" s="16" t="n">
        <f aca="false">ROUND((IF(F146="",Assumptions!$B$5,F146)-E146)/365.25,1)</f>
        <v>2.1</v>
      </c>
      <c r="M146" s="13" t="str">
        <f aca="false">IF(L146&lt;1,"Under 1 yr",IF(L146&lt;3,"1 to 3 yrs",IF(L146&lt;5,"3 to 5 yrs","5+ yrs")))</f>
        <v>1 to 3 yrs</v>
      </c>
      <c r="N146" s="14" t="n">
        <f aca="false">H146*12</f>
        <v>960000</v>
      </c>
      <c r="O146" s="13" t="n">
        <f aca="false">IF(AND(E146&lt;Assumptions!$B$6,OR(F146="",F146&gt;=Assumptions!$B$6)),1,0)</f>
        <v>1</v>
      </c>
      <c r="P146" s="13" t="n">
        <f aca="false">IF(F146="",0,IF(AND(F146&gt;=Assumptions!$B$6,F146&lt;=Assumptions!$B$5),1,0))</f>
        <v>1</v>
      </c>
      <c r="Q146" s="14" t="n">
        <f aca="false">P146*N146*Assumptions!$B$7</f>
        <v>480000</v>
      </c>
      <c r="R146" s="13" t="n">
        <f aca="false">IF(AND(P146=1,J146&gt;=Assumptions!$B$10),1,0)</f>
        <v>1</v>
      </c>
    </row>
    <row r="147" customFormat="false" ht="15" hidden="false" customHeight="false" outlineLevel="0" collapsed="false">
      <c r="A147" s="26" t="s">
        <v>250</v>
      </c>
      <c r="B147" s="26" t="s">
        <v>46</v>
      </c>
      <c r="C147" s="26" t="s">
        <v>100</v>
      </c>
      <c r="D147" s="26" t="s">
        <v>101</v>
      </c>
      <c r="E147" s="27" t="n">
        <v>44488</v>
      </c>
      <c r="F147" s="27"/>
      <c r="G147" s="26"/>
      <c r="H147" s="28" t="n">
        <v>40000</v>
      </c>
      <c r="I147" s="26" t="n">
        <v>6</v>
      </c>
      <c r="J147" s="26" t="n">
        <v>2</v>
      </c>
      <c r="K147" s="13" t="str">
        <f aca="false">IF(F147="","Active","Left")</f>
        <v>Active</v>
      </c>
      <c r="L147" s="16" t="n">
        <f aca="false">ROUND((IF(F147="",Assumptions!$B$5,F147)-E147)/365.25,1)</f>
        <v>4.9</v>
      </c>
      <c r="M147" s="13" t="str">
        <f aca="false">IF(L147&lt;1,"Under 1 yr",IF(L147&lt;3,"1 to 3 yrs",IF(L147&lt;5,"3 to 5 yrs","5+ yrs")))</f>
        <v>3 to 5 yrs</v>
      </c>
      <c r="N147" s="14" t="n">
        <f aca="false">H147*12</f>
        <v>480000</v>
      </c>
      <c r="O147" s="13" t="n">
        <f aca="false">IF(AND(E147&lt;Assumptions!$B$6,OR(F147="",F147&gt;=Assumptions!$B$6)),1,0)</f>
        <v>1</v>
      </c>
      <c r="P147" s="13" t="n">
        <f aca="false">IF(F147="",0,IF(AND(F147&gt;=Assumptions!$B$6,F147&lt;=Assumptions!$B$5),1,0))</f>
        <v>0</v>
      </c>
      <c r="Q147" s="14" t="n">
        <f aca="false">P147*N147*Assumptions!$B$7</f>
        <v>0</v>
      </c>
      <c r="R147" s="13" t="n">
        <f aca="false">IF(AND(P147=1,J147&gt;=Assumptions!$B$10),1,0)</f>
        <v>0</v>
      </c>
    </row>
    <row r="148" customFormat="false" ht="15" hidden="false" customHeight="false" outlineLevel="0" collapsed="false">
      <c r="A148" s="26" t="s">
        <v>251</v>
      </c>
      <c r="B148" s="26" t="s">
        <v>45</v>
      </c>
      <c r="C148" s="26" t="s">
        <v>100</v>
      </c>
      <c r="D148" s="26" t="s">
        <v>101</v>
      </c>
      <c r="E148" s="27" t="n">
        <v>43234</v>
      </c>
      <c r="F148" s="27" t="n">
        <v>46079</v>
      </c>
      <c r="G148" s="26" t="s">
        <v>67</v>
      </c>
      <c r="H148" s="28" t="n">
        <v>42000</v>
      </c>
      <c r="I148" s="26" t="n">
        <v>9</v>
      </c>
      <c r="J148" s="26" t="n">
        <v>3</v>
      </c>
      <c r="K148" s="13" t="str">
        <f aca="false">IF(F148="","Active","Left")</f>
        <v>Left</v>
      </c>
      <c r="L148" s="16" t="n">
        <f aca="false">ROUND((IF(F148="",Assumptions!$B$5,F148)-E148)/365.25,1)</f>
        <v>7.8</v>
      </c>
      <c r="M148" s="13" t="str">
        <f aca="false">IF(L148&lt;1,"Under 1 yr",IF(L148&lt;3,"1 to 3 yrs",IF(L148&lt;5,"3 to 5 yrs","5+ yrs")))</f>
        <v>5+ yrs</v>
      </c>
      <c r="N148" s="14" t="n">
        <f aca="false">H148*12</f>
        <v>504000</v>
      </c>
      <c r="O148" s="13" t="n">
        <f aca="false">IF(AND(E148&lt;Assumptions!$B$6,OR(F148="",F148&gt;=Assumptions!$B$6)),1,0)</f>
        <v>1</v>
      </c>
      <c r="P148" s="13" t="n">
        <f aca="false">IF(F148="",0,IF(AND(F148&gt;=Assumptions!$B$6,F148&lt;=Assumptions!$B$5),1,0))</f>
        <v>1</v>
      </c>
      <c r="Q148" s="14" t="n">
        <f aca="false">P148*N148*Assumptions!$B$7</f>
        <v>252000</v>
      </c>
      <c r="R148" s="13" t="n">
        <f aca="false">IF(AND(P148=1,J148&gt;=Assumptions!$B$10),1,0)</f>
        <v>0</v>
      </c>
    </row>
    <row r="149" customFormat="false" ht="15" hidden="false" customHeight="false" outlineLevel="0" collapsed="false">
      <c r="A149" s="26" t="s">
        <v>252</v>
      </c>
      <c r="B149" s="26" t="s">
        <v>50</v>
      </c>
      <c r="C149" s="26" t="s">
        <v>125</v>
      </c>
      <c r="D149" s="26" t="s">
        <v>101</v>
      </c>
      <c r="E149" s="27" t="n">
        <v>44098</v>
      </c>
      <c r="F149" s="27"/>
      <c r="G149" s="26"/>
      <c r="H149" s="28" t="n">
        <v>294000</v>
      </c>
      <c r="I149" s="26" t="n">
        <v>9</v>
      </c>
      <c r="J149" s="26" t="n">
        <v>3</v>
      </c>
      <c r="K149" s="13" t="str">
        <f aca="false">IF(F149="","Active","Left")</f>
        <v>Active</v>
      </c>
      <c r="L149" s="16" t="n">
        <f aca="false">ROUND((IF(F149="",Assumptions!$B$5,F149)-E149)/365.25,1)</f>
        <v>6</v>
      </c>
      <c r="M149" s="13" t="str">
        <f aca="false">IF(L149&lt;1,"Under 1 yr",IF(L149&lt;3,"1 to 3 yrs",IF(L149&lt;5,"3 to 5 yrs","5+ yrs")))</f>
        <v>5+ yrs</v>
      </c>
      <c r="N149" s="14" t="n">
        <f aca="false">H149*12</f>
        <v>3528000</v>
      </c>
      <c r="O149" s="13" t="n">
        <f aca="false">IF(AND(E149&lt;Assumptions!$B$6,OR(F149="",F149&gt;=Assumptions!$B$6)),1,0)</f>
        <v>1</v>
      </c>
      <c r="P149" s="13" t="n">
        <f aca="false">IF(F149="",0,IF(AND(F149&gt;=Assumptions!$B$6,F149&lt;=Assumptions!$B$5),1,0))</f>
        <v>0</v>
      </c>
      <c r="Q149" s="14" t="n">
        <f aca="false">P149*N149*Assumptions!$B$7</f>
        <v>0</v>
      </c>
      <c r="R149" s="13" t="n">
        <f aca="false">IF(AND(P149=1,J149&gt;=Assumptions!$B$10),1,0)</f>
        <v>0</v>
      </c>
    </row>
    <row r="150" customFormat="false" ht="15" hidden="false" customHeight="false" outlineLevel="0" collapsed="false">
      <c r="A150" s="26" t="s">
        <v>253</v>
      </c>
      <c r="B150" s="26" t="s">
        <v>50</v>
      </c>
      <c r="C150" s="26" t="s">
        <v>108</v>
      </c>
      <c r="D150" s="26" t="s">
        <v>105</v>
      </c>
      <c r="E150" s="27" t="n">
        <v>45141</v>
      </c>
      <c r="F150" s="27"/>
      <c r="G150" s="26"/>
      <c r="H150" s="28" t="n">
        <v>109000</v>
      </c>
      <c r="I150" s="26" t="n">
        <v>9</v>
      </c>
      <c r="J150" s="26" t="n">
        <v>1</v>
      </c>
      <c r="K150" s="13" t="str">
        <f aca="false">IF(F150="","Active","Left")</f>
        <v>Active</v>
      </c>
      <c r="L150" s="16" t="n">
        <f aca="false">ROUND((IF(F150="",Assumptions!$B$5,F150)-E150)/365.25,1)</f>
        <v>3.2</v>
      </c>
      <c r="M150" s="13" t="str">
        <f aca="false">IF(L150&lt;1,"Under 1 yr",IF(L150&lt;3,"1 to 3 yrs",IF(L150&lt;5,"3 to 5 yrs","5+ yrs")))</f>
        <v>3 to 5 yrs</v>
      </c>
      <c r="N150" s="14" t="n">
        <f aca="false">H150*12</f>
        <v>1308000</v>
      </c>
      <c r="O150" s="13" t="n">
        <f aca="false">IF(AND(E150&lt;Assumptions!$B$6,OR(F150="",F150&gt;=Assumptions!$B$6)),1,0)</f>
        <v>1</v>
      </c>
      <c r="P150" s="13" t="n">
        <f aca="false">IF(F150="",0,IF(AND(F150&gt;=Assumptions!$B$6,F150&lt;=Assumptions!$B$5),1,0))</f>
        <v>0</v>
      </c>
      <c r="Q150" s="14" t="n">
        <f aca="false">P150*N150*Assumptions!$B$7</f>
        <v>0</v>
      </c>
      <c r="R150" s="13" t="n">
        <f aca="false">IF(AND(P150=1,J150&gt;=Assumptions!$B$10),1,0)</f>
        <v>0</v>
      </c>
    </row>
    <row r="151" customFormat="false" ht="15" hidden="false" customHeight="false" outlineLevel="0" collapsed="false">
      <c r="A151" s="26" t="s">
        <v>254</v>
      </c>
      <c r="B151" s="26" t="s">
        <v>50</v>
      </c>
      <c r="C151" s="26" t="s">
        <v>100</v>
      </c>
      <c r="D151" s="26" t="s">
        <v>105</v>
      </c>
      <c r="E151" s="27" t="n">
        <v>42472</v>
      </c>
      <c r="F151" s="27"/>
      <c r="G151" s="26"/>
      <c r="H151" s="28" t="n">
        <v>56000</v>
      </c>
      <c r="I151" s="26" t="n">
        <v>3</v>
      </c>
      <c r="J151" s="26" t="n">
        <v>4</v>
      </c>
      <c r="K151" s="13" t="str">
        <f aca="false">IF(F151="","Active","Left")</f>
        <v>Active</v>
      </c>
      <c r="L151" s="16" t="n">
        <f aca="false">ROUND((IF(F151="",Assumptions!$B$5,F151)-E151)/365.25,1)</f>
        <v>10.5</v>
      </c>
      <c r="M151" s="13" t="str">
        <f aca="false">IF(L151&lt;1,"Under 1 yr",IF(L151&lt;3,"1 to 3 yrs",IF(L151&lt;5,"3 to 5 yrs","5+ yrs")))</f>
        <v>5+ yrs</v>
      </c>
      <c r="N151" s="14" t="n">
        <f aca="false">H151*12</f>
        <v>672000</v>
      </c>
      <c r="O151" s="13" t="n">
        <f aca="false">IF(AND(E151&lt;Assumptions!$B$6,OR(F151="",F151&gt;=Assumptions!$B$6)),1,0)</f>
        <v>1</v>
      </c>
      <c r="P151" s="13" t="n">
        <f aca="false">IF(F151="",0,IF(AND(F151&gt;=Assumptions!$B$6,F151&lt;=Assumptions!$B$5),1,0))</f>
        <v>0</v>
      </c>
      <c r="Q151" s="14" t="n">
        <f aca="false">P151*N151*Assumptions!$B$7</f>
        <v>0</v>
      </c>
      <c r="R151" s="13" t="n">
        <f aca="false">IF(AND(P151=1,J151&gt;=Assumptions!$B$10),1,0)</f>
        <v>0</v>
      </c>
    </row>
    <row r="152" customFormat="false" ht="15" hidden="false" customHeight="false" outlineLevel="0" collapsed="false">
      <c r="A152" s="26" t="s">
        <v>255</v>
      </c>
      <c r="B152" s="26" t="s">
        <v>49</v>
      </c>
      <c r="C152" s="26" t="s">
        <v>104</v>
      </c>
      <c r="D152" s="26" t="s">
        <v>105</v>
      </c>
      <c r="E152" s="27" t="n">
        <v>44930</v>
      </c>
      <c r="F152" s="27"/>
      <c r="G152" s="26"/>
      <c r="H152" s="28" t="n">
        <v>160000</v>
      </c>
      <c r="I152" s="26" t="n">
        <v>5</v>
      </c>
      <c r="J152" s="26" t="n">
        <v>4</v>
      </c>
      <c r="K152" s="13" t="str">
        <f aca="false">IF(F152="","Active","Left")</f>
        <v>Active</v>
      </c>
      <c r="L152" s="16" t="n">
        <f aca="false">ROUND((IF(F152="",Assumptions!$B$5,F152)-E152)/365.25,1)</f>
        <v>3.7</v>
      </c>
      <c r="M152" s="13" t="str">
        <f aca="false">IF(L152&lt;1,"Under 1 yr",IF(L152&lt;3,"1 to 3 yrs",IF(L152&lt;5,"3 to 5 yrs","5+ yrs")))</f>
        <v>3 to 5 yrs</v>
      </c>
      <c r="N152" s="14" t="n">
        <f aca="false">H152*12</f>
        <v>1920000</v>
      </c>
      <c r="O152" s="13" t="n">
        <f aca="false">IF(AND(E152&lt;Assumptions!$B$6,OR(F152="",F152&gt;=Assumptions!$B$6)),1,0)</f>
        <v>1</v>
      </c>
      <c r="P152" s="13" t="n">
        <f aca="false">IF(F152="",0,IF(AND(F152&gt;=Assumptions!$B$6,F152&lt;=Assumptions!$B$5),1,0))</f>
        <v>0</v>
      </c>
      <c r="Q152" s="14" t="n">
        <f aca="false">P152*N152*Assumptions!$B$7</f>
        <v>0</v>
      </c>
      <c r="R152" s="13" t="n">
        <f aca="false">IF(AND(P152=1,J152&gt;=Assumptions!$B$10),1,0)</f>
        <v>0</v>
      </c>
    </row>
    <row r="153" customFormat="false" ht="15" hidden="false" customHeight="false" outlineLevel="0" collapsed="false">
      <c r="A153" s="26" t="s">
        <v>256</v>
      </c>
      <c r="B153" s="26" t="s">
        <v>45</v>
      </c>
      <c r="C153" s="26" t="s">
        <v>104</v>
      </c>
      <c r="D153" s="26" t="s">
        <v>101</v>
      </c>
      <c r="E153" s="27" t="n">
        <v>46095</v>
      </c>
      <c r="F153" s="27"/>
      <c r="G153" s="26"/>
      <c r="H153" s="28" t="n">
        <v>128000</v>
      </c>
      <c r="I153" s="26" t="n">
        <v>5</v>
      </c>
      <c r="J153" s="26" t="n">
        <v>1</v>
      </c>
      <c r="K153" s="13" t="str">
        <f aca="false">IF(F153="","Active","Left")</f>
        <v>Active</v>
      </c>
      <c r="L153" s="16" t="n">
        <f aca="false">ROUND((IF(F153="",Assumptions!$B$5,F153)-E153)/365.25,1)</f>
        <v>0.5</v>
      </c>
      <c r="M153" s="13" t="str">
        <f aca="false">IF(L153&lt;1,"Under 1 yr",IF(L153&lt;3,"1 to 3 yrs",IF(L153&lt;5,"3 to 5 yrs","5+ yrs")))</f>
        <v>Under 1 yr</v>
      </c>
      <c r="N153" s="14" t="n">
        <f aca="false">H153*12</f>
        <v>1536000</v>
      </c>
      <c r="O153" s="13" t="n">
        <f aca="false">IF(AND(E153&lt;Assumptions!$B$6,OR(F153="",F153&gt;=Assumptions!$B$6)),1,0)</f>
        <v>0</v>
      </c>
      <c r="P153" s="13" t="n">
        <f aca="false">IF(F153="",0,IF(AND(F153&gt;=Assumptions!$B$6,F153&lt;=Assumptions!$B$5),1,0))</f>
        <v>0</v>
      </c>
      <c r="Q153" s="14" t="n">
        <f aca="false">P153*N153*Assumptions!$B$7</f>
        <v>0</v>
      </c>
      <c r="R153" s="13" t="n">
        <f aca="false">IF(AND(P153=1,J153&gt;=Assumptions!$B$10),1,0)</f>
        <v>0</v>
      </c>
    </row>
    <row r="154" customFormat="false" ht="15" hidden="false" customHeight="false" outlineLevel="0" collapsed="false">
      <c r="A154" s="26" t="s">
        <v>257</v>
      </c>
      <c r="B154" s="26" t="s">
        <v>48</v>
      </c>
      <c r="C154" s="26" t="s">
        <v>100</v>
      </c>
      <c r="D154" s="26" t="s">
        <v>105</v>
      </c>
      <c r="E154" s="27" t="n">
        <v>45017</v>
      </c>
      <c r="F154" s="27"/>
      <c r="G154" s="26"/>
      <c r="H154" s="28" t="n">
        <v>38000</v>
      </c>
      <c r="I154" s="26" t="n">
        <v>5</v>
      </c>
      <c r="J154" s="26" t="n">
        <v>2</v>
      </c>
      <c r="K154" s="13" t="str">
        <f aca="false">IF(F154="","Active","Left")</f>
        <v>Active</v>
      </c>
      <c r="L154" s="16" t="n">
        <f aca="false">ROUND((IF(F154="",Assumptions!$B$5,F154)-E154)/365.25,1)</f>
        <v>3.5</v>
      </c>
      <c r="M154" s="13" t="str">
        <f aca="false">IF(L154&lt;1,"Under 1 yr",IF(L154&lt;3,"1 to 3 yrs",IF(L154&lt;5,"3 to 5 yrs","5+ yrs")))</f>
        <v>3 to 5 yrs</v>
      </c>
      <c r="N154" s="14" t="n">
        <f aca="false">H154*12</f>
        <v>456000</v>
      </c>
      <c r="O154" s="13" t="n">
        <f aca="false">IF(AND(E154&lt;Assumptions!$B$6,OR(F154="",F154&gt;=Assumptions!$B$6)),1,0)</f>
        <v>1</v>
      </c>
      <c r="P154" s="13" t="n">
        <f aca="false">IF(F154="",0,IF(AND(F154&gt;=Assumptions!$B$6,F154&lt;=Assumptions!$B$5),1,0))</f>
        <v>0</v>
      </c>
      <c r="Q154" s="14" t="n">
        <f aca="false">P154*N154*Assumptions!$B$7</f>
        <v>0</v>
      </c>
      <c r="R154" s="13" t="n">
        <f aca="false">IF(AND(P154=1,J154&gt;=Assumptions!$B$10),1,0)</f>
        <v>0</v>
      </c>
    </row>
    <row r="155" customFormat="false" ht="15" hidden="false" customHeight="false" outlineLevel="0" collapsed="false">
      <c r="A155" s="26" t="s">
        <v>258</v>
      </c>
      <c r="B155" s="26" t="s">
        <v>48</v>
      </c>
      <c r="C155" s="26" t="s">
        <v>104</v>
      </c>
      <c r="D155" s="26" t="s">
        <v>101</v>
      </c>
      <c r="E155" s="27" t="n">
        <v>45752</v>
      </c>
      <c r="F155" s="27" t="n">
        <v>46150</v>
      </c>
      <c r="G155" s="26" t="s">
        <v>67</v>
      </c>
      <c r="H155" s="28" t="n">
        <v>163000</v>
      </c>
      <c r="I155" s="26" t="n">
        <v>0</v>
      </c>
      <c r="J155" s="26" t="n">
        <v>5</v>
      </c>
      <c r="K155" s="13" t="str">
        <f aca="false">IF(F155="","Active","Left")</f>
        <v>Left</v>
      </c>
      <c r="L155" s="16" t="n">
        <f aca="false">ROUND((IF(F155="",Assumptions!$B$5,F155)-E155)/365.25,1)</f>
        <v>1.1</v>
      </c>
      <c r="M155" s="13" t="str">
        <f aca="false">IF(L155&lt;1,"Under 1 yr",IF(L155&lt;3,"1 to 3 yrs",IF(L155&lt;5,"3 to 5 yrs","5+ yrs")))</f>
        <v>1 to 3 yrs</v>
      </c>
      <c r="N155" s="14" t="n">
        <f aca="false">H155*12</f>
        <v>1956000</v>
      </c>
      <c r="O155" s="13" t="n">
        <f aca="false">IF(AND(E155&lt;Assumptions!$B$6,OR(F155="",F155&gt;=Assumptions!$B$6)),1,0)</f>
        <v>1</v>
      </c>
      <c r="P155" s="13" t="n">
        <f aca="false">IF(F155="",0,IF(AND(F155&gt;=Assumptions!$B$6,F155&lt;=Assumptions!$B$5),1,0))</f>
        <v>1</v>
      </c>
      <c r="Q155" s="14" t="n">
        <f aca="false">P155*N155*Assumptions!$B$7</f>
        <v>978000</v>
      </c>
      <c r="R155" s="13" t="n">
        <f aca="false">IF(AND(P155=1,J155&gt;=Assumptions!$B$10),1,0)</f>
        <v>1</v>
      </c>
    </row>
    <row r="156" customFormat="false" ht="15" hidden="false" customHeight="false" outlineLevel="0" collapsed="false">
      <c r="A156" s="26" t="s">
        <v>259</v>
      </c>
      <c r="B156" s="26" t="s">
        <v>50</v>
      </c>
      <c r="C156" s="26" t="s">
        <v>100</v>
      </c>
      <c r="D156" s="26" t="s">
        <v>105</v>
      </c>
      <c r="E156" s="27" t="n">
        <v>42702</v>
      </c>
      <c r="F156" s="27"/>
      <c r="G156" s="26"/>
      <c r="H156" s="28" t="n">
        <v>55000</v>
      </c>
      <c r="I156" s="26" t="n">
        <v>6</v>
      </c>
      <c r="J156" s="26" t="n">
        <v>2</v>
      </c>
      <c r="K156" s="13" t="str">
        <f aca="false">IF(F156="","Active","Left")</f>
        <v>Active</v>
      </c>
      <c r="L156" s="16" t="n">
        <f aca="false">ROUND((IF(F156="",Assumptions!$B$5,F156)-E156)/365.25,1)</f>
        <v>9.8</v>
      </c>
      <c r="M156" s="13" t="str">
        <f aca="false">IF(L156&lt;1,"Under 1 yr",IF(L156&lt;3,"1 to 3 yrs",IF(L156&lt;5,"3 to 5 yrs","5+ yrs")))</f>
        <v>5+ yrs</v>
      </c>
      <c r="N156" s="14" t="n">
        <f aca="false">H156*12</f>
        <v>660000</v>
      </c>
      <c r="O156" s="13" t="n">
        <f aca="false">IF(AND(E156&lt;Assumptions!$B$6,OR(F156="",F156&gt;=Assumptions!$B$6)),1,0)</f>
        <v>1</v>
      </c>
      <c r="P156" s="13" t="n">
        <f aca="false">IF(F156="",0,IF(AND(F156&gt;=Assumptions!$B$6,F156&lt;=Assumptions!$B$5),1,0))</f>
        <v>0</v>
      </c>
      <c r="Q156" s="14" t="n">
        <f aca="false">P156*N156*Assumptions!$B$7</f>
        <v>0</v>
      </c>
      <c r="R156" s="13" t="n">
        <f aca="false">IF(AND(P156=1,J156&gt;=Assumptions!$B$10),1,0)</f>
        <v>0</v>
      </c>
    </row>
    <row r="157" customFormat="false" ht="15" hidden="false" customHeight="false" outlineLevel="0" collapsed="false">
      <c r="A157" s="26" t="s">
        <v>260</v>
      </c>
      <c r="B157" s="26" t="s">
        <v>49</v>
      </c>
      <c r="C157" s="26" t="s">
        <v>108</v>
      </c>
      <c r="D157" s="26" t="s">
        <v>105</v>
      </c>
      <c r="E157" s="27" t="n">
        <v>44560</v>
      </c>
      <c r="F157" s="27"/>
      <c r="G157" s="26"/>
      <c r="H157" s="28" t="n">
        <v>64000</v>
      </c>
      <c r="I157" s="26" t="n">
        <v>4</v>
      </c>
      <c r="J157" s="26" t="n">
        <v>3</v>
      </c>
      <c r="K157" s="13" t="str">
        <f aca="false">IF(F157="","Active","Left")</f>
        <v>Active</v>
      </c>
      <c r="L157" s="16" t="n">
        <f aca="false">ROUND((IF(F157="",Assumptions!$B$5,F157)-E157)/365.25,1)</f>
        <v>4.8</v>
      </c>
      <c r="M157" s="13" t="str">
        <f aca="false">IF(L157&lt;1,"Under 1 yr",IF(L157&lt;3,"1 to 3 yrs",IF(L157&lt;5,"3 to 5 yrs","5+ yrs")))</f>
        <v>3 to 5 yrs</v>
      </c>
      <c r="N157" s="14" t="n">
        <f aca="false">H157*12</f>
        <v>768000</v>
      </c>
      <c r="O157" s="13" t="n">
        <f aca="false">IF(AND(E157&lt;Assumptions!$B$6,OR(F157="",F157&gt;=Assumptions!$B$6)),1,0)</f>
        <v>1</v>
      </c>
      <c r="P157" s="13" t="n">
        <f aca="false">IF(F157="",0,IF(AND(F157&gt;=Assumptions!$B$6,F157&lt;=Assumptions!$B$5),1,0))</f>
        <v>0</v>
      </c>
      <c r="Q157" s="14" t="n">
        <f aca="false">P157*N157*Assumptions!$B$7</f>
        <v>0</v>
      </c>
      <c r="R157" s="13" t="n">
        <f aca="false">IF(AND(P157=1,J157&gt;=Assumptions!$B$10),1,0)</f>
        <v>0</v>
      </c>
    </row>
    <row r="158" customFormat="false" ht="15" hidden="false" customHeight="false" outlineLevel="0" collapsed="false">
      <c r="A158" s="26" t="s">
        <v>261</v>
      </c>
      <c r="B158" s="26" t="s">
        <v>47</v>
      </c>
      <c r="C158" s="26" t="s">
        <v>108</v>
      </c>
      <c r="D158" s="26" t="s">
        <v>101</v>
      </c>
      <c r="E158" s="27" t="n">
        <v>43111</v>
      </c>
      <c r="F158" s="27"/>
      <c r="G158" s="26"/>
      <c r="H158" s="28" t="n">
        <v>60000</v>
      </c>
      <c r="I158" s="26" t="n">
        <v>7</v>
      </c>
      <c r="J158" s="26" t="n">
        <v>4</v>
      </c>
      <c r="K158" s="13" t="str">
        <f aca="false">IF(F158="","Active","Left")</f>
        <v>Active</v>
      </c>
      <c r="L158" s="16" t="n">
        <f aca="false">ROUND((IF(F158="",Assumptions!$B$5,F158)-E158)/365.25,1)</f>
        <v>8.7</v>
      </c>
      <c r="M158" s="13" t="str">
        <f aca="false">IF(L158&lt;1,"Under 1 yr",IF(L158&lt;3,"1 to 3 yrs",IF(L158&lt;5,"3 to 5 yrs","5+ yrs")))</f>
        <v>5+ yrs</v>
      </c>
      <c r="N158" s="14" t="n">
        <f aca="false">H158*12</f>
        <v>720000</v>
      </c>
      <c r="O158" s="13" t="n">
        <f aca="false">IF(AND(E158&lt;Assumptions!$B$6,OR(F158="",F158&gt;=Assumptions!$B$6)),1,0)</f>
        <v>1</v>
      </c>
      <c r="P158" s="13" t="n">
        <f aca="false">IF(F158="",0,IF(AND(F158&gt;=Assumptions!$B$6,F158&lt;=Assumptions!$B$5),1,0))</f>
        <v>0</v>
      </c>
      <c r="Q158" s="14" t="n">
        <f aca="false">P158*N158*Assumptions!$B$7</f>
        <v>0</v>
      </c>
      <c r="R158" s="13" t="n">
        <f aca="false">IF(AND(P158=1,J158&gt;=Assumptions!$B$10),1,0)</f>
        <v>0</v>
      </c>
    </row>
    <row r="159" customFormat="false" ht="15" hidden="false" customHeight="false" outlineLevel="0" collapsed="false">
      <c r="A159" s="26" t="s">
        <v>262</v>
      </c>
      <c r="B159" s="26" t="s">
        <v>48</v>
      </c>
      <c r="C159" s="26" t="s">
        <v>108</v>
      </c>
      <c r="D159" s="26" t="s">
        <v>105</v>
      </c>
      <c r="E159" s="27" t="n">
        <v>42214</v>
      </c>
      <c r="F159" s="27"/>
      <c r="G159" s="26"/>
      <c r="H159" s="28" t="n">
        <v>65000</v>
      </c>
      <c r="I159" s="26" t="n">
        <v>0</v>
      </c>
      <c r="J159" s="26" t="n">
        <v>3</v>
      </c>
      <c r="K159" s="13" t="str">
        <f aca="false">IF(F159="","Active","Left")</f>
        <v>Active</v>
      </c>
      <c r="L159" s="16" t="n">
        <f aca="false">ROUND((IF(F159="",Assumptions!$B$5,F159)-E159)/365.25,1)</f>
        <v>11.2</v>
      </c>
      <c r="M159" s="13" t="str">
        <f aca="false">IF(L159&lt;1,"Under 1 yr",IF(L159&lt;3,"1 to 3 yrs",IF(L159&lt;5,"3 to 5 yrs","5+ yrs")))</f>
        <v>5+ yrs</v>
      </c>
      <c r="N159" s="14" t="n">
        <f aca="false">H159*12</f>
        <v>780000</v>
      </c>
      <c r="O159" s="13" t="n">
        <f aca="false">IF(AND(E159&lt;Assumptions!$B$6,OR(F159="",F159&gt;=Assumptions!$B$6)),1,0)</f>
        <v>1</v>
      </c>
      <c r="P159" s="13" t="n">
        <f aca="false">IF(F159="",0,IF(AND(F159&gt;=Assumptions!$B$6,F159&lt;=Assumptions!$B$5),1,0))</f>
        <v>0</v>
      </c>
      <c r="Q159" s="14" t="n">
        <f aca="false">P159*N159*Assumptions!$B$7</f>
        <v>0</v>
      </c>
      <c r="R159" s="13" t="n">
        <f aca="false">IF(AND(P159=1,J159&gt;=Assumptions!$B$10),1,0)</f>
        <v>0</v>
      </c>
    </row>
    <row r="160" customFormat="false" ht="15" hidden="false" customHeight="false" outlineLevel="0" collapsed="false">
      <c r="A160" s="26" t="s">
        <v>263</v>
      </c>
      <c r="B160" s="26" t="s">
        <v>45</v>
      </c>
      <c r="C160" s="26" t="s">
        <v>100</v>
      </c>
      <c r="D160" s="26" t="s">
        <v>101</v>
      </c>
      <c r="E160" s="27" t="n">
        <v>44466</v>
      </c>
      <c r="F160" s="27"/>
      <c r="G160" s="26"/>
      <c r="H160" s="28" t="n">
        <v>53000</v>
      </c>
      <c r="I160" s="26" t="n">
        <v>6</v>
      </c>
      <c r="J160" s="26" t="n">
        <v>3</v>
      </c>
      <c r="K160" s="13" t="str">
        <f aca="false">IF(F160="","Active","Left")</f>
        <v>Active</v>
      </c>
      <c r="L160" s="16" t="n">
        <f aca="false">ROUND((IF(F160="",Assumptions!$B$5,F160)-E160)/365.25,1)</f>
        <v>5</v>
      </c>
      <c r="M160" s="13" t="str">
        <f aca="false">IF(L160&lt;1,"Under 1 yr",IF(L160&lt;3,"1 to 3 yrs",IF(L160&lt;5,"3 to 5 yrs","5+ yrs")))</f>
        <v>5+ yrs</v>
      </c>
      <c r="N160" s="14" t="n">
        <f aca="false">H160*12</f>
        <v>636000</v>
      </c>
      <c r="O160" s="13" t="n">
        <f aca="false">IF(AND(E160&lt;Assumptions!$B$6,OR(F160="",F160&gt;=Assumptions!$B$6)),1,0)</f>
        <v>1</v>
      </c>
      <c r="P160" s="13" t="n">
        <f aca="false">IF(F160="",0,IF(AND(F160&gt;=Assumptions!$B$6,F160&lt;=Assumptions!$B$5),1,0))</f>
        <v>0</v>
      </c>
      <c r="Q160" s="14" t="n">
        <f aca="false">P160*N160*Assumptions!$B$7</f>
        <v>0</v>
      </c>
      <c r="R160" s="13" t="n">
        <f aca="false">IF(AND(P160=1,J160&gt;=Assumptions!$B$10),1,0)</f>
        <v>0</v>
      </c>
    </row>
    <row r="161" customFormat="false" ht="15" hidden="false" customHeight="false" outlineLevel="0" collapsed="false">
      <c r="A161" s="26" t="s">
        <v>264</v>
      </c>
      <c r="B161" s="26" t="s">
        <v>50</v>
      </c>
      <c r="C161" s="26" t="s">
        <v>100</v>
      </c>
      <c r="D161" s="26" t="s">
        <v>101</v>
      </c>
      <c r="E161" s="27" t="n">
        <v>45824</v>
      </c>
      <c r="F161" s="27" t="n">
        <v>46204</v>
      </c>
      <c r="G161" s="26" t="s">
        <v>62</v>
      </c>
      <c r="H161" s="28" t="n">
        <v>46000</v>
      </c>
      <c r="I161" s="26" t="n">
        <v>8</v>
      </c>
      <c r="J161" s="26" t="n">
        <v>2</v>
      </c>
      <c r="K161" s="13" t="str">
        <f aca="false">IF(F161="","Active","Left")</f>
        <v>Left</v>
      </c>
      <c r="L161" s="16" t="n">
        <f aca="false">ROUND((IF(F161="",Assumptions!$B$5,F161)-E161)/365.25,1)</f>
        <v>1</v>
      </c>
      <c r="M161" s="13" t="str">
        <f aca="false">IF(L161&lt;1,"Under 1 yr",IF(L161&lt;3,"1 to 3 yrs",IF(L161&lt;5,"3 to 5 yrs","5+ yrs")))</f>
        <v>1 to 3 yrs</v>
      </c>
      <c r="N161" s="14" t="n">
        <f aca="false">H161*12</f>
        <v>552000</v>
      </c>
      <c r="O161" s="13" t="n">
        <f aca="false">IF(AND(E161&lt;Assumptions!$B$6,OR(F161="",F161&gt;=Assumptions!$B$6)),1,0)</f>
        <v>1</v>
      </c>
      <c r="P161" s="13" t="n">
        <f aca="false">IF(F161="",0,IF(AND(F161&gt;=Assumptions!$B$6,F161&lt;=Assumptions!$B$5),1,0))</f>
        <v>1</v>
      </c>
      <c r="Q161" s="14" t="n">
        <f aca="false">P161*N161*Assumptions!$B$7</f>
        <v>276000</v>
      </c>
      <c r="R161" s="13" t="n">
        <f aca="false">IF(AND(P161=1,J161&gt;=Assumptions!$B$10),1,0)</f>
        <v>0</v>
      </c>
    </row>
    <row r="162" customFormat="false" ht="15" hidden="false" customHeight="false" outlineLevel="0" collapsed="false">
      <c r="A162" s="26" t="s">
        <v>265</v>
      </c>
      <c r="B162" s="26" t="s">
        <v>50</v>
      </c>
      <c r="C162" s="26" t="s">
        <v>100</v>
      </c>
      <c r="D162" s="26" t="s">
        <v>105</v>
      </c>
      <c r="E162" s="27" t="n">
        <v>43458</v>
      </c>
      <c r="F162" s="27" t="n">
        <v>46068</v>
      </c>
      <c r="G162" s="26" t="s">
        <v>63</v>
      </c>
      <c r="H162" s="28" t="n">
        <v>51000</v>
      </c>
      <c r="I162" s="26" t="n">
        <v>10</v>
      </c>
      <c r="J162" s="26" t="n">
        <v>3</v>
      </c>
      <c r="K162" s="13" t="str">
        <f aca="false">IF(F162="","Active","Left")</f>
        <v>Left</v>
      </c>
      <c r="L162" s="16" t="n">
        <f aca="false">ROUND((IF(F162="",Assumptions!$B$5,F162)-E162)/365.25,1)</f>
        <v>7.1</v>
      </c>
      <c r="M162" s="13" t="str">
        <f aca="false">IF(L162&lt;1,"Under 1 yr",IF(L162&lt;3,"1 to 3 yrs",IF(L162&lt;5,"3 to 5 yrs","5+ yrs")))</f>
        <v>5+ yrs</v>
      </c>
      <c r="N162" s="14" t="n">
        <f aca="false">H162*12</f>
        <v>612000</v>
      </c>
      <c r="O162" s="13" t="n">
        <f aca="false">IF(AND(E162&lt;Assumptions!$B$6,OR(F162="",F162&gt;=Assumptions!$B$6)),1,0)</f>
        <v>1</v>
      </c>
      <c r="P162" s="13" t="n">
        <f aca="false">IF(F162="",0,IF(AND(F162&gt;=Assumptions!$B$6,F162&lt;=Assumptions!$B$5),1,0))</f>
        <v>1</v>
      </c>
      <c r="Q162" s="14" t="n">
        <f aca="false">P162*N162*Assumptions!$B$7</f>
        <v>306000</v>
      </c>
      <c r="R162" s="13" t="n">
        <f aca="false">IF(AND(P162=1,J162&gt;=Assumptions!$B$10),1,0)</f>
        <v>0</v>
      </c>
    </row>
    <row r="163" customFormat="false" ht="15" hidden="false" customHeight="false" outlineLevel="0" collapsed="false">
      <c r="A163" s="26" t="s">
        <v>266</v>
      </c>
      <c r="B163" s="26" t="s">
        <v>48</v>
      </c>
      <c r="C163" s="26" t="s">
        <v>108</v>
      </c>
      <c r="D163" s="26" t="s">
        <v>101</v>
      </c>
      <c r="E163" s="27" t="n">
        <v>44050</v>
      </c>
      <c r="F163" s="27"/>
      <c r="G163" s="26"/>
      <c r="H163" s="28" t="n">
        <v>76000</v>
      </c>
      <c r="I163" s="26" t="n">
        <v>4</v>
      </c>
      <c r="J163" s="26" t="n">
        <v>5</v>
      </c>
      <c r="K163" s="13" t="str">
        <f aca="false">IF(F163="","Active","Left")</f>
        <v>Active</v>
      </c>
      <c r="L163" s="16" t="n">
        <f aca="false">ROUND((IF(F163="",Assumptions!$B$5,F163)-E163)/365.25,1)</f>
        <v>6.1</v>
      </c>
      <c r="M163" s="13" t="str">
        <f aca="false">IF(L163&lt;1,"Under 1 yr",IF(L163&lt;3,"1 to 3 yrs",IF(L163&lt;5,"3 to 5 yrs","5+ yrs")))</f>
        <v>5+ yrs</v>
      </c>
      <c r="N163" s="14" t="n">
        <f aca="false">H163*12</f>
        <v>912000</v>
      </c>
      <c r="O163" s="13" t="n">
        <f aca="false">IF(AND(E163&lt;Assumptions!$B$6,OR(F163="",F163&gt;=Assumptions!$B$6)),1,0)</f>
        <v>1</v>
      </c>
      <c r="P163" s="13" t="n">
        <f aca="false">IF(F163="",0,IF(AND(F163&gt;=Assumptions!$B$6,F163&lt;=Assumptions!$B$5),1,0))</f>
        <v>0</v>
      </c>
      <c r="Q163" s="14" t="n">
        <f aca="false">P163*N163*Assumptions!$B$7</f>
        <v>0</v>
      </c>
      <c r="R163" s="13" t="n">
        <f aca="false">IF(AND(P163=1,J163&gt;=Assumptions!$B$10),1,0)</f>
        <v>0</v>
      </c>
    </row>
    <row r="164" customFormat="false" ht="15" hidden="false" customHeight="false" outlineLevel="0" collapsed="false">
      <c r="A164" s="26" t="s">
        <v>267</v>
      </c>
      <c r="B164" s="26" t="s">
        <v>46</v>
      </c>
      <c r="C164" s="26" t="s">
        <v>100</v>
      </c>
      <c r="D164" s="26" t="s">
        <v>105</v>
      </c>
      <c r="E164" s="27" t="n">
        <v>42050</v>
      </c>
      <c r="F164" s="27"/>
      <c r="G164" s="26"/>
      <c r="H164" s="28" t="n">
        <v>58000</v>
      </c>
      <c r="I164" s="26" t="n">
        <v>6</v>
      </c>
      <c r="J164" s="26" t="n">
        <v>3</v>
      </c>
      <c r="K164" s="13" t="str">
        <f aca="false">IF(F164="","Active","Left")</f>
        <v>Active</v>
      </c>
      <c r="L164" s="16" t="n">
        <f aca="false">ROUND((IF(F164="",Assumptions!$B$5,F164)-E164)/365.25,1)</f>
        <v>11.6</v>
      </c>
      <c r="M164" s="13" t="str">
        <f aca="false">IF(L164&lt;1,"Under 1 yr",IF(L164&lt;3,"1 to 3 yrs",IF(L164&lt;5,"3 to 5 yrs","5+ yrs")))</f>
        <v>5+ yrs</v>
      </c>
      <c r="N164" s="14" t="n">
        <f aca="false">H164*12</f>
        <v>696000</v>
      </c>
      <c r="O164" s="13" t="n">
        <f aca="false">IF(AND(E164&lt;Assumptions!$B$6,OR(F164="",F164&gt;=Assumptions!$B$6)),1,0)</f>
        <v>1</v>
      </c>
      <c r="P164" s="13" t="n">
        <f aca="false">IF(F164="",0,IF(AND(F164&gt;=Assumptions!$B$6,F164&lt;=Assumptions!$B$5),1,0))</f>
        <v>0</v>
      </c>
      <c r="Q164" s="14" t="n">
        <f aca="false">P164*N164*Assumptions!$B$7</f>
        <v>0</v>
      </c>
      <c r="R164" s="13" t="n">
        <f aca="false">IF(AND(P164=1,J164&gt;=Assumptions!$B$10),1,0)</f>
        <v>0</v>
      </c>
    </row>
    <row r="165" customFormat="false" ht="15" hidden="false" customHeight="false" outlineLevel="0" collapsed="false">
      <c r="A165" s="26" t="s">
        <v>268</v>
      </c>
      <c r="B165" s="26" t="s">
        <v>49</v>
      </c>
      <c r="C165" s="26" t="s">
        <v>100</v>
      </c>
      <c r="D165" s="26" t="s">
        <v>105</v>
      </c>
      <c r="E165" s="27" t="n">
        <v>44326</v>
      </c>
      <c r="F165" s="27"/>
      <c r="G165" s="26"/>
      <c r="H165" s="28" t="n">
        <v>37000</v>
      </c>
      <c r="I165" s="26" t="n">
        <v>3</v>
      </c>
      <c r="J165" s="26" t="n">
        <v>2</v>
      </c>
      <c r="K165" s="13" t="str">
        <f aca="false">IF(F165="","Active","Left")</f>
        <v>Active</v>
      </c>
      <c r="L165" s="16" t="n">
        <f aca="false">ROUND((IF(F165="",Assumptions!$B$5,F165)-E165)/365.25,1)</f>
        <v>5.4</v>
      </c>
      <c r="M165" s="13" t="str">
        <f aca="false">IF(L165&lt;1,"Under 1 yr",IF(L165&lt;3,"1 to 3 yrs",IF(L165&lt;5,"3 to 5 yrs","5+ yrs")))</f>
        <v>5+ yrs</v>
      </c>
      <c r="N165" s="14" t="n">
        <f aca="false">H165*12</f>
        <v>444000</v>
      </c>
      <c r="O165" s="13" t="n">
        <f aca="false">IF(AND(E165&lt;Assumptions!$B$6,OR(F165="",F165&gt;=Assumptions!$B$6)),1,0)</f>
        <v>1</v>
      </c>
      <c r="P165" s="13" t="n">
        <f aca="false">IF(F165="",0,IF(AND(F165&gt;=Assumptions!$B$6,F165&lt;=Assumptions!$B$5),1,0))</f>
        <v>0</v>
      </c>
      <c r="Q165" s="14" t="n">
        <f aca="false">P165*N165*Assumptions!$B$7</f>
        <v>0</v>
      </c>
      <c r="R165" s="13" t="n">
        <f aca="false">IF(AND(P165=1,J165&gt;=Assumptions!$B$10),1,0)</f>
        <v>0</v>
      </c>
    </row>
    <row r="166" customFormat="false" ht="15" hidden="false" customHeight="false" outlineLevel="0" collapsed="false">
      <c r="A166" s="26" t="s">
        <v>269</v>
      </c>
      <c r="B166" s="26" t="s">
        <v>45</v>
      </c>
      <c r="C166" s="26" t="s">
        <v>125</v>
      </c>
      <c r="D166" s="26" t="s">
        <v>105</v>
      </c>
      <c r="E166" s="27" t="n">
        <v>44192</v>
      </c>
      <c r="F166" s="27"/>
      <c r="G166" s="26"/>
      <c r="H166" s="28" t="n">
        <v>248000</v>
      </c>
      <c r="I166" s="26" t="n">
        <v>8</v>
      </c>
      <c r="J166" s="26" t="n">
        <v>3</v>
      </c>
      <c r="K166" s="13" t="str">
        <f aca="false">IF(F166="","Active","Left")</f>
        <v>Active</v>
      </c>
      <c r="L166" s="16" t="n">
        <f aca="false">ROUND((IF(F166="",Assumptions!$B$5,F166)-E166)/365.25,1)</f>
        <v>5.8</v>
      </c>
      <c r="M166" s="13" t="str">
        <f aca="false">IF(L166&lt;1,"Under 1 yr",IF(L166&lt;3,"1 to 3 yrs",IF(L166&lt;5,"3 to 5 yrs","5+ yrs")))</f>
        <v>5+ yrs</v>
      </c>
      <c r="N166" s="14" t="n">
        <f aca="false">H166*12</f>
        <v>2976000</v>
      </c>
      <c r="O166" s="13" t="n">
        <f aca="false">IF(AND(E166&lt;Assumptions!$B$6,OR(F166="",F166&gt;=Assumptions!$B$6)),1,0)</f>
        <v>1</v>
      </c>
      <c r="P166" s="13" t="n">
        <f aca="false">IF(F166="",0,IF(AND(F166&gt;=Assumptions!$B$6,F166&lt;=Assumptions!$B$5),1,0))</f>
        <v>0</v>
      </c>
      <c r="Q166" s="14" t="n">
        <f aca="false">P166*N166*Assumptions!$B$7</f>
        <v>0</v>
      </c>
      <c r="R166" s="13" t="n">
        <f aca="false">IF(AND(P166=1,J166&gt;=Assumptions!$B$10),1,0)</f>
        <v>0</v>
      </c>
    </row>
    <row r="167" customFormat="false" ht="15" hidden="false" customHeight="false" outlineLevel="0" collapsed="false">
      <c r="A167" s="26" t="s">
        <v>270</v>
      </c>
      <c r="B167" s="26" t="s">
        <v>48</v>
      </c>
      <c r="C167" s="26" t="s">
        <v>108</v>
      </c>
      <c r="D167" s="26" t="s">
        <v>105</v>
      </c>
      <c r="E167" s="27" t="n">
        <v>43227</v>
      </c>
      <c r="F167" s="27" t="n">
        <v>46010</v>
      </c>
      <c r="G167" s="26" t="s">
        <v>62</v>
      </c>
      <c r="H167" s="28" t="n">
        <v>80000</v>
      </c>
      <c r="I167" s="26" t="n">
        <v>8</v>
      </c>
      <c r="J167" s="26" t="n">
        <v>2</v>
      </c>
      <c r="K167" s="13" t="str">
        <f aca="false">IF(F167="","Active","Left")</f>
        <v>Left</v>
      </c>
      <c r="L167" s="16" t="n">
        <f aca="false">ROUND((IF(F167="",Assumptions!$B$5,F167)-E167)/365.25,1)</f>
        <v>7.6</v>
      </c>
      <c r="M167" s="13" t="str">
        <f aca="false">IF(L167&lt;1,"Under 1 yr",IF(L167&lt;3,"1 to 3 yrs",IF(L167&lt;5,"3 to 5 yrs","5+ yrs")))</f>
        <v>5+ yrs</v>
      </c>
      <c r="N167" s="14" t="n">
        <f aca="false">H167*12</f>
        <v>960000</v>
      </c>
      <c r="O167" s="13" t="n">
        <f aca="false">IF(AND(E167&lt;Assumptions!$B$6,OR(F167="",F167&gt;=Assumptions!$B$6)),1,0)</f>
        <v>1</v>
      </c>
      <c r="P167" s="13" t="n">
        <f aca="false">IF(F167="",0,IF(AND(F167&gt;=Assumptions!$B$6,F167&lt;=Assumptions!$B$5),1,0))</f>
        <v>1</v>
      </c>
      <c r="Q167" s="14" t="n">
        <f aca="false">P167*N167*Assumptions!$B$7</f>
        <v>480000</v>
      </c>
      <c r="R167" s="13" t="n">
        <f aca="false">IF(AND(P167=1,J167&gt;=Assumptions!$B$10),1,0)</f>
        <v>0</v>
      </c>
    </row>
    <row r="168" customFormat="false" ht="15" hidden="false" customHeight="false" outlineLevel="0" collapsed="false">
      <c r="A168" s="26" t="s">
        <v>271</v>
      </c>
      <c r="B168" s="26" t="s">
        <v>47</v>
      </c>
      <c r="C168" s="26" t="s">
        <v>104</v>
      </c>
      <c r="D168" s="26" t="s">
        <v>105</v>
      </c>
      <c r="E168" s="27" t="n">
        <v>43602</v>
      </c>
      <c r="F168" s="27"/>
      <c r="G168" s="26"/>
      <c r="H168" s="28" t="n">
        <v>117000</v>
      </c>
      <c r="I168" s="26" t="n">
        <v>0</v>
      </c>
      <c r="J168" s="26" t="n">
        <v>5</v>
      </c>
      <c r="K168" s="13" t="str">
        <f aca="false">IF(F168="","Active","Left")</f>
        <v>Active</v>
      </c>
      <c r="L168" s="16" t="n">
        <f aca="false">ROUND((IF(F168="",Assumptions!$B$5,F168)-E168)/365.25,1)</f>
        <v>7.4</v>
      </c>
      <c r="M168" s="13" t="str">
        <f aca="false">IF(L168&lt;1,"Under 1 yr",IF(L168&lt;3,"1 to 3 yrs",IF(L168&lt;5,"3 to 5 yrs","5+ yrs")))</f>
        <v>5+ yrs</v>
      </c>
      <c r="N168" s="14" t="n">
        <f aca="false">H168*12</f>
        <v>1404000</v>
      </c>
      <c r="O168" s="13" t="n">
        <f aca="false">IF(AND(E168&lt;Assumptions!$B$6,OR(F168="",F168&gt;=Assumptions!$B$6)),1,0)</f>
        <v>1</v>
      </c>
      <c r="P168" s="13" t="n">
        <f aca="false">IF(F168="",0,IF(AND(F168&gt;=Assumptions!$B$6,F168&lt;=Assumptions!$B$5),1,0))</f>
        <v>0</v>
      </c>
      <c r="Q168" s="14" t="n">
        <f aca="false">P168*N168*Assumptions!$B$7</f>
        <v>0</v>
      </c>
      <c r="R168" s="13" t="n">
        <f aca="false">IF(AND(P168=1,J168&gt;=Assumptions!$B$10),1,0)</f>
        <v>0</v>
      </c>
    </row>
    <row r="169" customFormat="false" ht="15" hidden="false" customHeight="false" outlineLevel="0" collapsed="false">
      <c r="A169" s="26" t="s">
        <v>272</v>
      </c>
      <c r="B169" s="26" t="s">
        <v>50</v>
      </c>
      <c r="C169" s="26" t="s">
        <v>104</v>
      </c>
      <c r="D169" s="26" t="s">
        <v>101</v>
      </c>
      <c r="E169" s="27" t="n">
        <v>42868</v>
      </c>
      <c r="F169" s="27" t="n">
        <v>46175</v>
      </c>
      <c r="G169" s="26" t="s">
        <v>62</v>
      </c>
      <c r="H169" s="28" t="n">
        <v>139000</v>
      </c>
      <c r="I169" s="26" t="n">
        <v>9</v>
      </c>
      <c r="J169" s="26" t="n">
        <v>3</v>
      </c>
      <c r="K169" s="13" t="str">
        <f aca="false">IF(F169="","Active","Left")</f>
        <v>Left</v>
      </c>
      <c r="L169" s="16" t="n">
        <f aca="false">ROUND((IF(F169="",Assumptions!$B$5,F169)-E169)/365.25,1)</f>
        <v>9.1</v>
      </c>
      <c r="M169" s="13" t="str">
        <f aca="false">IF(L169&lt;1,"Under 1 yr",IF(L169&lt;3,"1 to 3 yrs",IF(L169&lt;5,"3 to 5 yrs","5+ yrs")))</f>
        <v>5+ yrs</v>
      </c>
      <c r="N169" s="14" t="n">
        <f aca="false">H169*12</f>
        <v>1668000</v>
      </c>
      <c r="O169" s="13" t="n">
        <f aca="false">IF(AND(E169&lt;Assumptions!$B$6,OR(F169="",F169&gt;=Assumptions!$B$6)),1,0)</f>
        <v>1</v>
      </c>
      <c r="P169" s="13" t="n">
        <f aca="false">IF(F169="",0,IF(AND(F169&gt;=Assumptions!$B$6,F169&lt;=Assumptions!$B$5),1,0))</f>
        <v>1</v>
      </c>
      <c r="Q169" s="14" t="n">
        <f aca="false">P169*N169*Assumptions!$B$7</f>
        <v>834000</v>
      </c>
      <c r="R169" s="13" t="n">
        <f aca="false">IF(AND(P169=1,J169&gt;=Assumptions!$B$10),1,0)</f>
        <v>0</v>
      </c>
    </row>
    <row r="170" customFormat="false" ht="15" hidden="false" customHeight="false" outlineLevel="0" collapsed="false">
      <c r="A170" s="26" t="s">
        <v>273</v>
      </c>
      <c r="B170" s="26" t="s">
        <v>46</v>
      </c>
      <c r="C170" s="26" t="s">
        <v>104</v>
      </c>
      <c r="D170" s="26" t="s">
        <v>101</v>
      </c>
      <c r="E170" s="27" t="n">
        <v>43365</v>
      </c>
      <c r="F170" s="27"/>
      <c r="G170" s="26"/>
      <c r="H170" s="28" t="n">
        <v>134000</v>
      </c>
      <c r="I170" s="26" t="n">
        <v>2</v>
      </c>
      <c r="J170" s="26" t="n">
        <v>4</v>
      </c>
      <c r="K170" s="13" t="str">
        <f aca="false">IF(F170="","Active","Left")</f>
        <v>Active</v>
      </c>
      <c r="L170" s="16" t="n">
        <f aca="false">ROUND((IF(F170="",Assumptions!$B$5,F170)-E170)/365.25,1)</f>
        <v>8</v>
      </c>
      <c r="M170" s="13" t="str">
        <f aca="false">IF(L170&lt;1,"Under 1 yr",IF(L170&lt;3,"1 to 3 yrs",IF(L170&lt;5,"3 to 5 yrs","5+ yrs")))</f>
        <v>5+ yrs</v>
      </c>
      <c r="N170" s="14" t="n">
        <f aca="false">H170*12</f>
        <v>1608000</v>
      </c>
      <c r="O170" s="13" t="n">
        <f aca="false">IF(AND(E170&lt;Assumptions!$B$6,OR(F170="",F170&gt;=Assumptions!$B$6)),1,0)</f>
        <v>1</v>
      </c>
      <c r="P170" s="13" t="n">
        <f aca="false">IF(F170="",0,IF(AND(F170&gt;=Assumptions!$B$6,F170&lt;=Assumptions!$B$5),1,0))</f>
        <v>0</v>
      </c>
      <c r="Q170" s="14" t="n">
        <f aca="false">P170*N170*Assumptions!$B$7</f>
        <v>0</v>
      </c>
      <c r="R170" s="13" t="n">
        <f aca="false">IF(AND(P170=1,J170&gt;=Assumptions!$B$10),1,0)</f>
        <v>0</v>
      </c>
    </row>
    <row r="171" customFormat="false" ht="15" hidden="false" customHeight="false" outlineLevel="0" collapsed="false">
      <c r="A171" s="26" t="s">
        <v>274</v>
      </c>
      <c r="B171" s="26" t="s">
        <v>45</v>
      </c>
      <c r="C171" s="26" t="s">
        <v>108</v>
      </c>
      <c r="D171" s="26" t="s">
        <v>105</v>
      </c>
      <c r="E171" s="27" t="n">
        <v>45092</v>
      </c>
      <c r="F171" s="27"/>
      <c r="G171" s="26"/>
      <c r="H171" s="28" t="n">
        <v>67000</v>
      </c>
      <c r="I171" s="26" t="n">
        <v>2</v>
      </c>
      <c r="J171" s="26" t="n">
        <v>4</v>
      </c>
      <c r="K171" s="13" t="str">
        <f aca="false">IF(F171="","Active","Left")</f>
        <v>Active</v>
      </c>
      <c r="L171" s="16" t="n">
        <f aca="false">ROUND((IF(F171="",Assumptions!$B$5,F171)-E171)/365.25,1)</f>
        <v>3.3</v>
      </c>
      <c r="M171" s="13" t="str">
        <f aca="false">IF(L171&lt;1,"Under 1 yr",IF(L171&lt;3,"1 to 3 yrs",IF(L171&lt;5,"3 to 5 yrs","5+ yrs")))</f>
        <v>3 to 5 yrs</v>
      </c>
      <c r="N171" s="14" t="n">
        <f aca="false">H171*12</f>
        <v>804000</v>
      </c>
      <c r="O171" s="13" t="n">
        <f aca="false">IF(AND(E171&lt;Assumptions!$B$6,OR(F171="",F171&gt;=Assumptions!$B$6)),1,0)</f>
        <v>1</v>
      </c>
      <c r="P171" s="13" t="n">
        <f aca="false">IF(F171="",0,IF(AND(F171&gt;=Assumptions!$B$6,F171&lt;=Assumptions!$B$5),1,0))</f>
        <v>0</v>
      </c>
      <c r="Q171" s="14" t="n">
        <f aca="false">P171*N171*Assumptions!$B$7</f>
        <v>0</v>
      </c>
      <c r="R171" s="13" t="n">
        <f aca="false">IF(AND(P171=1,J171&gt;=Assumptions!$B$10),1,0)</f>
        <v>0</v>
      </c>
    </row>
    <row r="172" customFormat="false" ht="15" hidden="false" customHeight="false" outlineLevel="0" collapsed="false">
      <c r="A172" s="26" t="s">
        <v>275</v>
      </c>
      <c r="B172" s="26" t="s">
        <v>45</v>
      </c>
      <c r="C172" s="26" t="s">
        <v>108</v>
      </c>
      <c r="D172" s="26" t="s">
        <v>105</v>
      </c>
      <c r="E172" s="27" t="n">
        <v>44448</v>
      </c>
      <c r="F172" s="27"/>
      <c r="G172" s="26"/>
      <c r="H172" s="28" t="n">
        <v>64000</v>
      </c>
      <c r="I172" s="26" t="n">
        <v>3</v>
      </c>
      <c r="J172" s="26" t="n">
        <v>5</v>
      </c>
      <c r="K172" s="13" t="str">
        <f aca="false">IF(F172="","Active","Left")</f>
        <v>Active</v>
      </c>
      <c r="L172" s="16" t="n">
        <f aca="false">ROUND((IF(F172="",Assumptions!$B$5,F172)-E172)/365.25,1)</f>
        <v>5.1</v>
      </c>
      <c r="M172" s="13" t="str">
        <f aca="false">IF(L172&lt;1,"Under 1 yr",IF(L172&lt;3,"1 to 3 yrs",IF(L172&lt;5,"3 to 5 yrs","5+ yrs")))</f>
        <v>5+ yrs</v>
      </c>
      <c r="N172" s="14" t="n">
        <f aca="false">H172*12</f>
        <v>768000</v>
      </c>
      <c r="O172" s="13" t="n">
        <f aca="false">IF(AND(E172&lt;Assumptions!$B$6,OR(F172="",F172&gt;=Assumptions!$B$6)),1,0)</f>
        <v>1</v>
      </c>
      <c r="P172" s="13" t="n">
        <f aca="false">IF(F172="",0,IF(AND(F172&gt;=Assumptions!$B$6,F172&lt;=Assumptions!$B$5),1,0))</f>
        <v>0</v>
      </c>
      <c r="Q172" s="14" t="n">
        <f aca="false">P172*N172*Assumptions!$B$7</f>
        <v>0</v>
      </c>
      <c r="R172" s="13" t="n">
        <f aca="false">IF(AND(P172=1,J172&gt;=Assumptions!$B$10),1,0)</f>
        <v>0</v>
      </c>
    </row>
    <row r="173" customFormat="false" ht="15" hidden="false" customHeight="false" outlineLevel="0" collapsed="false">
      <c r="A173" s="26" t="s">
        <v>276</v>
      </c>
      <c r="B173" s="26" t="s">
        <v>48</v>
      </c>
      <c r="C173" s="26" t="s">
        <v>104</v>
      </c>
      <c r="D173" s="26" t="s">
        <v>101</v>
      </c>
      <c r="E173" s="27" t="n">
        <v>45747</v>
      </c>
      <c r="F173" s="27"/>
      <c r="G173" s="26"/>
      <c r="H173" s="28" t="n">
        <v>166000</v>
      </c>
      <c r="I173" s="26" t="n">
        <v>5</v>
      </c>
      <c r="J173" s="26" t="n">
        <v>4</v>
      </c>
      <c r="K173" s="13" t="str">
        <f aca="false">IF(F173="","Active","Left")</f>
        <v>Active</v>
      </c>
      <c r="L173" s="16" t="n">
        <f aca="false">ROUND((IF(F173="",Assumptions!$B$5,F173)-E173)/365.25,1)</f>
        <v>1.5</v>
      </c>
      <c r="M173" s="13" t="str">
        <f aca="false">IF(L173&lt;1,"Under 1 yr",IF(L173&lt;3,"1 to 3 yrs",IF(L173&lt;5,"3 to 5 yrs","5+ yrs")))</f>
        <v>1 to 3 yrs</v>
      </c>
      <c r="N173" s="14" t="n">
        <f aca="false">H173*12</f>
        <v>1992000</v>
      </c>
      <c r="O173" s="13" t="n">
        <f aca="false">IF(AND(E173&lt;Assumptions!$B$6,OR(F173="",F173&gt;=Assumptions!$B$6)),1,0)</f>
        <v>1</v>
      </c>
      <c r="P173" s="13" t="n">
        <f aca="false">IF(F173="",0,IF(AND(F173&gt;=Assumptions!$B$6,F173&lt;=Assumptions!$B$5),1,0))</f>
        <v>0</v>
      </c>
      <c r="Q173" s="14" t="n">
        <f aca="false">P173*N173*Assumptions!$B$7</f>
        <v>0</v>
      </c>
      <c r="R173" s="13" t="n">
        <f aca="false">IF(AND(P173=1,J173&gt;=Assumptions!$B$10),1,0)</f>
        <v>0</v>
      </c>
    </row>
    <row r="174" customFormat="false" ht="15" hidden="false" customHeight="false" outlineLevel="0" collapsed="false">
      <c r="A174" s="26" t="s">
        <v>277</v>
      </c>
      <c r="B174" s="26" t="s">
        <v>45</v>
      </c>
      <c r="C174" s="26" t="s">
        <v>125</v>
      </c>
      <c r="D174" s="26" t="s">
        <v>101</v>
      </c>
      <c r="E174" s="27" t="n">
        <v>43667</v>
      </c>
      <c r="F174" s="27" t="n">
        <v>46082</v>
      </c>
      <c r="G174" s="26" t="s">
        <v>62</v>
      </c>
      <c r="H174" s="28" t="n">
        <v>216000</v>
      </c>
      <c r="I174" s="26" t="n">
        <v>6</v>
      </c>
      <c r="J174" s="26" t="n">
        <v>4</v>
      </c>
      <c r="K174" s="13" t="str">
        <f aca="false">IF(F174="","Active","Left")</f>
        <v>Left</v>
      </c>
      <c r="L174" s="16" t="n">
        <f aca="false">ROUND((IF(F174="",Assumptions!$B$5,F174)-E174)/365.25,1)</f>
        <v>6.6</v>
      </c>
      <c r="M174" s="13" t="str">
        <f aca="false">IF(L174&lt;1,"Under 1 yr",IF(L174&lt;3,"1 to 3 yrs",IF(L174&lt;5,"3 to 5 yrs","5+ yrs")))</f>
        <v>5+ yrs</v>
      </c>
      <c r="N174" s="14" t="n">
        <f aca="false">H174*12</f>
        <v>2592000</v>
      </c>
      <c r="O174" s="13" t="n">
        <f aca="false">IF(AND(E174&lt;Assumptions!$B$6,OR(F174="",F174&gt;=Assumptions!$B$6)),1,0)</f>
        <v>1</v>
      </c>
      <c r="P174" s="13" t="n">
        <f aca="false">IF(F174="",0,IF(AND(F174&gt;=Assumptions!$B$6,F174&lt;=Assumptions!$B$5),1,0))</f>
        <v>1</v>
      </c>
      <c r="Q174" s="14" t="n">
        <f aca="false">P174*N174*Assumptions!$B$7</f>
        <v>1296000</v>
      </c>
      <c r="R174" s="13" t="n">
        <f aca="false">IF(AND(P174=1,J174&gt;=Assumptions!$B$10),1,0)</f>
        <v>1</v>
      </c>
    </row>
    <row r="175" customFormat="false" ht="15" hidden="false" customHeight="false" outlineLevel="0" collapsed="false">
      <c r="A175" s="26" t="s">
        <v>278</v>
      </c>
      <c r="B175" s="26" t="s">
        <v>45</v>
      </c>
      <c r="C175" s="26" t="s">
        <v>100</v>
      </c>
      <c r="D175" s="26" t="s">
        <v>105</v>
      </c>
      <c r="E175" s="27" t="n">
        <v>45980</v>
      </c>
      <c r="F175" s="27"/>
      <c r="G175" s="26"/>
      <c r="H175" s="28" t="n">
        <v>55000</v>
      </c>
      <c r="I175" s="26" t="n">
        <v>7</v>
      </c>
      <c r="J175" s="26" t="n">
        <v>3</v>
      </c>
      <c r="K175" s="13" t="str">
        <f aca="false">IF(F175="","Active","Left")</f>
        <v>Active</v>
      </c>
      <c r="L175" s="16" t="n">
        <f aca="false">ROUND((IF(F175="",Assumptions!$B$5,F175)-E175)/365.25,1)</f>
        <v>0.9</v>
      </c>
      <c r="M175" s="13" t="str">
        <f aca="false">IF(L175&lt;1,"Under 1 yr",IF(L175&lt;3,"1 to 3 yrs",IF(L175&lt;5,"3 to 5 yrs","5+ yrs")))</f>
        <v>Under 1 yr</v>
      </c>
      <c r="N175" s="14" t="n">
        <f aca="false">H175*12</f>
        <v>660000</v>
      </c>
      <c r="O175" s="13" t="n">
        <f aca="false">IF(AND(E175&lt;Assumptions!$B$6,OR(F175="",F175&gt;=Assumptions!$B$6)),1,0)</f>
        <v>0</v>
      </c>
      <c r="P175" s="13" t="n">
        <f aca="false">IF(F175="",0,IF(AND(F175&gt;=Assumptions!$B$6,F175&lt;=Assumptions!$B$5),1,0))</f>
        <v>0</v>
      </c>
      <c r="Q175" s="14" t="n">
        <f aca="false">P175*N175*Assumptions!$B$7</f>
        <v>0</v>
      </c>
      <c r="R175" s="13" t="n">
        <f aca="false">IF(AND(P175=1,J175&gt;=Assumptions!$B$10),1,0)</f>
        <v>0</v>
      </c>
    </row>
    <row r="176" customFormat="false" ht="15" hidden="false" customHeight="false" outlineLevel="0" collapsed="false">
      <c r="A176" s="26" t="s">
        <v>279</v>
      </c>
      <c r="B176" s="26" t="s">
        <v>50</v>
      </c>
      <c r="C176" s="26" t="s">
        <v>100</v>
      </c>
      <c r="D176" s="26" t="s">
        <v>101</v>
      </c>
      <c r="E176" s="27" t="n">
        <v>42047</v>
      </c>
      <c r="F176" s="27"/>
      <c r="G176" s="26"/>
      <c r="H176" s="28" t="n">
        <v>49000</v>
      </c>
      <c r="I176" s="26" t="n">
        <v>6</v>
      </c>
      <c r="J176" s="26" t="n">
        <v>2</v>
      </c>
      <c r="K176" s="13" t="str">
        <f aca="false">IF(F176="","Active","Left")</f>
        <v>Active</v>
      </c>
      <c r="L176" s="16" t="n">
        <f aca="false">ROUND((IF(F176="",Assumptions!$B$5,F176)-E176)/365.25,1)</f>
        <v>11.6</v>
      </c>
      <c r="M176" s="13" t="str">
        <f aca="false">IF(L176&lt;1,"Under 1 yr",IF(L176&lt;3,"1 to 3 yrs",IF(L176&lt;5,"3 to 5 yrs","5+ yrs")))</f>
        <v>5+ yrs</v>
      </c>
      <c r="N176" s="14" t="n">
        <f aca="false">H176*12</f>
        <v>588000</v>
      </c>
      <c r="O176" s="13" t="n">
        <f aca="false">IF(AND(E176&lt;Assumptions!$B$6,OR(F176="",F176&gt;=Assumptions!$B$6)),1,0)</f>
        <v>1</v>
      </c>
      <c r="P176" s="13" t="n">
        <f aca="false">IF(F176="",0,IF(AND(F176&gt;=Assumptions!$B$6,F176&lt;=Assumptions!$B$5),1,0))</f>
        <v>0</v>
      </c>
      <c r="Q176" s="14" t="n">
        <f aca="false">P176*N176*Assumptions!$B$7</f>
        <v>0</v>
      </c>
      <c r="R176" s="13" t="n">
        <f aca="false">IF(AND(P176=1,J176&gt;=Assumptions!$B$10),1,0)</f>
        <v>0</v>
      </c>
    </row>
    <row r="177" customFormat="false" ht="15" hidden="false" customHeight="false" outlineLevel="0" collapsed="false">
      <c r="A177" s="26" t="s">
        <v>280</v>
      </c>
      <c r="B177" s="26" t="s">
        <v>50</v>
      </c>
      <c r="C177" s="26" t="s">
        <v>100</v>
      </c>
      <c r="D177" s="26" t="s">
        <v>101</v>
      </c>
      <c r="E177" s="27" t="n">
        <v>46160</v>
      </c>
      <c r="F177" s="27"/>
      <c r="G177" s="26"/>
      <c r="H177" s="28" t="n">
        <v>44000</v>
      </c>
      <c r="I177" s="26" t="n">
        <v>17</v>
      </c>
      <c r="J177" s="26" t="n">
        <v>1</v>
      </c>
      <c r="K177" s="13" t="str">
        <f aca="false">IF(F177="","Active","Left")</f>
        <v>Active</v>
      </c>
      <c r="L177" s="16" t="n">
        <f aca="false">ROUND((IF(F177="",Assumptions!$B$5,F177)-E177)/365.25,1)</f>
        <v>0.4</v>
      </c>
      <c r="M177" s="13" t="str">
        <f aca="false">IF(L177&lt;1,"Under 1 yr",IF(L177&lt;3,"1 to 3 yrs",IF(L177&lt;5,"3 to 5 yrs","5+ yrs")))</f>
        <v>Under 1 yr</v>
      </c>
      <c r="N177" s="14" t="n">
        <f aca="false">H177*12</f>
        <v>528000</v>
      </c>
      <c r="O177" s="13" t="n">
        <f aca="false">IF(AND(E177&lt;Assumptions!$B$6,OR(F177="",F177&gt;=Assumptions!$B$6)),1,0)</f>
        <v>0</v>
      </c>
      <c r="P177" s="13" t="n">
        <f aca="false">IF(F177="",0,IF(AND(F177&gt;=Assumptions!$B$6,F177&lt;=Assumptions!$B$5),1,0))</f>
        <v>0</v>
      </c>
      <c r="Q177" s="14" t="n">
        <f aca="false">P177*N177*Assumptions!$B$7</f>
        <v>0</v>
      </c>
      <c r="R177" s="13" t="n">
        <f aca="false">IF(AND(P177=1,J177&gt;=Assumptions!$B$10),1,0)</f>
        <v>0</v>
      </c>
    </row>
    <row r="178" customFormat="false" ht="15" hidden="false" customHeight="false" outlineLevel="0" collapsed="false">
      <c r="A178" s="26" t="s">
        <v>281</v>
      </c>
      <c r="B178" s="26" t="s">
        <v>50</v>
      </c>
      <c r="C178" s="26" t="s">
        <v>108</v>
      </c>
      <c r="D178" s="26" t="s">
        <v>105</v>
      </c>
      <c r="E178" s="27" t="n">
        <v>43889</v>
      </c>
      <c r="F178" s="27" t="n">
        <v>45674</v>
      </c>
      <c r="G178" s="26" t="s">
        <v>66</v>
      </c>
      <c r="H178" s="28" t="n">
        <v>83000</v>
      </c>
      <c r="I178" s="26" t="n">
        <v>8</v>
      </c>
      <c r="J178" s="26" t="n">
        <v>2</v>
      </c>
      <c r="K178" s="13" t="str">
        <f aca="false">IF(F178="","Active","Left")</f>
        <v>Left</v>
      </c>
      <c r="L178" s="16" t="n">
        <f aca="false">ROUND((IF(F178="",Assumptions!$B$5,F178)-E178)/365.25,1)</f>
        <v>4.9</v>
      </c>
      <c r="M178" s="13" t="str">
        <f aca="false">IF(L178&lt;1,"Under 1 yr",IF(L178&lt;3,"1 to 3 yrs",IF(L178&lt;5,"3 to 5 yrs","5+ yrs")))</f>
        <v>3 to 5 yrs</v>
      </c>
      <c r="N178" s="14" t="n">
        <f aca="false">H178*12</f>
        <v>996000</v>
      </c>
      <c r="O178" s="13" t="n">
        <f aca="false">IF(AND(E178&lt;Assumptions!$B$6,OR(F178="",F178&gt;=Assumptions!$B$6)),1,0)</f>
        <v>0</v>
      </c>
      <c r="P178" s="13" t="n">
        <f aca="false">IF(F178="",0,IF(AND(F178&gt;=Assumptions!$B$6,F178&lt;=Assumptions!$B$5),1,0))</f>
        <v>0</v>
      </c>
      <c r="Q178" s="14" t="n">
        <f aca="false">P178*N178*Assumptions!$B$7</f>
        <v>0</v>
      </c>
      <c r="R178" s="13" t="n">
        <f aca="false">IF(AND(P178=1,J178&gt;=Assumptions!$B$10),1,0)</f>
        <v>0</v>
      </c>
    </row>
    <row r="179" customFormat="false" ht="15" hidden="false" customHeight="false" outlineLevel="0" collapsed="false">
      <c r="A179" s="26" t="s">
        <v>282</v>
      </c>
      <c r="B179" s="26" t="s">
        <v>50</v>
      </c>
      <c r="C179" s="26" t="s">
        <v>100</v>
      </c>
      <c r="D179" s="26" t="s">
        <v>105</v>
      </c>
      <c r="E179" s="27" t="n">
        <v>43283</v>
      </c>
      <c r="F179" s="27"/>
      <c r="G179" s="26"/>
      <c r="H179" s="28" t="n">
        <v>49000</v>
      </c>
      <c r="I179" s="26" t="n">
        <v>13</v>
      </c>
      <c r="J179" s="26" t="n">
        <v>3</v>
      </c>
      <c r="K179" s="13" t="str">
        <f aca="false">IF(F179="","Active","Left")</f>
        <v>Active</v>
      </c>
      <c r="L179" s="16" t="n">
        <f aca="false">ROUND((IF(F179="",Assumptions!$B$5,F179)-E179)/365.25,1)</f>
        <v>8.2</v>
      </c>
      <c r="M179" s="13" t="str">
        <f aca="false">IF(L179&lt;1,"Under 1 yr",IF(L179&lt;3,"1 to 3 yrs",IF(L179&lt;5,"3 to 5 yrs","5+ yrs")))</f>
        <v>5+ yrs</v>
      </c>
      <c r="N179" s="14" t="n">
        <f aca="false">H179*12</f>
        <v>588000</v>
      </c>
      <c r="O179" s="13" t="n">
        <f aca="false">IF(AND(E179&lt;Assumptions!$B$6,OR(F179="",F179&gt;=Assumptions!$B$6)),1,0)</f>
        <v>1</v>
      </c>
      <c r="P179" s="13" t="n">
        <f aca="false">IF(F179="",0,IF(AND(F179&gt;=Assumptions!$B$6,F179&lt;=Assumptions!$B$5),1,0))</f>
        <v>0</v>
      </c>
      <c r="Q179" s="14" t="n">
        <f aca="false">P179*N179*Assumptions!$B$7</f>
        <v>0</v>
      </c>
      <c r="R179" s="13" t="n">
        <f aca="false">IF(AND(P179=1,J179&gt;=Assumptions!$B$10),1,0)</f>
        <v>0</v>
      </c>
    </row>
    <row r="180" customFormat="false" ht="15" hidden="false" customHeight="false" outlineLevel="0" collapsed="false">
      <c r="A180" s="26" t="s">
        <v>283</v>
      </c>
      <c r="B180" s="26" t="s">
        <v>46</v>
      </c>
      <c r="C180" s="26" t="s">
        <v>100</v>
      </c>
      <c r="D180" s="26" t="s">
        <v>101</v>
      </c>
      <c r="E180" s="27" t="n">
        <v>42616</v>
      </c>
      <c r="F180" s="27"/>
      <c r="G180" s="26"/>
      <c r="H180" s="28" t="n">
        <v>56000</v>
      </c>
      <c r="I180" s="26" t="n">
        <v>1</v>
      </c>
      <c r="J180" s="26" t="n">
        <v>4</v>
      </c>
      <c r="K180" s="13" t="str">
        <f aca="false">IF(F180="","Active","Left")</f>
        <v>Active</v>
      </c>
      <c r="L180" s="16" t="n">
        <f aca="false">ROUND((IF(F180="",Assumptions!$B$5,F180)-E180)/365.25,1)</f>
        <v>10.1</v>
      </c>
      <c r="M180" s="13" t="str">
        <f aca="false">IF(L180&lt;1,"Under 1 yr",IF(L180&lt;3,"1 to 3 yrs",IF(L180&lt;5,"3 to 5 yrs","5+ yrs")))</f>
        <v>5+ yrs</v>
      </c>
      <c r="N180" s="14" t="n">
        <f aca="false">H180*12</f>
        <v>672000</v>
      </c>
      <c r="O180" s="13" t="n">
        <f aca="false">IF(AND(E180&lt;Assumptions!$B$6,OR(F180="",F180&gt;=Assumptions!$B$6)),1,0)</f>
        <v>1</v>
      </c>
      <c r="P180" s="13" t="n">
        <f aca="false">IF(F180="",0,IF(AND(F180&gt;=Assumptions!$B$6,F180&lt;=Assumptions!$B$5),1,0))</f>
        <v>0</v>
      </c>
      <c r="Q180" s="14" t="n">
        <f aca="false">P180*N180*Assumptions!$B$7</f>
        <v>0</v>
      </c>
      <c r="R180" s="13" t="n">
        <f aca="false">IF(AND(P180=1,J180&gt;=Assumptions!$B$10),1,0)</f>
        <v>0</v>
      </c>
    </row>
    <row r="181" customFormat="false" ht="15" hidden="false" customHeight="false" outlineLevel="0" collapsed="false">
      <c r="A181" s="26" t="s">
        <v>284</v>
      </c>
      <c r="B181" s="26" t="s">
        <v>45</v>
      </c>
      <c r="C181" s="26" t="s">
        <v>108</v>
      </c>
      <c r="D181" s="26" t="s">
        <v>105</v>
      </c>
      <c r="E181" s="27" t="n">
        <v>44226</v>
      </c>
      <c r="F181" s="27" t="n">
        <v>45952</v>
      </c>
      <c r="G181" s="26" t="s">
        <v>62</v>
      </c>
      <c r="H181" s="28" t="n">
        <v>96000</v>
      </c>
      <c r="I181" s="26" t="n">
        <v>7</v>
      </c>
      <c r="J181" s="26" t="n">
        <v>4</v>
      </c>
      <c r="K181" s="13" t="str">
        <f aca="false">IF(F181="","Active","Left")</f>
        <v>Left</v>
      </c>
      <c r="L181" s="16" t="n">
        <f aca="false">ROUND((IF(F181="",Assumptions!$B$5,F181)-E181)/365.25,1)</f>
        <v>4.7</v>
      </c>
      <c r="M181" s="13" t="str">
        <f aca="false">IF(L181&lt;1,"Under 1 yr",IF(L181&lt;3,"1 to 3 yrs",IF(L181&lt;5,"3 to 5 yrs","5+ yrs")))</f>
        <v>3 to 5 yrs</v>
      </c>
      <c r="N181" s="14" t="n">
        <f aca="false">H181*12</f>
        <v>1152000</v>
      </c>
      <c r="O181" s="13" t="n">
        <f aca="false">IF(AND(E181&lt;Assumptions!$B$6,OR(F181="",F181&gt;=Assumptions!$B$6)),1,0)</f>
        <v>1</v>
      </c>
      <c r="P181" s="13" t="n">
        <f aca="false">IF(F181="",0,IF(AND(F181&gt;=Assumptions!$B$6,F181&lt;=Assumptions!$B$5),1,0))</f>
        <v>1</v>
      </c>
      <c r="Q181" s="14" t="n">
        <f aca="false">P181*N181*Assumptions!$B$7</f>
        <v>576000</v>
      </c>
      <c r="R181" s="13" t="n">
        <f aca="false">IF(AND(P181=1,J181&gt;=Assumptions!$B$10),1,0)</f>
        <v>1</v>
      </c>
    </row>
    <row r="182" customFormat="false" ht="15" hidden="false" customHeight="false" outlineLevel="0" collapsed="false">
      <c r="A182" s="26" t="s">
        <v>285</v>
      </c>
      <c r="B182" s="26" t="s">
        <v>46</v>
      </c>
      <c r="C182" s="26" t="s">
        <v>125</v>
      </c>
      <c r="D182" s="26" t="s">
        <v>105</v>
      </c>
      <c r="E182" s="27" t="n">
        <v>42942</v>
      </c>
      <c r="F182" s="27"/>
      <c r="G182" s="26"/>
      <c r="H182" s="28" t="n">
        <v>261000</v>
      </c>
      <c r="I182" s="26" t="n">
        <v>2</v>
      </c>
      <c r="J182" s="26" t="n">
        <v>3</v>
      </c>
      <c r="K182" s="13" t="str">
        <f aca="false">IF(F182="","Active","Left")</f>
        <v>Active</v>
      </c>
      <c r="L182" s="16" t="n">
        <f aca="false">ROUND((IF(F182="",Assumptions!$B$5,F182)-E182)/365.25,1)</f>
        <v>9.2</v>
      </c>
      <c r="M182" s="13" t="str">
        <f aca="false">IF(L182&lt;1,"Under 1 yr",IF(L182&lt;3,"1 to 3 yrs",IF(L182&lt;5,"3 to 5 yrs","5+ yrs")))</f>
        <v>5+ yrs</v>
      </c>
      <c r="N182" s="14" t="n">
        <f aca="false">H182*12</f>
        <v>3132000</v>
      </c>
      <c r="O182" s="13" t="n">
        <f aca="false">IF(AND(E182&lt;Assumptions!$B$6,OR(F182="",F182&gt;=Assumptions!$B$6)),1,0)</f>
        <v>1</v>
      </c>
      <c r="P182" s="13" t="n">
        <f aca="false">IF(F182="",0,IF(AND(F182&gt;=Assumptions!$B$6,F182&lt;=Assumptions!$B$5),1,0))</f>
        <v>0</v>
      </c>
      <c r="Q182" s="14" t="n">
        <f aca="false">P182*N182*Assumptions!$B$7</f>
        <v>0</v>
      </c>
      <c r="R182" s="13" t="n">
        <f aca="false">IF(AND(P182=1,J182&gt;=Assumptions!$B$10),1,0)</f>
        <v>0</v>
      </c>
    </row>
    <row r="183" customFormat="false" ht="15" hidden="false" customHeight="false" outlineLevel="0" collapsed="false">
      <c r="A183" s="26" t="s">
        <v>286</v>
      </c>
      <c r="B183" s="26" t="s">
        <v>47</v>
      </c>
      <c r="C183" s="26" t="s">
        <v>125</v>
      </c>
      <c r="D183" s="26" t="s">
        <v>101</v>
      </c>
      <c r="E183" s="27" t="n">
        <v>44475</v>
      </c>
      <c r="F183" s="27"/>
      <c r="G183" s="26"/>
      <c r="H183" s="28" t="n">
        <v>259000</v>
      </c>
      <c r="I183" s="26" t="n">
        <v>3</v>
      </c>
      <c r="J183" s="26" t="n">
        <v>3</v>
      </c>
      <c r="K183" s="13" t="str">
        <f aca="false">IF(F183="","Active","Left")</f>
        <v>Active</v>
      </c>
      <c r="L183" s="16" t="n">
        <f aca="false">ROUND((IF(F183="",Assumptions!$B$5,F183)-E183)/365.25,1)</f>
        <v>5</v>
      </c>
      <c r="M183" s="13" t="str">
        <f aca="false">IF(L183&lt;1,"Under 1 yr",IF(L183&lt;3,"1 to 3 yrs",IF(L183&lt;5,"3 to 5 yrs","5+ yrs")))</f>
        <v>5+ yrs</v>
      </c>
      <c r="N183" s="14" t="n">
        <f aca="false">H183*12</f>
        <v>3108000</v>
      </c>
      <c r="O183" s="13" t="n">
        <f aca="false">IF(AND(E183&lt;Assumptions!$B$6,OR(F183="",F183&gt;=Assumptions!$B$6)),1,0)</f>
        <v>1</v>
      </c>
      <c r="P183" s="13" t="n">
        <f aca="false">IF(F183="",0,IF(AND(F183&gt;=Assumptions!$B$6,F183&lt;=Assumptions!$B$5),1,0))</f>
        <v>0</v>
      </c>
      <c r="Q183" s="14" t="n">
        <f aca="false">P183*N183*Assumptions!$B$7</f>
        <v>0</v>
      </c>
      <c r="R183" s="13" t="n">
        <f aca="false">IF(AND(P183=1,J183&gt;=Assumptions!$B$10),1,0)</f>
        <v>0</v>
      </c>
    </row>
    <row r="184" customFormat="false" ht="15" hidden="false" customHeight="false" outlineLevel="0" collapsed="false">
      <c r="A184" s="26" t="s">
        <v>287</v>
      </c>
      <c r="B184" s="26" t="s">
        <v>47</v>
      </c>
      <c r="C184" s="26" t="s">
        <v>108</v>
      </c>
      <c r="D184" s="26" t="s">
        <v>101</v>
      </c>
      <c r="E184" s="27" t="n">
        <v>42409</v>
      </c>
      <c r="F184" s="27" t="n">
        <v>46184</v>
      </c>
      <c r="G184" s="26" t="s">
        <v>66</v>
      </c>
      <c r="H184" s="28" t="n">
        <v>64000</v>
      </c>
      <c r="I184" s="26" t="n">
        <v>5</v>
      </c>
      <c r="J184" s="26" t="n">
        <v>4</v>
      </c>
      <c r="K184" s="13" t="str">
        <f aca="false">IF(F184="","Active","Left")</f>
        <v>Left</v>
      </c>
      <c r="L184" s="16" t="n">
        <f aca="false">ROUND((IF(F184="",Assumptions!$B$5,F184)-E184)/365.25,1)</f>
        <v>10.3</v>
      </c>
      <c r="M184" s="13" t="str">
        <f aca="false">IF(L184&lt;1,"Under 1 yr",IF(L184&lt;3,"1 to 3 yrs",IF(L184&lt;5,"3 to 5 yrs","5+ yrs")))</f>
        <v>5+ yrs</v>
      </c>
      <c r="N184" s="14" t="n">
        <f aca="false">H184*12</f>
        <v>768000</v>
      </c>
      <c r="O184" s="13" t="n">
        <f aca="false">IF(AND(E184&lt;Assumptions!$B$6,OR(F184="",F184&gt;=Assumptions!$B$6)),1,0)</f>
        <v>1</v>
      </c>
      <c r="P184" s="13" t="n">
        <f aca="false">IF(F184="",0,IF(AND(F184&gt;=Assumptions!$B$6,F184&lt;=Assumptions!$B$5),1,0))</f>
        <v>1</v>
      </c>
      <c r="Q184" s="14" t="n">
        <f aca="false">P184*N184*Assumptions!$B$7</f>
        <v>384000</v>
      </c>
      <c r="R184" s="13" t="n">
        <f aca="false">IF(AND(P184=1,J184&gt;=Assumptions!$B$10),1,0)</f>
        <v>1</v>
      </c>
    </row>
    <row r="185" customFormat="false" ht="15" hidden="false" customHeight="false" outlineLevel="0" collapsed="false">
      <c r="A185" s="26" t="s">
        <v>288</v>
      </c>
      <c r="B185" s="26" t="s">
        <v>46</v>
      </c>
      <c r="C185" s="26" t="s">
        <v>100</v>
      </c>
      <c r="D185" s="26" t="s">
        <v>101</v>
      </c>
      <c r="E185" s="27" t="n">
        <v>42298</v>
      </c>
      <c r="F185" s="27"/>
      <c r="G185" s="26"/>
      <c r="H185" s="28" t="n">
        <v>44000</v>
      </c>
      <c r="I185" s="26" t="n">
        <v>4</v>
      </c>
      <c r="J185" s="26" t="n">
        <v>5</v>
      </c>
      <c r="K185" s="13" t="str">
        <f aca="false">IF(F185="","Active","Left")</f>
        <v>Active</v>
      </c>
      <c r="L185" s="16" t="n">
        <f aca="false">ROUND((IF(F185="",Assumptions!$B$5,F185)-E185)/365.25,1)</f>
        <v>10.9</v>
      </c>
      <c r="M185" s="13" t="str">
        <f aca="false">IF(L185&lt;1,"Under 1 yr",IF(L185&lt;3,"1 to 3 yrs",IF(L185&lt;5,"3 to 5 yrs","5+ yrs")))</f>
        <v>5+ yrs</v>
      </c>
      <c r="N185" s="14" t="n">
        <f aca="false">H185*12</f>
        <v>528000</v>
      </c>
      <c r="O185" s="13" t="n">
        <f aca="false">IF(AND(E185&lt;Assumptions!$B$6,OR(F185="",F185&gt;=Assumptions!$B$6)),1,0)</f>
        <v>1</v>
      </c>
      <c r="P185" s="13" t="n">
        <f aca="false">IF(F185="",0,IF(AND(F185&gt;=Assumptions!$B$6,F185&lt;=Assumptions!$B$5),1,0))</f>
        <v>0</v>
      </c>
      <c r="Q185" s="14" t="n">
        <f aca="false">P185*N185*Assumptions!$B$7</f>
        <v>0</v>
      </c>
      <c r="R185" s="13" t="n">
        <f aca="false">IF(AND(P185=1,J185&gt;=Assumptions!$B$10),1,0)</f>
        <v>0</v>
      </c>
    </row>
    <row r="186" customFormat="false" ht="15" hidden="false" customHeight="false" outlineLevel="0" collapsed="false">
      <c r="A186" s="26" t="s">
        <v>289</v>
      </c>
      <c r="B186" s="26" t="s">
        <v>47</v>
      </c>
      <c r="C186" s="26" t="s">
        <v>108</v>
      </c>
      <c r="D186" s="26" t="s">
        <v>105</v>
      </c>
      <c r="E186" s="27" t="n">
        <v>43498</v>
      </c>
      <c r="F186" s="27"/>
      <c r="G186" s="26"/>
      <c r="H186" s="28" t="n">
        <v>107000</v>
      </c>
      <c r="I186" s="26" t="n">
        <v>5</v>
      </c>
      <c r="J186" s="26" t="n">
        <v>3</v>
      </c>
      <c r="K186" s="13" t="str">
        <f aca="false">IF(F186="","Active","Left")</f>
        <v>Active</v>
      </c>
      <c r="L186" s="16" t="n">
        <f aca="false">ROUND((IF(F186="",Assumptions!$B$5,F186)-E186)/365.25,1)</f>
        <v>7.7</v>
      </c>
      <c r="M186" s="13" t="str">
        <f aca="false">IF(L186&lt;1,"Under 1 yr",IF(L186&lt;3,"1 to 3 yrs",IF(L186&lt;5,"3 to 5 yrs","5+ yrs")))</f>
        <v>5+ yrs</v>
      </c>
      <c r="N186" s="14" t="n">
        <f aca="false">H186*12</f>
        <v>1284000</v>
      </c>
      <c r="O186" s="13" t="n">
        <f aca="false">IF(AND(E186&lt;Assumptions!$B$6,OR(F186="",F186&gt;=Assumptions!$B$6)),1,0)</f>
        <v>1</v>
      </c>
      <c r="P186" s="13" t="n">
        <f aca="false">IF(F186="",0,IF(AND(F186&gt;=Assumptions!$B$6,F186&lt;=Assumptions!$B$5),1,0))</f>
        <v>0</v>
      </c>
      <c r="Q186" s="14" t="n">
        <f aca="false">P186*N186*Assumptions!$B$7</f>
        <v>0</v>
      </c>
      <c r="R186" s="13" t="n">
        <f aca="false">IF(AND(P186=1,J186&gt;=Assumptions!$B$10),1,0)</f>
        <v>0</v>
      </c>
    </row>
    <row r="187" customFormat="false" ht="15" hidden="false" customHeight="false" outlineLevel="0" collapsed="false">
      <c r="A187" s="26" t="s">
        <v>290</v>
      </c>
      <c r="B187" s="26" t="s">
        <v>47</v>
      </c>
      <c r="C187" s="26" t="s">
        <v>108</v>
      </c>
      <c r="D187" s="26" t="s">
        <v>101</v>
      </c>
      <c r="E187" s="27" t="n">
        <v>45956</v>
      </c>
      <c r="F187" s="27"/>
      <c r="G187" s="26"/>
      <c r="H187" s="28" t="n">
        <v>101000</v>
      </c>
      <c r="I187" s="26" t="n">
        <v>4</v>
      </c>
      <c r="J187" s="26" t="n">
        <v>3</v>
      </c>
      <c r="K187" s="13" t="str">
        <f aca="false">IF(F187="","Active","Left")</f>
        <v>Active</v>
      </c>
      <c r="L187" s="16" t="n">
        <f aca="false">ROUND((IF(F187="",Assumptions!$B$5,F187)-E187)/365.25,1)</f>
        <v>0.9</v>
      </c>
      <c r="M187" s="13" t="str">
        <f aca="false">IF(L187&lt;1,"Under 1 yr",IF(L187&lt;3,"1 to 3 yrs",IF(L187&lt;5,"3 to 5 yrs","5+ yrs")))</f>
        <v>Under 1 yr</v>
      </c>
      <c r="N187" s="14" t="n">
        <f aca="false">H187*12</f>
        <v>1212000</v>
      </c>
      <c r="O187" s="13" t="n">
        <f aca="false">IF(AND(E187&lt;Assumptions!$B$6,OR(F187="",F187&gt;=Assumptions!$B$6)),1,0)</f>
        <v>0</v>
      </c>
      <c r="P187" s="13" t="n">
        <f aca="false">IF(F187="",0,IF(AND(F187&gt;=Assumptions!$B$6,F187&lt;=Assumptions!$B$5),1,0))</f>
        <v>0</v>
      </c>
      <c r="Q187" s="14" t="n">
        <f aca="false">P187*N187*Assumptions!$B$7</f>
        <v>0</v>
      </c>
      <c r="R187" s="13" t="n">
        <f aca="false">IF(AND(P187=1,J187&gt;=Assumptions!$B$10),1,0)</f>
        <v>0</v>
      </c>
    </row>
    <row r="188" customFormat="false" ht="15" hidden="false" customHeight="false" outlineLevel="0" collapsed="false">
      <c r="A188" s="26" t="s">
        <v>291</v>
      </c>
      <c r="B188" s="26" t="s">
        <v>48</v>
      </c>
      <c r="C188" s="26" t="s">
        <v>104</v>
      </c>
      <c r="D188" s="26" t="s">
        <v>105</v>
      </c>
      <c r="E188" s="27" t="n">
        <v>44111</v>
      </c>
      <c r="F188" s="27" t="n">
        <v>46257</v>
      </c>
      <c r="G188" s="26" t="s">
        <v>65</v>
      </c>
      <c r="H188" s="28" t="n">
        <v>146000</v>
      </c>
      <c r="I188" s="26" t="n">
        <v>4</v>
      </c>
      <c r="J188" s="26" t="n">
        <v>2</v>
      </c>
      <c r="K188" s="13" t="str">
        <f aca="false">IF(F188="","Active","Left")</f>
        <v>Left</v>
      </c>
      <c r="L188" s="16" t="n">
        <f aca="false">ROUND((IF(F188="",Assumptions!$B$5,F188)-E188)/365.25,1)</f>
        <v>5.9</v>
      </c>
      <c r="M188" s="13" t="str">
        <f aca="false">IF(L188&lt;1,"Under 1 yr",IF(L188&lt;3,"1 to 3 yrs",IF(L188&lt;5,"3 to 5 yrs","5+ yrs")))</f>
        <v>5+ yrs</v>
      </c>
      <c r="N188" s="14" t="n">
        <f aca="false">H188*12</f>
        <v>1752000</v>
      </c>
      <c r="O188" s="13" t="n">
        <f aca="false">IF(AND(E188&lt;Assumptions!$B$6,OR(F188="",F188&gt;=Assumptions!$B$6)),1,0)</f>
        <v>1</v>
      </c>
      <c r="P188" s="13" t="n">
        <f aca="false">IF(F188="",0,IF(AND(F188&gt;=Assumptions!$B$6,F188&lt;=Assumptions!$B$5),1,0))</f>
        <v>1</v>
      </c>
      <c r="Q188" s="14" t="n">
        <f aca="false">P188*N188*Assumptions!$B$7</f>
        <v>876000</v>
      </c>
      <c r="R188" s="13" t="n">
        <f aca="false">IF(AND(P188=1,J188&gt;=Assumptions!$B$10),1,0)</f>
        <v>0</v>
      </c>
    </row>
    <row r="189" customFormat="false" ht="15" hidden="false" customHeight="false" outlineLevel="0" collapsed="false">
      <c r="A189" s="26" t="s">
        <v>292</v>
      </c>
      <c r="B189" s="26" t="s">
        <v>45</v>
      </c>
      <c r="C189" s="26" t="s">
        <v>104</v>
      </c>
      <c r="D189" s="26" t="s">
        <v>101</v>
      </c>
      <c r="E189" s="27" t="n">
        <v>42666</v>
      </c>
      <c r="F189" s="27"/>
      <c r="G189" s="26"/>
      <c r="H189" s="28" t="n">
        <v>178000</v>
      </c>
      <c r="I189" s="26" t="n">
        <v>4</v>
      </c>
      <c r="J189" s="26" t="n">
        <v>4</v>
      </c>
      <c r="K189" s="13" t="str">
        <f aca="false">IF(F189="","Active","Left")</f>
        <v>Active</v>
      </c>
      <c r="L189" s="16" t="n">
        <f aca="false">ROUND((IF(F189="",Assumptions!$B$5,F189)-E189)/365.25,1)</f>
        <v>9.9</v>
      </c>
      <c r="M189" s="13" t="str">
        <f aca="false">IF(L189&lt;1,"Under 1 yr",IF(L189&lt;3,"1 to 3 yrs",IF(L189&lt;5,"3 to 5 yrs","5+ yrs")))</f>
        <v>5+ yrs</v>
      </c>
      <c r="N189" s="14" t="n">
        <f aca="false">H189*12</f>
        <v>2136000</v>
      </c>
      <c r="O189" s="13" t="n">
        <f aca="false">IF(AND(E189&lt;Assumptions!$B$6,OR(F189="",F189&gt;=Assumptions!$B$6)),1,0)</f>
        <v>1</v>
      </c>
      <c r="P189" s="13" t="n">
        <f aca="false">IF(F189="",0,IF(AND(F189&gt;=Assumptions!$B$6,F189&lt;=Assumptions!$B$5),1,0))</f>
        <v>0</v>
      </c>
      <c r="Q189" s="14" t="n">
        <f aca="false">P189*N189*Assumptions!$B$7</f>
        <v>0</v>
      </c>
      <c r="R189" s="13" t="n">
        <f aca="false">IF(AND(P189=1,J189&gt;=Assumptions!$B$10),1,0)</f>
        <v>0</v>
      </c>
    </row>
    <row r="190" customFormat="false" ht="15" hidden="false" customHeight="false" outlineLevel="0" collapsed="false">
      <c r="A190" s="26" t="s">
        <v>293</v>
      </c>
      <c r="B190" s="26" t="s">
        <v>46</v>
      </c>
      <c r="C190" s="26" t="s">
        <v>100</v>
      </c>
      <c r="D190" s="26" t="s">
        <v>105</v>
      </c>
      <c r="E190" s="27" t="n">
        <v>43904</v>
      </c>
      <c r="F190" s="27"/>
      <c r="G190" s="26"/>
      <c r="H190" s="28" t="n">
        <v>59000</v>
      </c>
      <c r="I190" s="26" t="n">
        <v>9</v>
      </c>
      <c r="J190" s="26" t="n">
        <v>5</v>
      </c>
      <c r="K190" s="13" t="str">
        <f aca="false">IF(F190="","Active","Left")</f>
        <v>Active</v>
      </c>
      <c r="L190" s="16" t="n">
        <f aca="false">ROUND((IF(F190="",Assumptions!$B$5,F190)-E190)/365.25,1)</f>
        <v>6.5</v>
      </c>
      <c r="M190" s="13" t="str">
        <f aca="false">IF(L190&lt;1,"Under 1 yr",IF(L190&lt;3,"1 to 3 yrs",IF(L190&lt;5,"3 to 5 yrs","5+ yrs")))</f>
        <v>5+ yrs</v>
      </c>
      <c r="N190" s="14" t="n">
        <f aca="false">H190*12</f>
        <v>708000</v>
      </c>
      <c r="O190" s="13" t="n">
        <f aca="false">IF(AND(E190&lt;Assumptions!$B$6,OR(F190="",F190&gt;=Assumptions!$B$6)),1,0)</f>
        <v>1</v>
      </c>
      <c r="P190" s="13" t="n">
        <f aca="false">IF(F190="",0,IF(AND(F190&gt;=Assumptions!$B$6,F190&lt;=Assumptions!$B$5),1,0))</f>
        <v>0</v>
      </c>
      <c r="Q190" s="14" t="n">
        <f aca="false">P190*N190*Assumptions!$B$7</f>
        <v>0</v>
      </c>
      <c r="R190" s="13" t="n">
        <f aca="false">IF(AND(P190=1,J190&gt;=Assumptions!$B$10),1,0)</f>
        <v>0</v>
      </c>
    </row>
    <row r="191" customFormat="false" ht="15" hidden="false" customHeight="false" outlineLevel="0" collapsed="false">
      <c r="A191" s="26" t="s">
        <v>294</v>
      </c>
      <c r="B191" s="26" t="s">
        <v>46</v>
      </c>
      <c r="C191" s="26" t="s">
        <v>108</v>
      </c>
      <c r="D191" s="26" t="s">
        <v>101</v>
      </c>
      <c r="E191" s="27" t="n">
        <v>44401</v>
      </c>
      <c r="F191" s="27"/>
      <c r="G191" s="26"/>
      <c r="H191" s="28" t="n">
        <v>77000</v>
      </c>
      <c r="I191" s="26" t="n">
        <v>4</v>
      </c>
      <c r="J191" s="26" t="n">
        <v>3</v>
      </c>
      <c r="K191" s="13" t="str">
        <f aca="false">IF(F191="","Active","Left")</f>
        <v>Active</v>
      </c>
      <c r="L191" s="16" t="n">
        <f aca="false">ROUND((IF(F191="",Assumptions!$B$5,F191)-E191)/365.25,1)</f>
        <v>5.2</v>
      </c>
      <c r="M191" s="13" t="str">
        <f aca="false">IF(L191&lt;1,"Under 1 yr",IF(L191&lt;3,"1 to 3 yrs",IF(L191&lt;5,"3 to 5 yrs","5+ yrs")))</f>
        <v>5+ yrs</v>
      </c>
      <c r="N191" s="14" t="n">
        <f aca="false">H191*12</f>
        <v>924000</v>
      </c>
      <c r="O191" s="13" t="n">
        <f aca="false">IF(AND(E191&lt;Assumptions!$B$6,OR(F191="",F191&gt;=Assumptions!$B$6)),1,0)</f>
        <v>1</v>
      </c>
      <c r="P191" s="13" t="n">
        <f aca="false">IF(F191="",0,IF(AND(F191&gt;=Assumptions!$B$6,F191&lt;=Assumptions!$B$5),1,0))</f>
        <v>0</v>
      </c>
      <c r="Q191" s="14" t="n">
        <f aca="false">P191*N191*Assumptions!$B$7</f>
        <v>0</v>
      </c>
      <c r="R191" s="13" t="n">
        <f aca="false">IF(AND(P191=1,J191&gt;=Assumptions!$B$10),1,0)</f>
        <v>0</v>
      </c>
    </row>
    <row r="192" customFormat="false" ht="15" hidden="false" customHeight="false" outlineLevel="0" collapsed="false">
      <c r="A192" s="26" t="s">
        <v>295</v>
      </c>
      <c r="B192" s="26" t="s">
        <v>48</v>
      </c>
      <c r="C192" s="26" t="s">
        <v>108</v>
      </c>
      <c r="D192" s="26" t="s">
        <v>105</v>
      </c>
      <c r="E192" s="27" t="n">
        <v>43853</v>
      </c>
      <c r="F192" s="27" t="n">
        <v>46039</v>
      </c>
      <c r="G192" s="26" t="s">
        <v>66</v>
      </c>
      <c r="H192" s="28" t="n">
        <v>107000</v>
      </c>
      <c r="I192" s="26" t="n">
        <v>3</v>
      </c>
      <c r="J192" s="26" t="n">
        <v>3</v>
      </c>
      <c r="K192" s="13" t="str">
        <f aca="false">IF(F192="","Active","Left")</f>
        <v>Left</v>
      </c>
      <c r="L192" s="16" t="n">
        <f aca="false">ROUND((IF(F192="",Assumptions!$B$5,F192)-E192)/365.25,1)</f>
        <v>6</v>
      </c>
      <c r="M192" s="13" t="str">
        <f aca="false">IF(L192&lt;1,"Under 1 yr",IF(L192&lt;3,"1 to 3 yrs",IF(L192&lt;5,"3 to 5 yrs","5+ yrs")))</f>
        <v>5+ yrs</v>
      </c>
      <c r="N192" s="14" t="n">
        <f aca="false">H192*12</f>
        <v>1284000</v>
      </c>
      <c r="O192" s="13" t="n">
        <f aca="false">IF(AND(E192&lt;Assumptions!$B$6,OR(F192="",F192&gt;=Assumptions!$B$6)),1,0)</f>
        <v>1</v>
      </c>
      <c r="P192" s="13" t="n">
        <f aca="false">IF(F192="",0,IF(AND(F192&gt;=Assumptions!$B$6,F192&lt;=Assumptions!$B$5),1,0))</f>
        <v>1</v>
      </c>
      <c r="Q192" s="14" t="n">
        <f aca="false">P192*N192*Assumptions!$B$7</f>
        <v>642000</v>
      </c>
      <c r="R192" s="13" t="n">
        <f aca="false">IF(AND(P192=1,J192&gt;=Assumptions!$B$10),1,0)</f>
        <v>0</v>
      </c>
    </row>
    <row r="193" customFormat="false" ht="15" hidden="false" customHeight="false" outlineLevel="0" collapsed="false">
      <c r="A193" s="26" t="s">
        <v>296</v>
      </c>
      <c r="B193" s="26" t="s">
        <v>46</v>
      </c>
      <c r="C193" s="26" t="s">
        <v>100</v>
      </c>
      <c r="D193" s="26" t="s">
        <v>105</v>
      </c>
      <c r="E193" s="27" t="n">
        <v>45826</v>
      </c>
      <c r="F193" s="27"/>
      <c r="G193" s="26"/>
      <c r="H193" s="28" t="n">
        <v>43000</v>
      </c>
      <c r="I193" s="26" t="n">
        <v>6</v>
      </c>
      <c r="J193" s="26" t="n">
        <v>4</v>
      </c>
      <c r="K193" s="13" t="str">
        <f aca="false">IF(F193="","Active","Left")</f>
        <v>Active</v>
      </c>
      <c r="L193" s="16" t="n">
        <f aca="false">ROUND((IF(F193="",Assumptions!$B$5,F193)-E193)/365.25,1)</f>
        <v>1.3</v>
      </c>
      <c r="M193" s="13" t="str">
        <f aca="false">IF(L193&lt;1,"Under 1 yr",IF(L193&lt;3,"1 to 3 yrs",IF(L193&lt;5,"3 to 5 yrs","5+ yrs")))</f>
        <v>1 to 3 yrs</v>
      </c>
      <c r="N193" s="14" t="n">
        <f aca="false">H193*12</f>
        <v>516000</v>
      </c>
      <c r="O193" s="13" t="n">
        <f aca="false">IF(AND(E193&lt;Assumptions!$B$6,OR(F193="",F193&gt;=Assumptions!$B$6)),1,0)</f>
        <v>1</v>
      </c>
      <c r="P193" s="13" t="n">
        <f aca="false">IF(F193="",0,IF(AND(F193&gt;=Assumptions!$B$6,F193&lt;=Assumptions!$B$5),1,0))</f>
        <v>0</v>
      </c>
      <c r="Q193" s="14" t="n">
        <f aca="false">P193*N193*Assumptions!$B$7</f>
        <v>0</v>
      </c>
      <c r="R193" s="13" t="n">
        <f aca="false">IF(AND(P193=1,J193&gt;=Assumptions!$B$10),1,0)</f>
        <v>0</v>
      </c>
    </row>
    <row r="194" customFormat="false" ht="15" hidden="false" customHeight="false" outlineLevel="0" collapsed="false">
      <c r="A194" s="26" t="s">
        <v>297</v>
      </c>
      <c r="B194" s="26" t="s">
        <v>45</v>
      </c>
      <c r="C194" s="26" t="s">
        <v>104</v>
      </c>
      <c r="D194" s="26" t="s">
        <v>105</v>
      </c>
      <c r="E194" s="27" t="n">
        <v>42508</v>
      </c>
      <c r="F194" s="27" t="n">
        <v>46015</v>
      </c>
      <c r="G194" s="26" t="s">
        <v>63</v>
      </c>
      <c r="H194" s="28" t="n">
        <v>177000</v>
      </c>
      <c r="I194" s="26" t="n">
        <v>2</v>
      </c>
      <c r="J194" s="26" t="n">
        <v>1</v>
      </c>
      <c r="K194" s="13" t="str">
        <f aca="false">IF(F194="","Active","Left")</f>
        <v>Left</v>
      </c>
      <c r="L194" s="16" t="n">
        <f aca="false">ROUND((IF(F194="",Assumptions!$B$5,F194)-E194)/365.25,1)</f>
        <v>9.6</v>
      </c>
      <c r="M194" s="13" t="str">
        <f aca="false">IF(L194&lt;1,"Under 1 yr",IF(L194&lt;3,"1 to 3 yrs",IF(L194&lt;5,"3 to 5 yrs","5+ yrs")))</f>
        <v>5+ yrs</v>
      </c>
      <c r="N194" s="14" t="n">
        <f aca="false">H194*12</f>
        <v>2124000</v>
      </c>
      <c r="O194" s="13" t="n">
        <f aca="false">IF(AND(E194&lt;Assumptions!$B$6,OR(F194="",F194&gt;=Assumptions!$B$6)),1,0)</f>
        <v>1</v>
      </c>
      <c r="P194" s="13" t="n">
        <f aca="false">IF(F194="",0,IF(AND(F194&gt;=Assumptions!$B$6,F194&lt;=Assumptions!$B$5),1,0))</f>
        <v>1</v>
      </c>
      <c r="Q194" s="14" t="n">
        <f aca="false">P194*N194*Assumptions!$B$7</f>
        <v>1062000</v>
      </c>
      <c r="R194" s="13" t="n">
        <f aca="false">IF(AND(P194=1,J194&gt;=Assumptions!$B$10),1,0)</f>
        <v>0</v>
      </c>
    </row>
    <row r="195" customFormat="false" ht="15" hidden="false" customHeight="false" outlineLevel="0" collapsed="false">
      <c r="A195" s="26" t="s">
        <v>298</v>
      </c>
      <c r="B195" s="26" t="s">
        <v>46</v>
      </c>
      <c r="C195" s="26" t="s">
        <v>100</v>
      </c>
      <c r="D195" s="26" t="s">
        <v>101</v>
      </c>
      <c r="E195" s="27" t="n">
        <v>42130</v>
      </c>
      <c r="F195" s="27" t="n">
        <v>45984</v>
      </c>
      <c r="G195" s="26" t="s">
        <v>65</v>
      </c>
      <c r="H195" s="28" t="n">
        <v>44000</v>
      </c>
      <c r="I195" s="26" t="n">
        <v>9</v>
      </c>
      <c r="J195" s="26" t="n">
        <v>2</v>
      </c>
      <c r="K195" s="13" t="str">
        <f aca="false">IF(F195="","Active","Left")</f>
        <v>Left</v>
      </c>
      <c r="L195" s="16" t="n">
        <f aca="false">ROUND((IF(F195="",Assumptions!$B$5,F195)-E195)/365.25,1)</f>
        <v>10.6</v>
      </c>
      <c r="M195" s="13" t="str">
        <f aca="false">IF(L195&lt;1,"Under 1 yr",IF(L195&lt;3,"1 to 3 yrs",IF(L195&lt;5,"3 to 5 yrs","5+ yrs")))</f>
        <v>5+ yrs</v>
      </c>
      <c r="N195" s="14" t="n">
        <f aca="false">H195*12</f>
        <v>528000</v>
      </c>
      <c r="O195" s="13" t="n">
        <f aca="false">IF(AND(E195&lt;Assumptions!$B$6,OR(F195="",F195&gt;=Assumptions!$B$6)),1,0)</f>
        <v>1</v>
      </c>
      <c r="P195" s="13" t="n">
        <f aca="false">IF(F195="",0,IF(AND(F195&gt;=Assumptions!$B$6,F195&lt;=Assumptions!$B$5),1,0))</f>
        <v>1</v>
      </c>
      <c r="Q195" s="14" t="n">
        <f aca="false">P195*N195*Assumptions!$B$7</f>
        <v>264000</v>
      </c>
      <c r="R195" s="13" t="n">
        <f aca="false">IF(AND(P195=1,J195&gt;=Assumptions!$B$10),1,0)</f>
        <v>0</v>
      </c>
    </row>
    <row r="196" customFormat="false" ht="15" hidden="false" customHeight="false" outlineLevel="0" collapsed="false">
      <c r="A196" s="26" t="s">
        <v>299</v>
      </c>
      <c r="B196" s="26" t="s">
        <v>48</v>
      </c>
      <c r="C196" s="26" t="s">
        <v>104</v>
      </c>
      <c r="D196" s="26" t="s">
        <v>101</v>
      </c>
      <c r="E196" s="27" t="n">
        <v>43760</v>
      </c>
      <c r="F196" s="27"/>
      <c r="G196" s="26"/>
      <c r="H196" s="28" t="n">
        <v>132000</v>
      </c>
      <c r="I196" s="26" t="n">
        <v>8</v>
      </c>
      <c r="J196" s="26" t="n">
        <v>3</v>
      </c>
      <c r="K196" s="13" t="str">
        <f aca="false">IF(F196="","Active","Left")</f>
        <v>Active</v>
      </c>
      <c r="L196" s="16" t="n">
        <f aca="false">ROUND((IF(F196="",Assumptions!$B$5,F196)-E196)/365.25,1)</f>
        <v>6.9</v>
      </c>
      <c r="M196" s="13" t="str">
        <f aca="false">IF(L196&lt;1,"Under 1 yr",IF(L196&lt;3,"1 to 3 yrs",IF(L196&lt;5,"3 to 5 yrs","5+ yrs")))</f>
        <v>5+ yrs</v>
      </c>
      <c r="N196" s="14" t="n">
        <f aca="false">H196*12</f>
        <v>1584000</v>
      </c>
      <c r="O196" s="13" t="n">
        <f aca="false">IF(AND(E196&lt;Assumptions!$B$6,OR(F196="",F196&gt;=Assumptions!$B$6)),1,0)</f>
        <v>1</v>
      </c>
      <c r="P196" s="13" t="n">
        <f aca="false">IF(F196="",0,IF(AND(F196&gt;=Assumptions!$B$6,F196&lt;=Assumptions!$B$5),1,0))</f>
        <v>0</v>
      </c>
      <c r="Q196" s="14" t="n">
        <f aca="false">P196*N196*Assumptions!$B$7</f>
        <v>0</v>
      </c>
      <c r="R196" s="13" t="n">
        <f aca="false">IF(AND(P196=1,J196&gt;=Assumptions!$B$10),1,0)</f>
        <v>0</v>
      </c>
    </row>
    <row r="197" customFormat="false" ht="15" hidden="false" customHeight="false" outlineLevel="0" collapsed="false">
      <c r="A197" s="26" t="s">
        <v>300</v>
      </c>
      <c r="B197" s="26" t="s">
        <v>47</v>
      </c>
      <c r="C197" s="26" t="s">
        <v>100</v>
      </c>
      <c r="D197" s="26" t="s">
        <v>101</v>
      </c>
      <c r="E197" s="27" t="n">
        <v>42967</v>
      </c>
      <c r="F197" s="27"/>
      <c r="G197" s="26"/>
      <c r="H197" s="28" t="n">
        <v>43000</v>
      </c>
      <c r="I197" s="26" t="n">
        <v>2</v>
      </c>
      <c r="J197" s="26" t="n">
        <v>3</v>
      </c>
      <c r="K197" s="13" t="str">
        <f aca="false">IF(F197="","Active","Left")</f>
        <v>Active</v>
      </c>
      <c r="L197" s="16" t="n">
        <f aca="false">ROUND((IF(F197="",Assumptions!$B$5,F197)-E197)/365.25,1)</f>
        <v>9.1</v>
      </c>
      <c r="M197" s="13" t="str">
        <f aca="false">IF(L197&lt;1,"Under 1 yr",IF(L197&lt;3,"1 to 3 yrs",IF(L197&lt;5,"3 to 5 yrs","5+ yrs")))</f>
        <v>5+ yrs</v>
      </c>
      <c r="N197" s="14" t="n">
        <f aca="false">H197*12</f>
        <v>516000</v>
      </c>
      <c r="O197" s="13" t="n">
        <f aca="false">IF(AND(E197&lt;Assumptions!$B$6,OR(F197="",F197&gt;=Assumptions!$B$6)),1,0)</f>
        <v>1</v>
      </c>
      <c r="P197" s="13" t="n">
        <f aca="false">IF(F197="",0,IF(AND(F197&gt;=Assumptions!$B$6,F197&lt;=Assumptions!$B$5),1,0))</f>
        <v>0</v>
      </c>
      <c r="Q197" s="14" t="n">
        <f aca="false">P197*N197*Assumptions!$B$7</f>
        <v>0</v>
      </c>
      <c r="R197" s="13" t="n">
        <f aca="false">IF(AND(P197=1,J197&gt;=Assumptions!$B$10),1,0)</f>
        <v>0</v>
      </c>
    </row>
    <row r="198" customFormat="false" ht="15" hidden="false" customHeight="false" outlineLevel="0" collapsed="false">
      <c r="A198" s="26" t="s">
        <v>301</v>
      </c>
      <c r="B198" s="26" t="s">
        <v>50</v>
      </c>
      <c r="C198" s="26" t="s">
        <v>100</v>
      </c>
      <c r="D198" s="26" t="s">
        <v>105</v>
      </c>
      <c r="E198" s="27" t="n">
        <v>42009</v>
      </c>
      <c r="F198" s="27" t="n">
        <v>46088</v>
      </c>
      <c r="G198" s="26" t="s">
        <v>68</v>
      </c>
      <c r="H198" s="28" t="n">
        <v>49000</v>
      </c>
      <c r="I198" s="26" t="n">
        <v>7</v>
      </c>
      <c r="J198" s="26" t="n">
        <v>3</v>
      </c>
      <c r="K198" s="13" t="str">
        <f aca="false">IF(F198="","Active","Left")</f>
        <v>Left</v>
      </c>
      <c r="L198" s="16" t="n">
        <f aca="false">ROUND((IF(F198="",Assumptions!$B$5,F198)-E198)/365.25,1)</f>
        <v>11.2</v>
      </c>
      <c r="M198" s="13" t="str">
        <f aca="false">IF(L198&lt;1,"Under 1 yr",IF(L198&lt;3,"1 to 3 yrs",IF(L198&lt;5,"3 to 5 yrs","5+ yrs")))</f>
        <v>5+ yrs</v>
      </c>
      <c r="N198" s="14" t="n">
        <f aca="false">H198*12</f>
        <v>588000</v>
      </c>
      <c r="O198" s="13" t="n">
        <f aca="false">IF(AND(E198&lt;Assumptions!$B$6,OR(F198="",F198&gt;=Assumptions!$B$6)),1,0)</f>
        <v>1</v>
      </c>
      <c r="P198" s="13" t="n">
        <f aca="false">IF(F198="",0,IF(AND(F198&gt;=Assumptions!$B$6,F198&lt;=Assumptions!$B$5),1,0))</f>
        <v>1</v>
      </c>
      <c r="Q198" s="14" t="n">
        <f aca="false">P198*N198*Assumptions!$B$7</f>
        <v>294000</v>
      </c>
      <c r="R198" s="13" t="n">
        <f aca="false">IF(AND(P198=1,J198&gt;=Assumptions!$B$10),1,0)</f>
        <v>0</v>
      </c>
    </row>
    <row r="199" customFormat="false" ht="15" hidden="false" customHeight="false" outlineLevel="0" collapsed="false">
      <c r="A199" s="26" t="s">
        <v>302</v>
      </c>
      <c r="B199" s="26" t="s">
        <v>50</v>
      </c>
      <c r="C199" s="26" t="s">
        <v>125</v>
      </c>
      <c r="D199" s="26" t="s">
        <v>101</v>
      </c>
      <c r="E199" s="27" t="n">
        <v>45974</v>
      </c>
      <c r="F199" s="27"/>
      <c r="G199" s="26"/>
      <c r="H199" s="28" t="n">
        <v>192000</v>
      </c>
      <c r="I199" s="26" t="n">
        <v>8</v>
      </c>
      <c r="J199" s="26" t="n">
        <v>3</v>
      </c>
      <c r="K199" s="13" t="str">
        <f aca="false">IF(F199="","Active","Left")</f>
        <v>Active</v>
      </c>
      <c r="L199" s="16" t="n">
        <f aca="false">ROUND((IF(F199="",Assumptions!$B$5,F199)-E199)/365.25,1)</f>
        <v>0.9</v>
      </c>
      <c r="M199" s="13" t="str">
        <f aca="false">IF(L199&lt;1,"Under 1 yr",IF(L199&lt;3,"1 to 3 yrs",IF(L199&lt;5,"3 to 5 yrs","5+ yrs")))</f>
        <v>Under 1 yr</v>
      </c>
      <c r="N199" s="14" t="n">
        <f aca="false">H199*12</f>
        <v>2304000</v>
      </c>
      <c r="O199" s="13" t="n">
        <f aca="false">IF(AND(E199&lt;Assumptions!$B$6,OR(F199="",F199&gt;=Assumptions!$B$6)),1,0)</f>
        <v>0</v>
      </c>
      <c r="P199" s="13" t="n">
        <f aca="false">IF(F199="",0,IF(AND(F199&gt;=Assumptions!$B$6,F199&lt;=Assumptions!$B$5),1,0))</f>
        <v>0</v>
      </c>
      <c r="Q199" s="14" t="n">
        <f aca="false">P199*N199*Assumptions!$B$7</f>
        <v>0</v>
      </c>
      <c r="R199" s="13" t="n">
        <f aca="false">IF(AND(P199=1,J199&gt;=Assumptions!$B$10),1,0)</f>
        <v>0</v>
      </c>
    </row>
    <row r="200" customFormat="false" ht="15" hidden="false" customHeight="false" outlineLevel="0" collapsed="false">
      <c r="A200" s="26" t="s">
        <v>303</v>
      </c>
      <c r="B200" s="26" t="s">
        <v>47</v>
      </c>
      <c r="C200" s="26" t="s">
        <v>104</v>
      </c>
      <c r="D200" s="26" t="s">
        <v>101</v>
      </c>
      <c r="E200" s="27" t="n">
        <v>42990</v>
      </c>
      <c r="F200" s="27"/>
      <c r="G200" s="26"/>
      <c r="H200" s="28" t="n">
        <v>136000</v>
      </c>
      <c r="I200" s="26" t="n">
        <v>6</v>
      </c>
      <c r="J200" s="26" t="n">
        <v>3</v>
      </c>
      <c r="K200" s="13" t="str">
        <f aca="false">IF(F200="","Active","Left")</f>
        <v>Active</v>
      </c>
      <c r="L200" s="16" t="n">
        <f aca="false">ROUND((IF(F200="",Assumptions!$B$5,F200)-E200)/365.25,1)</f>
        <v>9</v>
      </c>
      <c r="M200" s="13" t="str">
        <f aca="false">IF(L200&lt;1,"Under 1 yr",IF(L200&lt;3,"1 to 3 yrs",IF(L200&lt;5,"3 to 5 yrs","5+ yrs")))</f>
        <v>5+ yrs</v>
      </c>
      <c r="N200" s="14" t="n">
        <f aca="false">H200*12</f>
        <v>1632000</v>
      </c>
      <c r="O200" s="13" t="n">
        <f aca="false">IF(AND(E200&lt;Assumptions!$B$6,OR(F200="",F200&gt;=Assumptions!$B$6)),1,0)</f>
        <v>1</v>
      </c>
      <c r="P200" s="13" t="n">
        <f aca="false">IF(F200="",0,IF(AND(F200&gt;=Assumptions!$B$6,F200&lt;=Assumptions!$B$5),1,0))</f>
        <v>0</v>
      </c>
      <c r="Q200" s="14" t="n">
        <f aca="false">P200*N200*Assumptions!$B$7</f>
        <v>0</v>
      </c>
      <c r="R200" s="13" t="n">
        <f aca="false">IF(AND(P200=1,J200&gt;=Assumptions!$B$10),1,0)</f>
        <v>0</v>
      </c>
    </row>
    <row r="201" customFormat="false" ht="15" hidden="false" customHeight="false" outlineLevel="0" collapsed="false">
      <c r="A201" s="26" t="s">
        <v>304</v>
      </c>
      <c r="B201" s="26" t="s">
        <v>50</v>
      </c>
      <c r="C201" s="26" t="s">
        <v>100</v>
      </c>
      <c r="D201" s="26" t="s">
        <v>101</v>
      </c>
      <c r="E201" s="27" t="n">
        <v>43845</v>
      </c>
      <c r="F201" s="27"/>
      <c r="G201" s="26"/>
      <c r="H201" s="28" t="n">
        <v>39000</v>
      </c>
      <c r="I201" s="26" t="n">
        <v>6</v>
      </c>
      <c r="J201" s="26" t="n">
        <v>5</v>
      </c>
      <c r="K201" s="13" t="str">
        <f aca="false">IF(F201="","Active","Left")</f>
        <v>Active</v>
      </c>
      <c r="L201" s="16" t="n">
        <f aca="false">ROUND((IF(F201="",Assumptions!$B$5,F201)-E201)/365.25,1)</f>
        <v>6.7</v>
      </c>
      <c r="M201" s="13" t="str">
        <f aca="false">IF(L201&lt;1,"Under 1 yr",IF(L201&lt;3,"1 to 3 yrs",IF(L201&lt;5,"3 to 5 yrs","5+ yrs")))</f>
        <v>5+ yrs</v>
      </c>
      <c r="N201" s="14" t="n">
        <f aca="false">H201*12</f>
        <v>468000</v>
      </c>
      <c r="O201" s="13" t="n">
        <f aca="false">IF(AND(E201&lt;Assumptions!$B$6,OR(F201="",F201&gt;=Assumptions!$B$6)),1,0)</f>
        <v>1</v>
      </c>
      <c r="P201" s="13" t="n">
        <f aca="false">IF(F201="",0,IF(AND(F201&gt;=Assumptions!$B$6,F201&lt;=Assumptions!$B$5),1,0))</f>
        <v>0</v>
      </c>
      <c r="Q201" s="14" t="n">
        <f aca="false">P201*N201*Assumptions!$B$7</f>
        <v>0</v>
      </c>
      <c r="R201" s="13" t="n">
        <f aca="false">IF(AND(P201=1,J201&gt;=Assumptions!$B$10),1,0)</f>
        <v>0</v>
      </c>
    </row>
    <row r="202" customFormat="false" ht="15" hidden="false" customHeight="false" outlineLevel="0" collapsed="false">
      <c r="A202" s="26" t="s">
        <v>305</v>
      </c>
      <c r="B202" s="26" t="s">
        <v>45</v>
      </c>
      <c r="C202" s="26" t="s">
        <v>100</v>
      </c>
      <c r="D202" s="26" t="s">
        <v>101</v>
      </c>
      <c r="E202" s="27" t="n">
        <v>44500</v>
      </c>
      <c r="F202" s="27"/>
      <c r="G202" s="26"/>
      <c r="H202" s="28" t="n">
        <v>60000</v>
      </c>
      <c r="I202" s="26" t="n">
        <v>4</v>
      </c>
      <c r="J202" s="26" t="n">
        <v>3</v>
      </c>
      <c r="K202" s="13" t="str">
        <f aca="false">IF(F202="","Active","Left")</f>
        <v>Active</v>
      </c>
      <c r="L202" s="16" t="n">
        <f aca="false">ROUND((IF(F202="",Assumptions!$B$5,F202)-E202)/365.25,1)</f>
        <v>4.9</v>
      </c>
      <c r="M202" s="13" t="str">
        <f aca="false">IF(L202&lt;1,"Under 1 yr",IF(L202&lt;3,"1 to 3 yrs",IF(L202&lt;5,"3 to 5 yrs","5+ yrs")))</f>
        <v>3 to 5 yrs</v>
      </c>
      <c r="N202" s="14" t="n">
        <f aca="false">H202*12</f>
        <v>720000</v>
      </c>
      <c r="O202" s="13" t="n">
        <f aca="false">IF(AND(E202&lt;Assumptions!$B$6,OR(F202="",F202&gt;=Assumptions!$B$6)),1,0)</f>
        <v>1</v>
      </c>
      <c r="P202" s="13" t="n">
        <f aca="false">IF(F202="",0,IF(AND(F202&gt;=Assumptions!$B$6,F202&lt;=Assumptions!$B$5),1,0))</f>
        <v>0</v>
      </c>
      <c r="Q202" s="14" t="n">
        <f aca="false">P202*N202*Assumptions!$B$7</f>
        <v>0</v>
      </c>
      <c r="R202" s="13" t="n">
        <f aca="false">IF(AND(P202=1,J202&gt;=Assumptions!$B$10),1,0)</f>
        <v>0</v>
      </c>
    </row>
    <row r="203" customFormat="false" ht="15" hidden="false" customHeight="false" outlineLevel="0" collapsed="false">
      <c r="A203" s="26" t="s">
        <v>306</v>
      </c>
      <c r="B203" s="26" t="s">
        <v>45</v>
      </c>
      <c r="C203" s="26" t="s">
        <v>100</v>
      </c>
      <c r="D203" s="26" t="s">
        <v>105</v>
      </c>
      <c r="E203" s="27" t="n">
        <v>43999</v>
      </c>
      <c r="F203" s="27"/>
      <c r="G203" s="26"/>
      <c r="H203" s="28" t="n">
        <v>40000</v>
      </c>
      <c r="I203" s="26" t="n">
        <v>2</v>
      </c>
      <c r="J203" s="26" t="n">
        <v>3</v>
      </c>
      <c r="K203" s="13" t="str">
        <f aca="false">IF(F203="","Active","Left")</f>
        <v>Active</v>
      </c>
      <c r="L203" s="16" t="n">
        <f aca="false">ROUND((IF(F203="",Assumptions!$B$5,F203)-E203)/365.25,1)</f>
        <v>6.3</v>
      </c>
      <c r="M203" s="13" t="str">
        <f aca="false">IF(L203&lt;1,"Under 1 yr",IF(L203&lt;3,"1 to 3 yrs",IF(L203&lt;5,"3 to 5 yrs","5+ yrs")))</f>
        <v>5+ yrs</v>
      </c>
      <c r="N203" s="14" t="n">
        <f aca="false">H203*12</f>
        <v>480000</v>
      </c>
      <c r="O203" s="13" t="n">
        <f aca="false">IF(AND(E203&lt;Assumptions!$B$6,OR(F203="",F203&gt;=Assumptions!$B$6)),1,0)</f>
        <v>1</v>
      </c>
      <c r="P203" s="13" t="n">
        <f aca="false">IF(F203="",0,IF(AND(F203&gt;=Assumptions!$B$6,F203&lt;=Assumptions!$B$5),1,0))</f>
        <v>0</v>
      </c>
      <c r="Q203" s="14" t="n">
        <f aca="false">P203*N203*Assumptions!$B$7</f>
        <v>0</v>
      </c>
      <c r="R203" s="13" t="n">
        <f aca="false">IF(AND(P203=1,J203&gt;=Assumptions!$B$10),1,0)</f>
        <v>0</v>
      </c>
    </row>
    <row r="204" customFormat="false" ht="15" hidden="false" customHeight="false" outlineLevel="0" collapsed="false">
      <c r="A204" s="26" t="s">
        <v>307</v>
      </c>
      <c r="B204" s="26" t="s">
        <v>48</v>
      </c>
      <c r="C204" s="26" t="s">
        <v>108</v>
      </c>
      <c r="D204" s="26" t="s">
        <v>105</v>
      </c>
      <c r="E204" s="27" t="n">
        <v>44359</v>
      </c>
      <c r="F204" s="27" t="n">
        <v>46076</v>
      </c>
      <c r="G204" s="26" t="s">
        <v>65</v>
      </c>
      <c r="H204" s="28" t="n">
        <v>92000</v>
      </c>
      <c r="I204" s="26" t="n">
        <v>1</v>
      </c>
      <c r="J204" s="26" t="n">
        <v>4</v>
      </c>
      <c r="K204" s="13" t="str">
        <f aca="false">IF(F204="","Active","Left")</f>
        <v>Left</v>
      </c>
      <c r="L204" s="16" t="n">
        <f aca="false">ROUND((IF(F204="",Assumptions!$B$5,F204)-E204)/365.25,1)</f>
        <v>4.7</v>
      </c>
      <c r="M204" s="13" t="str">
        <f aca="false">IF(L204&lt;1,"Under 1 yr",IF(L204&lt;3,"1 to 3 yrs",IF(L204&lt;5,"3 to 5 yrs","5+ yrs")))</f>
        <v>3 to 5 yrs</v>
      </c>
      <c r="N204" s="14" t="n">
        <f aca="false">H204*12</f>
        <v>1104000</v>
      </c>
      <c r="O204" s="13" t="n">
        <f aca="false">IF(AND(E204&lt;Assumptions!$B$6,OR(F204="",F204&gt;=Assumptions!$B$6)),1,0)</f>
        <v>1</v>
      </c>
      <c r="P204" s="13" t="n">
        <f aca="false">IF(F204="",0,IF(AND(F204&gt;=Assumptions!$B$6,F204&lt;=Assumptions!$B$5),1,0))</f>
        <v>1</v>
      </c>
      <c r="Q204" s="14" t="n">
        <f aca="false">P204*N204*Assumptions!$B$7</f>
        <v>552000</v>
      </c>
      <c r="R204" s="13" t="n">
        <f aca="false">IF(AND(P204=1,J204&gt;=Assumptions!$B$10),1,0)</f>
        <v>1</v>
      </c>
    </row>
    <row r="205" customFormat="false" ht="15" hidden="false" customHeight="false" outlineLevel="0" collapsed="false">
      <c r="A205" s="26" t="s">
        <v>308</v>
      </c>
      <c r="B205" s="26" t="s">
        <v>48</v>
      </c>
      <c r="C205" s="26" t="s">
        <v>125</v>
      </c>
      <c r="D205" s="26" t="s">
        <v>105</v>
      </c>
      <c r="E205" s="27" t="n">
        <v>45053</v>
      </c>
      <c r="F205" s="27"/>
      <c r="G205" s="26"/>
      <c r="H205" s="28" t="n">
        <v>254000</v>
      </c>
      <c r="I205" s="26" t="n">
        <v>7</v>
      </c>
      <c r="J205" s="26" t="n">
        <v>4</v>
      </c>
      <c r="K205" s="13" t="str">
        <f aca="false">IF(F205="","Active","Left")</f>
        <v>Active</v>
      </c>
      <c r="L205" s="16" t="n">
        <f aca="false">ROUND((IF(F205="",Assumptions!$B$5,F205)-E205)/365.25,1)</f>
        <v>3.4</v>
      </c>
      <c r="M205" s="13" t="str">
        <f aca="false">IF(L205&lt;1,"Under 1 yr",IF(L205&lt;3,"1 to 3 yrs",IF(L205&lt;5,"3 to 5 yrs","5+ yrs")))</f>
        <v>3 to 5 yrs</v>
      </c>
      <c r="N205" s="14" t="n">
        <f aca="false">H205*12</f>
        <v>3048000</v>
      </c>
      <c r="O205" s="13" t="n">
        <f aca="false">IF(AND(E205&lt;Assumptions!$B$6,OR(F205="",F205&gt;=Assumptions!$B$6)),1,0)</f>
        <v>1</v>
      </c>
      <c r="P205" s="13" t="n">
        <f aca="false">IF(F205="",0,IF(AND(F205&gt;=Assumptions!$B$6,F205&lt;=Assumptions!$B$5),1,0))</f>
        <v>0</v>
      </c>
      <c r="Q205" s="14" t="n">
        <f aca="false">P205*N205*Assumptions!$B$7</f>
        <v>0</v>
      </c>
      <c r="R205" s="13" t="n">
        <f aca="false">IF(AND(P205=1,J205&gt;=Assumptions!$B$10),1,0)</f>
        <v>0</v>
      </c>
    </row>
    <row r="206" customFormat="false" ht="15" hidden="false" customHeight="false" outlineLevel="0" collapsed="false">
      <c r="A206" s="26" t="s">
        <v>309</v>
      </c>
      <c r="B206" s="26" t="s">
        <v>50</v>
      </c>
      <c r="C206" s="26" t="s">
        <v>108</v>
      </c>
      <c r="D206" s="26" t="s">
        <v>105</v>
      </c>
      <c r="E206" s="27" t="n">
        <v>43002</v>
      </c>
      <c r="F206" s="27"/>
      <c r="G206" s="26"/>
      <c r="H206" s="28" t="n">
        <v>85000</v>
      </c>
      <c r="I206" s="26" t="n">
        <v>11</v>
      </c>
      <c r="J206" s="26" t="n">
        <v>3</v>
      </c>
      <c r="K206" s="13" t="str">
        <f aca="false">IF(F206="","Active","Left")</f>
        <v>Active</v>
      </c>
      <c r="L206" s="16" t="n">
        <f aca="false">ROUND((IF(F206="",Assumptions!$B$5,F206)-E206)/365.25,1)</f>
        <v>9</v>
      </c>
      <c r="M206" s="13" t="str">
        <f aca="false">IF(L206&lt;1,"Under 1 yr",IF(L206&lt;3,"1 to 3 yrs",IF(L206&lt;5,"3 to 5 yrs","5+ yrs")))</f>
        <v>5+ yrs</v>
      </c>
      <c r="N206" s="14" t="n">
        <f aca="false">H206*12</f>
        <v>1020000</v>
      </c>
      <c r="O206" s="13" t="n">
        <f aca="false">IF(AND(E206&lt;Assumptions!$B$6,OR(F206="",F206&gt;=Assumptions!$B$6)),1,0)</f>
        <v>1</v>
      </c>
      <c r="P206" s="13" t="n">
        <f aca="false">IF(F206="",0,IF(AND(F206&gt;=Assumptions!$B$6,F206&lt;=Assumptions!$B$5),1,0))</f>
        <v>0</v>
      </c>
      <c r="Q206" s="14" t="n">
        <f aca="false">P206*N206*Assumptions!$B$7</f>
        <v>0</v>
      </c>
      <c r="R206" s="13" t="n">
        <f aca="false">IF(AND(P206=1,J206&gt;=Assumptions!$B$10),1,0)</f>
        <v>0</v>
      </c>
    </row>
    <row r="207" customFormat="false" ht="15" hidden="false" customHeight="false" outlineLevel="0" collapsed="false">
      <c r="A207" s="26" t="s">
        <v>310</v>
      </c>
      <c r="B207" s="26" t="s">
        <v>46</v>
      </c>
      <c r="C207" s="26" t="s">
        <v>108</v>
      </c>
      <c r="D207" s="26" t="s">
        <v>101</v>
      </c>
      <c r="E207" s="27" t="n">
        <v>45929</v>
      </c>
      <c r="F207" s="27" t="n">
        <v>46291</v>
      </c>
      <c r="G207" s="26" t="s">
        <v>62</v>
      </c>
      <c r="H207" s="28" t="n">
        <v>94000</v>
      </c>
      <c r="I207" s="26" t="n">
        <v>11</v>
      </c>
      <c r="J207" s="26" t="n">
        <v>3</v>
      </c>
      <c r="K207" s="13" t="str">
        <f aca="false">IF(F207="","Active","Left")</f>
        <v>Left</v>
      </c>
      <c r="L207" s="16" t="n">
        <f aca="false">ROUND((IF(F207="",Assumptions!$B$5,F207)-E207)/365.25,1)</f>
        <v>1</v>
      </c>
      <c r="M207" s="13" t="str">
        <f aca="false">IF(L207&lt;1,"Under 1 yr",IF(L207&lt;3,"1 to 3 yrs",IF(L207&lt;5,"3 to 5 yrs","5+ yrs")))</f>
        <v>1 to 3 yrs</v>
      </c>
      <c r="N207" s="14" t="n">
        <f aca="false">H207*12</f>
        <v>1128000</v>
      </c>
      <c r="O207" s="13" t="n">
        <f aca="false">IF(AND(E207&lt;Assumptions!$B$6,OR(F207="",F207&gt;=Assumptions!$B$6)),1,0)</f>
        <v>1</v>
      </c>
      <c r="P207" s="13" t="n">
        <f aca="false">IF(F207="",0,IF(AND(F207&gt;=Assumptions!$B$6,F207&lt;=Assumptions!$B$5),1,0))</f>
        <v>1</v>
      </c>
      <c r="Q207" s="14" t="n">
        <f aca="false">P207*N207*Assumptions!$B$7</f>
        <v>564000</v>
      </c>
      <c r="R207" s="13" t="n">
        <f aca="false">IF(AND(P207=1,J207&gt;=Assumptions!$B$10),1,0)</f>
        <v>0</v>
      </c>
    </row>
    <row r="208" customFormat="false" ht="15" hidden="false" customHeight="false" outlineLevel="0" collapsed="false">
      <c r="A208" s="26" t="s">
        <v>311</v>
      </c>
      <c r="B208" s="26" t="s">
        <v>45</v>
      </c>
      <c r="C208" s="26" t="s">
        <v>108</v>
      </c>
      <c r="D208" s="26" t="s">
        <v>101</v>
      </c>
      <c r="E208" s="27" t="n">
        <v>46063</v>
      </c>
      <c r="F208" s="27" t="n">
        <v>46178</v>
      </c>
      <c r="G208" s="26" t="s">
        <v>62</v>
      </c>
      <c r="H208" s="28" t="n">
        <v>75000</v>
      </c>
      <c r="I208" s="26" t="n">
        <v>7</v>
      </c>
      <c r="J208" s="26" t="n">
        <v>4</v>
      </c>
      <c r="K208" s="13" t="str">
        <f aca="false">IF(F208="","Active","Left")</f>
        <v>Left</v>
      </c>
      <c r="L208" s="16" t="n">
        <f aca="false">ROUND((IF(F208="",Assumptions!$B$5,F208)-E208)/365.25,1)</f>
        <v>0.3</v>
      </c>
      <c r="M208" s="13" t="str">
        <f aca="false">IF(L208&lt;1,"Under 1 yr",IF(L208&lt;3,"1 to 3 yrs",IF(L208&lt;5,"3 to 5 yrs","5+ yrs")))</f>
        <v>Under 1 yr</v>
      </c>
      <c r="N208" s="14" t="n">
        <f aca="false">H208*12</f>
        <v>900000</v>
      </c>
      <c r="O208" s="13" t="n">
        <f aca="false">IF(AND(E208&lt;Assumptions!$B$6,OR(F208="",F208&gt;=Assumptions!$B$6)),1,0)</f>
        <v>0</v>
      </c>
      <c r="P208" s="13" t="n">
        <f aca="false">IF(F208="",0,IF(AND(F208&gt;=Assumptions!$B$6,F208&lt;=Assumptions!$B$5),1,0))</f>
        <v>1</v>
      </c>
      <c r="Q208" s="14" t="n">
        <f aca="false">P208*N208*Assumptions!$B$7</f>
        <v>450000</v>
      </c>
      <c r="R208" s="13" t="n">
        <f aca="false">IF(AND(P208=1,J208&gt;=Assumptions!$B$10),1,0)</f>
        <v>1</v>
      </c>
    </row>
    <row r="209" customFormat="false" ht="15" hidden="false" customHeight="false" outlineLevel="0" collapsed="false">
      <c r="A209" s="26" t="s">
        <v>312</v>
      </c>
      <c r="B209" s="26" t="s">
        <v>47</v>
      </c>
      <c r="C209" s="26" t="s">
        <v>100</v>
      </c>
      <c r="D209" s="26" t="s">
        <v>101</v>
      </c>
      <c r="E209" s="27" t="n">
        <v>43352</v>
      </c>
      <c r="F209" s="27"/>
      <c r="G209" s="26"/>
      <c r="H209" s="28" t="n">
        <v>51000</v>
      </c>
      <c r="I209" s="26" t="n">
        <v>8</v>
      </c>
      <c r="J209" s="26" t="n">
        <v>3</v>
      </c>
      <c r="K209" s="13" t="str">
        <f aca="false">IF(F209="","Active","Left")</f>
        <v>Active</v>
      </c>
      <c r="L209" s="16" t="n">
        <f aca="false">ROUND((IF(F209="",Assumptions!$B$5,F209)-E209)/365.25,1)</f>
        <v>8.1</v>
      </c>
      <c r="M209" s="13" t="str">
        <f aca="false">IF(L209&lt;1,"Under 1 yr",IF(L209&lt;3,"1 to 3 yrs",IF(L209&lt;5,"3 to 5 yrs","5+ yrs")))</f>
        <v>5+ yrs</v>
      </c>
      <c r="N209" s="14" t="n">
        <f aca="false">H209*12</f>
        <v>612000</v>
      </c>
      <c r="O209" s="13" t="n">
        <f aca="false">IF(AND(E209&lt;Assumptions!$B$6,OR(F209="",F209&gt;=Assumptions!$B$6)),1,0)</f>
        <v>1</v>
      </c>
      <c r="P209" s="13" t="n">
        <f aca="false">IF(F209="",0,IF(AND(F209&gt;=Assumptions!$B$6,F209&lt;=Assumptions!$B$5),1,0))</f>
        <v>0</v>
      </c>
      <c r="Q209" s="14" t="n">
        <f aca="false">P209*N209*Assumptions!$B$7</f>
        <v>0</v>
      </c>
      <c r="R209" s="13" t="n">
        <f aca="false">IF(AND(P209=1,J209&gt;=Assumptions!$B$10),1,0)</f>
        <v>0</v>
      </c>
    </row>
    <row r="210" customFormat="false" ht="15" hidden="false" customHeight="false" outlineLevel="0" collapsed="false">
      <c r="A210" s="26" t="s">
        <v>313</v>
      </c>
      <c r="B210" s="26" t="s">
        <v>48</v>
      </c>
      <c r="C210" s="26" t="s">
        <v>100</v>
      </c>
      <c r="D210" s="26" t="s">
        <v>101</v>
      </c>
      <c r="E210" s="27" t="n">
        <v>44100</v>
      </c>
      <c r="F210" s="27"/>
      <c r="G210" s="26"/>
      <c r="H210" s="28" t="n">
        <v>42000</v>
      </c>
      <c r="I210" s="26" t="n">
        <v>4</v>
      </c>
      <c r="J210" s="26" t="n">
        <v>3</v>
      </c>
      <c r="K210" s="13" t="str">
        <f aca="false">IF(F210="","Active","Left")</f>
        <v>Active</v>
      </c>
      <c r="L210" s="16" t="n">
        <f aca="false">ROUND((IF(F210="",Assumptions!$B$5,F210)-E210)/365.25,1)</f>
        <v>6</v>
      </c>
      <c r="M210" s="13" t="str">
        <f aca="false">IF(L210&lt;1,"Under 1 yr",IF(L210&lt;3,"1 to 3 yrs",IF(L210&lt;5,"3 to 5 yrs","5+ yrs")))</f>
        <v>5+ yrs</v>
      </c>
      <c r="N210" s="14" t="n">
        <f aca="false">H210*12</f>
        <v>504000</v>
      </c>
      <c r="O210" s="13" t="n">
        <f aca="false">IF(AND(E210&lt;Assumptions!$B$6,OR(F210="",F210&gt;=Assumptions!$B$6)),1,0)</f>
        <v>1</v>
      </c>
      <c r="P210" s="13" t="n">
        <f aca="false">IF(F210="",0,IF(AND(F210&gt;=Assumptions!$B$6,F210&lt;=Assumptions!$B$5),1,0))</f>
        <v>0</v>
      </c>
      <c r="Q210" s="14" t="n">
        <f aca="false">P210*N210*Assumptions!$B$7</f>
        <v>0</v>
      </c>
      <c r="R210" s="13" t="n">
        <f aca="false">IF(AND(P210=1,J210&gt;=Assumptions!$B$10),1,0)</f>
        <v>0</v>
      </c>
    </row>
    <row r="211" customFormat="false" ht="15" hidden="false" customHeight="false" outlineLevel="0" collapsed="false">
      <c r="A211" s="26" t="s">
        <v>314</v>
      </c>
      <c r="B211" s="26" t="s">
        <v>46</v>
      </c>
      <c r="C211" s="26" t="s">
        <v>108</v>
      </c>
      <c r="D211" s="26" t="s">
        <v>101</v>
      </c>
      <c r="E211" s="27" t="n">
        <v>42319</v>
      </c>
      <c r="F211" s="27"/>
      <c r="G211" s="26"/>
      <c r="H211" s="28" t="n">
        <v>84000</v>
      </c>
      <c r="I211" s="26" t="n">
        <v>4</v>
      </c>
      <c r="J211" s="26" t="n">
        <v>3</v>
      </c>
      <c r="K211" s="13" t="str">
        <f aca="false">IF(F211="","Active","Left")</f>
        <v>Active</v>
      </c>
      <c r="L211" s="16" t="n">
        <f aca="false">ROUND((IF(F211="",Assumptions!$B$5,F211)-E211)/365.25,1)</f>
        <v>10.9</v>
      </c>
      <c r="M211" s="13" t="str">
        <f aca="false">IF(L211&lt;1,"Under 1 yr",IF(L211&lt;3,"1 to 3 yrs",IF(L211&lt;5,"3 to 5 yrs","5+ yrs")))</f>
        <v>5+ yrs</v>
      </c>
      <c r="N211" s="14" t="n">
        <f aca="false">H211*12</f>
        <v>1008000</v>
      </c>
      <c r="O211" s="13" t="n">
        <f aca="false">IF(AND(E211&lt;Assumptions!$B$6,OR(F211="",F211&gt;=Assumptions!$B$6)),1,0)</f>
        <v>1</v>
      </c>
      <c r="P211" s="13" t="n">
        <f aca="false">IF(F211="",0,IF(AND(F211&gt;=Assumptions!$B$6,F211&lt;=Assumptions!$B$5),1,0))</f>
        <v>0</v>
      </c>
      <c r="Q211" s="14" t="n">
        <f aca="false">P211*N211*Assumptions!$B$7</f>
        <v>0</v>
      </c>
      <c r="R211" s="13" t="n">
        <f aca="false">IF(AND(P211=1,J211&gt;=Assumptions!$B$10),1,0)</f>
        <v>0</v>
      </c>
    </row>
    <row r="212" customFormat="false" ht="15" hidden="false" customHeight="false" outlineLevel="0" collapsed="false">
      <c r="A212" s="26" t="s">
        <v>315</v>
      </c>
      <c r="B212" s="26" t="s">
        <v>48</v>
      </c>
      <c r="C212" s="26" t="s">
        <v>108</v>
      </c>
      <c r="D212" s="26" t="s">
        <v>101</v>
      </c>
      <c r="E212" s="27" t="n">
        <v>42420</v>
      </c>
      <c r="F212" s="27"/>
      <c r="G212" s="26"/>
      <c r="H212" s="28" t="n">
        <v>108000</v>
      </c>
      <c r="I212" s="26" t="n">
        <v>0</v>
      </c>
      <c r="J212" s="26" t="n">
        <v>4</v>
      </c>
      <c r="K212" s="13" t="str">
        <f aca="false">IF(F212="","Active","Left")</f>
        <v>Active</v>
      </c>
      <c r="L212" s="16" t="n">
        <f aca="false">ROUND((IF(F212="",Assumptions!$B$5,F212)-E212)/365.25,1)</f>
        <v>10.6</v>
      </c>
      <c r="M212" s="13" t="str">
        <f aca="false">IF(L212&lt;1,"Under 1 yr",IF(L212&lt;3,"1 to 3 yrs",IF(L212&lt;5,"3 to 5 yrs","5+ yrs")))</f>
        <v>5+ yrs</v>
      </c>
      <c r="N212" s="14" t="n">
        <f aca="false">H212*12</f>
        <v>1296000</v>
      </c>
      <c r="O212" s="13" t="n">
        <f aca="false">IF(AND(E212&lt;Assumptions!$B$6,OR(F212="",F212&gt;=Assumptions!$B$6)),1,0)</f>
        <v>1</v>
      </c>
      <c r="P212" s="13" t="n">
        <f aca="false">IF(F212="",0,IF(AND(F212&gt;=Assumptions!$B$6,F212&lt;=Assumptions!$B$5),1,0))</f>
        <v>0</v>
      </c>
      <c r="Q212" s="14" t="n">
        <f aca="false">P212*N212*Assumptions!$B$7</f>
        <v>0</v>
      </c>
      <c r="R212" s="13" t="n">
        <f aca="false">IF(AND(P212=1,J212&gt;=Assumptions!$B$10),1,0)</f>
        <v>0</v>
      </c>
    </row>
    <row r="213" customFormat="false" ht="15" hidden="false" customHeight="false" outlineLevel="0" collapsed="false">
      <c r="A213" s="26" t="s">
        <v>316</v>
      </c>
      <c r="B213" s="26" t="s">
        <v>50</v>
      </c>
      <c r="C213" s="26" t="s">
        <v>108</v>
      </c>
      <c r="D213" s="26" t="s">
        <v>101</v>
      </c>
      <c r="E213" s="27" t="n">
        <v>46081</v>
      </c>
      <c r="F213" s="27" t="n">
        <v>46229</v>
      </c>
      <c r="G213" s="26" t="s">
        <v>63</v>
      </c>
      <c r="H213" s="28" t="n">
        <v>105000</v>
      </c>
      <c r="I213" s="26" t="n">
        <v>5</v>
      </c>
      <c r="J213" s="26" t="n">
        <v>3</v>
      </c>
      <c r="K213" s="13" t="str">
        <f aca="false">IF(F213="","Active","Left")</f>
        <v>Left</v>
      </c>
      <c r="L213" s="16" t="n">
        <f aca="false">ROUND((IF(F213="",Assumptions!$B$5,F213)-E213)/365.25,1)</f>
        <v>0.4</v>
      </c>
      <c r="M213" s="13" t="str">
        <f aca="false">IF(L213&lt;1,"Under 1 yr",IF(L213&lt;3,"1 to 3 yrs",IF(L213&lt;5,"3 to 5 yrs","5+ yrs")))</f>
        <v>Under 1 yr</v>
      </c>
      <c r="N213" s="14" t="n">
        <f aca="false">H213*12</f>
        <v>1260000</v>
      </c>
      <c r="O213" s="13" t="n">
        <f aca="false">IF(AND(E213&lt;Assumptions!$B$6,OR(F213="",F213&gt;=Assumptions!$B$6)),1,0)</f>
        <v>0</v>
      </c>
      <c r="P213" s="13" t="n">
        <f aca="false">IF(F213="",0,IF(AND(F213&gt;=Assumptions!$B$6,F213&lt;=Assumptions!$B$5),1,0))</f>
        <v>1</v>
      </c>
      <c r="Q213" s="14" t="n">
        <f aca="false">P213*N213*Assumptions!$B$7</f>
        <v>630000</v>
      </c>
      <c r="R213" s="13" t="n">
        <f aca="false">IF(AND(P213=1,J213&gt;=Assumptions!$B$10),1,0)</f>
        <v>0</v>
      </c>
    </row>
    <row r="214" customFormat="false" ht="15" hidden="false" customHeight="false" outlineLevel="0" collapsed="false">
      <c r="A214" s="26" t="s">
        <v>317</v>
      </c>
      <c r="B214" s="26" t="s">
        <v>46</v>
      </c>
      <c r="C214" s="26" t="s">
        <v>100</v>
      </c>
      <c r="D214" s="26" t="s">
        <v>105</v>
      </c>
      <c r="E214" s="27" t="n">
        <v>45417</v>
      </c>
      <c r="F214" s="27"/>
      <c r="G214" s="26"/>
      <c r="H214" s="28" t="n">
        <v>50000</v>
      </c>
      <c r="I214" s="26" t="n">
        <v>5</v>
      </c>
      <c r="J214" s="26" t="n">
        <v>5</v>
      </c>
      <c r="K214" s="13" t="str">
        <f aca="false">IF(F214="","Active","Left")</f>
        <v>Active</v>
      </c>
      <c r="L214" s="16" t="n">
        <f aca="false">ROUND((IF(F214="",Assumptions!$B$5,F214)-E214)/365.25,1)</f>
        <v>2.4</v>
      </c>
      <c r="M214" s="13" t="str">
        <f aca="false">IF(L214&lt;1,"Under 1 yr",IF(L214&lt;3,"1 to 3 yrs",IF(L214&lt;5,"3 to 5 yrs","5+ yrs")))</f>
        <v>1 to 3 yrs</v>
      </c>
      <c r="N214" s="14" t="n">
        <f aca="false">H214*12</f>
        <v>600000</v>
      </c>
      <c r="O214" s="13" t="n">
        <f aca="false">IF(AND(E214&lt;Assumptions!$B$6,OR(F214="",F214&gt;=Assumptions!$B$6)),1,0)</f>
        <v>1</v>
      </c>
      <c r="P214" s="13" t="n">
        <f aca="false">IF(F214="",0,IF(AND(F214&gt;=Assumptions!$B$6,F214&lt;=Assumptions!$B$5),1,0))</f>
        <v>0</v>
      </c>
      <c r="Q214" s="14" t="n">
        <f aca="false">P214*N214*Assumptions!$B$7</f>
        <v>0</v>
      </c>
      <c r="R214" s="13" t="n">
        <f aca="false">IF(AND(P214=1,J214&gt;=Assumptions!$B$10),1,0)</f>
        <v>0</v>
      </c>
    </row>
    <row r="215" customFormat="false" ht="15" hidden="false" customHeight="false" outlineLevel="0" collapsed="false">
      <c r="A215" s="26" t="s">
        <v>318</v>
      </c>
      <c r="B215" s="26" t="s">
        <v>46</v>
      </c>
      <c r="C215" s="26" t="s">
        <v>100</v>
      </c>
      <c r="D215" s="26" t="s">
        <v>105</v>
      </c>
      <c r="E215" s="27" t="n">
        <v>43754</v>
      </c>
      <c r="F215" s="27"/>
      <c r="G215" s="26"/>
      <c r="H215" s="28" t="n">
        <v>59000</v>
      </c>
      <c r="I215" s="26" t="n">
        <v>5</v>
      </c>
      <c r="J215" s="26" t="n">
        <v>2</v>
      </c>
      <c r="K215" s="13" t="str">
        <f aca="false">IF(F215="","Active","Left")</f>
        <v>Active</v>
      </c>
      <c r="L215" s="16" t="n">
        <f aca="false">ROUND((IF(F215="",Assumptions!$B$5,F215)-E215)/365.25,1)</f>
        <v>7</v>
      </c>
      <c r="M215" s="13" t="str">
        <f aca="false">IF(L215&lt;1,"Under 1 yr",IF(L215&lt;3,"1 to 3 yrs",IF(L215&lt;5,"3 to 5 yrs","5+ yrs")))</f>
        <v>5+ yrs</v>
      </c>
      <c r="N215" s="14" t="n">
        <f aca="false">H215*12</f>
        <v>708000</v>
      </c>
      <c r="O215" s="13" t="n">
        <f aca="false">IF(AND(E215&lt;Assumptions!$B$6,OR(F215="",F215&gt;=Assumptions!$B$6)),1,0)</f>
        <v>1</v>
      </c>
      <c r="P215" s="13" t="n">
        <f aca="false">IF(F215="",0,IF(AND(F215&gt;=Assumptions!$B$6,F215&lt;=Assumptions!$B$5),1,0))</f>
        <v>0</v>
      </c>
      <c r="Q215" s="14" t="n">
        <f aca="false">P215*N215*Assumptions!$B$7</f>
        <v>0</v>
      </c>
      <c r="R215" s="13" t="n">
        <f aca="false">IF(AND(P215=1,J215&gt;=Assumptions!$B$10),1,0)</f>
        <v>0</v>
      </c>
    </row>
    <row r="216" customFormat="false" ht="15" hidden="false" customHeight="false" outlineLevel="0" collapsed="false">
      <c r="A216" s="26" t="s">
        <v>319</v>
      </c>
      <c r="B216" s="26" t="s">
        <v>50</v>
      </c>
      <c r="C216" s="26" t="s">
        <v>104</v>
      </c>
      <c r="D216" s="26" t="s">
        <v>101</v>
      </c>
      <c r="E216" s="27" t="n">
        <v>44095</v>
      </c>
      <c r="F216" s="27"/>
      <c r="G216" s="26"/>
      <c r="H216" s="28" t="n">
        <v>110000</v>
      </c>
      <c r="I216" s="26" t="n">
        <v>11</v>
      </c>
      <c r="J216" s="26" t="n">
        <v>3</v>
      </c>
      <c r="K216" s="13" t="str">
        <f aca="false">IF(F216="","Active","Left")</f>
        <v>Active</v>
      </c>
      <c r="L216" s="16" t="n">
        <f aca="false">ROUND((IF(F216="",Assumptions!$B$5,F216)-E216)/365.25,1)</f>
        <v>6</v>
      </c>
      <c r="M216" s="13" t="str">
        <f aca="false">IF(L216&lt;1,"Under 1 yr",IF(L216&lt;3,"1 to 3 yrs",IF(L216&lt;5,"3 to 5 yrs","5+ yrs")))</f>
        <v>5+ yrs</v>
      </c>
      <c r="N216" s="14" t="n">
        <f aca="false">H216*12</f>
        <v>1320000</v>
      </c>
      <c r="O216" s="13" t="n">
        <f aca="false">IF(AND(E216&lt;Assumptions!$B$6,OR(F216="",F216&gt;=Assumptions!$B$6)),1,0)</f>
        <v>1</v>
      </c>
      <c r="P216" s="13" t="n">
        <f aca="false">IF(F216="",0,IF(AND(F216&gt;=Assumptions!$B$6,F216&lt;=Assumptions!$B$5),1,0))</f>
        <v>0</v>
      </c>
      <c r="Q216" s="14" t="n">
        <f aca="false">P216*N216*Assumptions!$B$7</f>
        <v>0</v>
      </c>
      <c r="R216" s="13" t="n">
        <f aca="false">IF(AND(P216=1,J216&gt;=Assumptions!$B$10),1,0)</f>
        <v>0</v>
      </c>
    </row>
    <row r="217" customFormat="false" ht="15" hidden="false" customHeight="false" outlineLevel="0" collapsed="false">
      <c r="A217" s="26" t="s">
        <v>320</v>
      </c>
      <c r="B217" s="26" t="s">
        <v>45</v>
      </c>
      <c r="C217" s="26" t="s">
        <v>100</v>
      </c>
      <c r="D217" s="26" t="s">
        <v>101</v>
      </c>
      <c r="E217" s="27" t="n">
        <v>44371</v>
      </c>
      <c r="F217" s="27"/>
      <c r="G217" s="26"/>
      <c r="H217" s="28" t="n">
        <v>60000</v>
      </c>
      <c r="I217" s="26" t="n">
        <v>8</v>
      </c>
      <c r="J217" s="26" t="n">
        <v>4</v>
      </c>
      <c r="K217" s="13" t="str">
        <f aca="false">IF(F217="","Active","Left")</f>
        <v>Active</v>
      </c>
      <c r="L217" s="16" t="n">
        <f aca="false">ROUND((IF(F217="",Assumptions!$B$5,F217)-E217)/365.25,1)</f>
        <v>5.3</v>
      </c>
      <c r="M217" s="13" t="str">
        <f aca="false">IF(L217&lt;1,"Under 1 yr",IF(L217&lt;3,"1 to 3 yrs",IF(L217&lt;5,"3 to 5 yrs","5+ yrs")))</f>
        <v>5+ yrs</v>
      </c>
      <c r="N217" s="14" t="n">
        <f aca="false">H217*12</f>
        <v>720000</v>
      </c>
      <c r="O217" s="13" t="n">
        <f aca="false">IF(AND(E217&lt;Assumptions!$B$6,OR(F217="",F217&gt;=Assumptions!$B$6)),1,0)</f>
        <v>1</v>
      </c>
      <c r="P217" s="13" t="n">
        <f aca="false">IF(F217="",0,IF(AND(F217&gt;=Assumptions!$B$6,F217&lt;=Assumptions!$B$5),1,0))</f>
        <v>0</v>
      </c>
      <c r="Q217" s="14" t="n">
        <f aca="false">P217*N217*Assumptions!$B$7</f>
        <v>0</v>
      </c>
      <c r="R217" s="13" t="n">
        <f aca="false">IF(AND(P217=1,J217&gt;=Assumptions!$B$10),1,0)</f>
        <v>0</v>
      </c>
    </row>
    <row r="218" customFormat="false" ht="15" hidden="false" customHeight="false" outlineLevel="0" collapsed="false">
      <c r="A218" s="26" t="s">
        <v>321</v>
      </c>
      <c r="B218" s="26" t="s">
        <v>47</v>
      </c>
      <c r="C218" s="26" t="s">
        <v>108</v>
      </c>
      <c r="D218" s="26" t="s">
        <v>101</v>
      </c>
      <c r="E218" s="27" t="n">
        <v>44193</v>
      </c>
      <c r="F218" s="27"/>
      <c r="G218" s="26"/>
      <c r="H218" s="28" t="n">
        <v>84000</v>
      </c>
      <c r="I218" s="26" t="n">
        <v>2</v>
      </c>
      <c r="J218" s="26" t="n">
        <v>3</v>
      </c>
      <c r="K218" s="13" t="str">
        <f aca="false">IF(F218="","Active","Left")</f>
        <v>Active</v>
      </c>
      <c r="L218" s="16" t="n">
        <f aca="false">ROUND((IF(F218="",Assumptions!$B$5,F218)-E218)/365.25,1)</f>
        <v>5.8</v>
      </c>
      <c r="M218" s="13" t="str">
        <f aca="false">IF(L218&lt;1,"Under 1 yr",IF(L218&lt;3,"1 to 3 yrs",IF(L218&lt;5,"3 to 5 yrs","5+ yrs")))</f>
        <v>5+ yrs</v>
      </c>
      <c r="N218" s="14" t="n">
        <f aca="false">H218*12</f>
        <v>1008000</v>
      </c>
      <c r="O218" s="13" t="n">
        <f aca="false">IF(AND(E218&lt;Assumptions!$B$6,OR(F218="",F218&gt;=Assumptions!$B$6)),1,0)</f>
        <v>1</v>
      </c>
      <c r="P218" s="13" t="n">
        <f aca="false">IF(F218="",0,IF(AND(F218&gt;=Assumptions!$B$6,F218&lt;=Assumptions!$B$5),1,0))</f>
        <v>0</v>
      </c>
      <c r="Q218" s="14" t="n">
        <f aca="false">P218*N218*Assumptions!$B$7</f>
        <v>0</v>
      </c>
      <c r="R218" s="13" t="n">
        <f aca="false">IF(AND(P218=1,J218&gt;=Assumptions!$B$10),1,0)</f>
        <v>0</v>
      </c>
    </row>
    <row r="219" customFormat="false" ht="15" hidden="false" customHeight="false" outlineLevel="0" collapsed="false">
      <c r="A219" s="26" t="s">
        <v>322</v>
      </c>
      <c r="B219" s="26" t="s">
        <v>46</v>
      </c>
      <c r="C219" s="26" t="s">
        <v>100</v>
      </c>
      <c r="D219" s="26" t="s">
        <v>101</v>
      </c>
      <c r="E219" s="27" t="n">
        <v>42428</v>
      </c>
      <c r="F219" s="27"/>
      <c r="G219" s="26"/>
      <c r="H219" s="28" t="n">
        <v>36000</v>
      </c>
      <c r="I219" s="26" t="n">
        <v>3</v>
      </c>
      <c r="J219" s="26" t="n">
        <v>3</v>
      </c>
      <c r="K219" s="13" t="str">
        <f aca="false">IF(F219="","Active","Left")</f>
        <v>Active</v>
      </c>
      <c r="L219" s="16" t="n">
        <f aca="false">ROUND((IF(F219="",Assumptions!$B$5,F219)-E219)/365.25,1)</f>
        <v>10.6</v>
      </c>
      <c r="M219" s="13" t="str">
        <f aca="false">IF(L219&lt;1,"Under 1 yr",IF(L219&lt;3,"1 to 3 yrs",IF(L219&lt;5,"3 to 5 yrs","5+ yrs")))</f>
        <v>5+ yrs</v>
      </c>
      <c r="N219" s="14" t="n">
        <f aca="false">H219*12</f>
        <v>432000</v>
      </c>
      <c r="O219" s="13" t="n">
        <f aca="false">IF(AND(E219&lt;Assumptions!$B$6,OR(F219="",F219&gt;=Assumptions!$B$6)),1,0)</f>
        <v>1</v>
      </c>
      <c r="P219" s="13" t="n">
        <f aca="false">IF(F219="",0,IF(AND(F219&gt;=Assumptions!$B$6,F219&lt;=Assumptions!$B$5),1,0))</f>
        <v>0</v>
      </c>
      <c r="Q219" s="14" t="n">
        <f aca="false">P219*N219*Assumptions!$B$7</f>
        <v>0</v>
      </c>
      <c r="R219" s="13" t="n">
        <f aca="false">IF(AND(P219=1,J219&gt;=Assumptions!$B$10),1,0)</f>
        <v>0</v>
      </c>
    </row>
    <row r="220" customFormat="false" ht="15" hidden="false" customHeight="false" outlineLevel="0" collapsed="false">
      <c r="A220" s="26" t="s">
        <v>323</v>
      </c>
      <c r="B220" s="26" t="s">
        <v>45</v>
      </c>
      <c r="C220" s="26" t="s">
        <v>108</v>
      </c>
      <c r="D220" s="26" t="s">
        <v>101</v>
      </c>
      <c r="E220" s="27" t="n">
        <v>43146</v>
      </c>
      <c r="F220" s="27" t="n">
        <v>46037</v>
      </c>
      <c r="G220" s="26" t="s">
        <v>63</v>
      </c>
      <c r="H220" s="28" t="n">
        <v>91000</v>
      </c>
      <c r="I220" s="26" t="n">
        <v>6</v>
      </c>
      <c r="J220" s="26" t="n">
        <v>1</v>
      </c>
      <c r="K220" s="13" t="str">
        <f aca="false">IF(F220="","Active","Left")</f>
        <v>Left</v>
      </c>
      <c r="L220" s="16" t="n">
        <f aca="false">ROUND((IF(F220="",Assumptions!$B$5,F220)-E220)/365.25,1)</f>
        <v>7.9</v>
      </c>
      <c r="M220" s="13" t="str">
        <f aca="false">IF(L220&lt;1,"Under 1 yr",IF(L220&lt;3,"1 to 3 yrs",IF(L220&lt;5,"3 to 5 yrs","5+ yrs")))</f>
        <v>5+ yrs</v>
      </c>
      <c r="N220" s="14" t="n">
        <f aca="false">H220*12</f>
        <v>1092000</v>
      </c>
      <c r="O220" s="13" t="n">
        <f aca="false">IF(AND(E220&lt;Assumptions!$B$6,OR(F220="",F220&gt;=Assumptions!$B$6)),1,0)</f>
        <v>1</v>
      </c>
      <c r="P220" s="13" t="n">
        <f aca="false">IF(F220="",0,IF(AND(F220&gt;=Assumptions!$B$6,F220&lt;=Assumptions!$B$5),1,0))</f>
        <v>1</v>
      </c>
      <c r="Q220" s="14" t="n">
        <f aca="false">P220*N220*Assumptions!$B$7</f>
        <v>546000</v>
      </c>
      <c r="R220" s="13" t="n">
        <f aca="false">IF(AND(P220=1,J220&gt;=Assumptions!$B$10),1,0)</f>
        <v>0</v>
      </c>
    </row>
    <row r="221" customFormat="false" ht="15" hidden="false" customHeight="false" outlineLevel="0" collapsed="false">
      <c r="A221" s="26" t="s">
        <v>324</v>
      </c>
      <c r="B221" s="26" t="s">
        <v>50</v>
      </c>
      <c r="C221" s="26" t="s">
        <v>104</v>
      </c>
      <c r="D221" s="26" t="s">
        <v>101</v>
      </c>
      <c r="E221" s="27" t="n">
        <v>45018</v>
      </c>
      <c r="F221" s="27"/>
      <c r="G221" s="26"/>
      <c r="H221" s="28" t="n">
        <v>147000</v>
      </c>
      <c r="I221" s="26" t="n">
        <v>8</v>
      </c>
      <c r="J221" s="26" t="n">
        <v>4</v>
      </c>
      <c r="K221" s="13" t="str">
        <f aca="false">IF(F221="","Active","Left")</f>
        <v>Active</v>
      </c>
      <c r="L221" s="16" t="n">
        <f aca="false">ROUND((IF(F221="",Assumptions!$B$5,F221)-E221)/365.25,1)</f>
        <v>3.5</v>
      </c>
      <c r="M221" s="13" t="str">
        <f aca="false">IF(L221&lt;1,"Under 1 yr",IF(L221&lt;3,"1 to 3 yrs",IF(L221&lt;5,"3 to 5 yrs","5+ yrs")))</f>
        <v>3 to 5 yrs</v>
      </c>
      <c r="N221" s="14" t="n">
        <f aca="false">H221*12</f>
        <v>1764000</v>
      </c>
      <c r="O221" s="13" t="n">
        <f aca="false">IF(AND(E221&lt;Assumptions!$B$6,OR(F221="",F221&gt;=Assumptions!$B$6)),1,0)</f>
        <v>1</v>
      </c>
      <c r="P221" s="13" t="n">
        <f aca="false">IF(F221="",0,IF(AND(F221&gt;=Assumptions!$B$6,F221&lt;=Assumptions!$B$5),1,0))</f>
        <v>0</v>
      </c>
      <c r="Q221" s="14" t="n">
        <f aca="false">P221*N221*Assumptions!$B$7</f>
        <v>0</v>
      </c>
      <c r="R221" s="13" t="n">
        <f aca="false">IF(AND(P221=1,J221&gt;=Assumptions!$B$10),1,0)</f>
        <v>0</v>
      </c>
    </row>
    <row r="222" customFormat="false" ht="15" hidden="false" customHeight="false" outlineLevel="0" collapsed="false">
      <c r="A222" s="26" t="s">
        <v>325</v>
      </c>
      <c r="B222" s="26" t="s">
        <v>47</v>
      </c>
      <c r="C222" s="26" t="s">
        <v>104</v>
      </c>
      <c r="D222" s="26" t="s">
        <v>105</v>
      </c>
      <c r="E222" s="27" t="n">
        <v>44094</v>
      </c>
      <c r="F222" s="27"/>
      <c r="G222" s="26"/>
      <c r="H222" s="28" t="n">
        <v>124000</v>
      </c>
      <c r="I222" s="26" t="n">
        <v>7</v>
      </c>
      <c r="J222" s="26" t="n">
        <v>1</v>
      </c>
      <c r="K222" s="13" t="str">
        <f aca="false">IF(F222="","Active","Left")</f>
        <v>Active</v>
      </c>
      <c r="L222" s="16" t="n">
        <f aca="false">ROUND((IF(F222="",Assumptions!$B$5,F222)-E222)/365.25,1)</f>
        <v>6</v>
      </c>
      <c r="M222" s="13" t="str">
        <f aca="false">IF(L222&lt;1,"Under 1 yr",IF(L222&lt;3,"1 to 3 yrs",IF(L222&lt;5,"3 to 5 yrs","5+ yrs")))</f>
        <v>5+ yrs</v>
      </c>
      <c r="N222" s="14" t="n">
        <f aca="false">H222*12</f>
        <v>1488000</v>
      </c>
      <c r="O222" s="13" t="n">
        <f aca="false">IF(AND(E222&lt;Assumptions!$B$6,OR(F222="",F222&gt;=Assumptions!$B$6)),1,0)</f>
        <v>1</v>
      </c>
      <c r="P222" s="13" t="n">
        <f aca="false">IF(F222="",0,IF(AND(F222&gt;=Assumptions!$B$6,F222&lt;=Assumptions!$B$5),1,0))</f>
        <v>0</v>
      </c>
      <c r="Q222" s="14" t="n">
        <f aca="false">P222*N222*Assumptions!$B$7</f>
        <v>0</v>
      </c>
      <c r="R222" s="13" t="n">
        <f aca="false">IF(AND(P222=1,J222&gt;=Assumptions!$B$10),1,0)</f>
        <v>0</v>
      </c>
    </row>
    <row r="223" customFormat="false" ht="15" hidden="false" customHeight="false" outlineLevel="0" collapsed="false">
      <c r="A223" s="26" t="s">
        <v>326</v>
      </c>
      <c r="B223" s="26" t="s">
        <v>46</v>
      </c>
      <c r="C223" s="26" t="s">
        <v>104</v>
      </c>
      <c r="D223" s="26" t="s">
        <v>105</v>
      </c>
      <c r="E223" s="27" t="n">
        <v>44937</v>
      </c>
      <c r="F223" s="27"/>
      <c r="G223" s="26"/>
      <c r="H223" s="28" t="n">
        <v>151000</v>
      </c>
      <c r="I223" s="26" t="n">
        <v>9</v>
      </c>
      <c r="J223" s="26" t="n">
        <v>5</v>
      </c>
      <c r="K223" s="13" t="str">
        <f aca="false">IF(F223="","Active","Left")</f>
        <v>Active</v>
      </c>
      <c r="L223" s="16" t="n">
        <f aca="false">ROUND((IF(F223="",Assumptions!$B$5,F223)-E223)/365.25,1)</f>
        <v>3.7</v>
      </c>
      <c r="M223" s="13" t="str">
        <f aca="false">IF(L223&lt;1,"Under 1 yr",IF(L223&lt;3,"1 to 3 yrs",IF(L223&lt;5,"3 to 5 yrs","5+ yrs")))</f>
        <v>3 to 5 yrs</v>
      </c>
      <c r="N223" s="14" t="n">
        <f aca="false">H223*12</f>
        <v>1812000</v>
      </c>
      <c r="O223" s="13" t="n">
        <f aca="false">IF(AND(E223&lt;Assumptions!$B$6,OR(F223="",F223&gt;=Assumptions!$B$6)),1,0)</f>
        <v>1</v>
      </c>
      <c r="P223" s="13" t="n">
        <f aca="false">IF(F223="",0,IF(AND(F223&gt;=Assumptions!$B$6,F223&lt;=Assumptions!$B$5),1,0))</f>
        <v>0</v>
      </c>
      <c r="Q223" s="14" t="n">
        <f aca="false">P223*N223*Assumptions!$B$7</f>
        <v>0</v>
      </c>
      <c r="R223" s="13" t="n">
        <f aca="false">IF(AND(P223=1,J223&gt;=Assumptions!$B$10),1,0)</f>
        <v>0</v>
      </c>
    </row>
    <row r="224" customFormat="false" ht="15" hidden="false" customHeight="false" outlineLevel="0" collapsed="false">
      <c r="A224" s="26" t="s">
        <v>327</v>
      </c>
      <c r="B224" s="26" t="s">
        <v>45</v>
      </c>
      <c r="C224" s="26" t="s">
        <v>100</v>
      </c>
      <c r="D224" s="26" t="s">
        <v>101</v>
      </c>
      <c r="E224" s="27" t="n">
        <v>46084</v>
      </c>
      <c r="F224" s="27"/>
      <c r="G224" s="26"/>
      <c r="H224" s="28" t="n">
        <v>50000</v>
      </c>
      <c r="I224" s="26" t="n">
        <v>0</v>
      </c>
      <c r="J224" s="26" t="n">
        <v>4</v>
      </c>
      <c r="K224" s="13" t="str">
        <f aca="false">IF(F224="","Active","Left")</f>
        <v>Active</v>
      </c>
      <c r="L224" s="16" t="n">
        <f aca="false">ROUND((IF(F224="",Assumptions!$B$5,F224)-E224)/365.25,1)</f>
        <v>0.6</v>
      </c>
      <c r="M224" s="13" t="str">
        <f aca="false">IF(L224&lt;1,"Under 1 yr",IF(L224&lt;3,"1 to 3 yrs",IF(L224&lt;5,"3 to 5 yrs","5+ yrs")))</f>
        <v>Under 1 yr</v>
      </c>
      <c r="N224" s="14" t="n">
        <f aca="false">H224*12</f>
        <v>600000</v>
      </c>
      <c r="O224" s="13" t="n">
        <f aca="false">IF(AND(E224&lt;Assumptions!$B$6,OR(F224="",F224&gt;=Assumptions!$B$6)),1,0)</f>
        <v>0</v>
      </c>
      <c r="P224" s="13" t="n">
        <f aca="false">IF(F224="",0,IF(AND(F224&gt;=Assumptions!$B$6,F224&lt;=Assumptions!$B$5),1,0))</f>
        <v>0</v>
      </c>
      <c r="Q224" s="14" t="n">
        <f aca="false">P224*N224*Assumptions!$B$7</f>
        <v>0</v>
      </c>
      <c r="R224" s="13" t="n">
        <f aca="false">IF(AND(P224=1,J224&gt;=Assumptions!$B$10),1,0)</f>
        <v>0</v>
      </c>
    </row>
    <row r="225" customFormat="false" ht="15" hidden="false" customHeight="false" outlineLevel="0" collapsed="false">
      <c r="A225" s="26" t="s">
        <v>328</v>
      </c>
      <c r="B225" s="26" t="s">
        <v>48</v>
      </c>
      <c r="C225" s="26" t="s">
        <v>100</v>
      </c>
      <c r="D225" s="26" t="s">
        <v>101</v>
      </c>
      <c r="E225" s="27" t="n">
        <v>43136</v>
      </c>
      <c r="F225" s="27"/>
      <c r="G225" s="26"/>
      <c r="H225" s="28" t="n">
        <v>60000</v>
      </c>
      <c r="I225" s="26" t="n">
        <v>8</v>
      </c>
      <c r="J225" s="26" t="n">
        <v>4</v>
      </c>
      <c r="K225" s="13" t="str">
        <f aca="false">IF(F225="","Active","Left")</f>
        <v>Active</v>
      </c>
      <c r="L225" s="16" t="n">
        <f aca="false">ROUND((IF(F225="",Assumptions!$B$5,F225)-E225)/365.25,1)</f>
        <v>8.6</v>
      </c>
      <c r="M225" s="13" t="str">
        <f aca="false">IF(L225&lt;1,"Under 1 yr",IF(L225&lt;3,"1 to 3 yrs",IF(L225&lt;5,"3 to 5 yrs","5+ yrs")))</f>
        <v>5+ yrs</v>
      </c>
      <c r="N225" s="14" t="n">
        <f aca="false">H225*12</f>
        <v>720000</v>
      </c>
      <c r="O225" s="13" t="n">
        <f aca="false">IF(AND(E225&lt;Assumptions!$B$6,OR(F225="",F225&gt;=Assumptions!$B$6)),1,0)</f>
        <v>1</v>
      </c>
      <c r="P225" s="13" t="n">
        <f aca="false">IF(F225="",0,IF(AND(F225&gt;=Assumptions!$B$6,F225&lt;=Assumptions!$B$5),1,0))</f>
        <v>0</v>
      </c>
      <c r="Q225" s="14" t="n">
        <f aca="false">P225*N225*Assumptions!$B$7</f>
        <v>0</v>
      </c>
      <c r="R225" s="13" t="n">
        <f aca="false">IF(AND(P225=1,J225&gt;=Assumptions!$B$10),1,0)</f>
        <v>0</v>
      </c>
    </row>
    <row r="226" customFormat="false" ht="15" hidden="false" customHeight="false" outlineLevel="0" collapsed="false">
      <c r="A226" s="26" t="s">
        <v>329</v>
      </c>
      <c r="B226" s="26" t="s">
        <v>49</v>
      </c>
      <c r="C226" s="26" t="s">
        <v>108</v>
      </c>
      <c r="D226" s="26" t="s">
        <v>105</v>
      </c>
      <c r="E226" s="27" t="n">
        <v>42414</v>
      </c>
      <c r="F226" s="27"/>
      <c r="G226" s="26"/>
      <c r="H226" s="28" t="n">
        <v>68000</v>
      </c>
      <c r="I226" s="26" t="n">
        <v>2</v>
      </c>
      <c r="J226" s="26" t="n">
        <v>4</v>
      </c>
      <c r="K226" s="13" t="str">
        <f aca="false">IF(F226="","Active","Left")</f>
        <v>Active</v>
      </c>
      <c r="L226" s="16" t="n">
        <f aca="false">ROUND((IF(F226="",Assumptions!$B$5,F226)-E226)/365.25,1)</f>
        <v>10.6</v>
      </c>
      <c r="M226" s="13" t="str">
        <f aca="false">IF(L226&lt;1,"Under 1 yr",IF(L226&lt;3,"1 to 3 yrs",IF(L226&lt;5,"3 to 5 yrs","5+ yrs")))</f>
        <v>5+ yrs</v>
      </c>
      <c r="N226" s="14" t="n">
        <f aca="false">H226*12</f>
        <v>816000</v>
      </c>
      <c r="O226" s="13" t="n">
        <f aca="false">IF(AND(E226&lt;Assumptions!$B$6,OR(F226="",F226&gt;=Assumptions!$B$6)),1,0)</f>
        <v>1</v>
      </c>
      <c r="P226" s="13" t="n">
        <f aca="false">IF(F226="",0,IF(AND(F226&gt;=Assumptions!$B$6,F226&lt;=Assumptions!$B$5),1,0))</f>
        <v>0</v>
      </c>
      <c r="Q226" s="14" t="n">
        <f aca="false">P226*N226*Assumptions!$B$7</f>
        <v>0</v>
      </c>
      <c r="R226" s="13" t="n">
        <f aca="false">IF(AND(P226=1,J226&gt;=Assumptions!$B$10),1,0)</f>
        <v>0</v>
      </c>
    </row>
    <row r="227" customFormat="false" ht="15" hidden="false" customHeight="false" outlineLevel="0" collapsed="false">
      <c r="A227" s="26" t="s">
        <v>330</v>
      </c>
      <c r="B227" s="26" t="s">
        <v>48</v>
      </c>
      <c r="C227" s="26" t="s">
        <v>100</v>
      </c>
      <c r="D227" s="26" t="s">
        <v>101</v>
      </c>
      <c r="E227" s="27" t="n">
        <v>45753</v>
      </c>
      <c r="F227" s="27"/>
      <c r="G227" s="26"/>
      <c r="H227" s="28" t="n">
        <v>37000</v>
      </c>
      <c r="I227" s="26" t="n">
        <v>7</v>
      </c>
      <c r="J227" s="26" t="n">
        <v>3</v>
      </c>
      <c r="K227" s="13" t="str">
        <f aca="false">IF(F227="","Active","Left")</f>
        <v>Active</v>
      </c>
      <c r="L227" s="16" t="n">
        <f aca="false">ROUND((IF(F227="",Assumptions!$B$5,F227)-E227)/365.25,1)</f>
        <v>1.5</v>
      </c>
      <c r="M227" s="13" t="str">
        <f aca="false">IF(L227&lt;1,"Under 1 yr",IF(L227&lt;3,"1 to 3 yrs",IF(L227&lt;5,"3 to 5 yrs","5+ yrs")))</f>
        <v>1 to 3 yrs</v>
      </c>
      <c r="N227" s="14" t="n">
        <f aca="false">H227*12</f>
        <v>444000</v>
      </c>
      <c r="O227" s="13" t="n">
        <f aca="false">IF(AND(E227&lt;Assumptions!$B$6,OR(F227="",F227&gt;=Assumptions!$B$6)),1,0)</f>
        <v>1</v>
      </c>
      <c r="P227" s="13" t="n">
        <f aca="false">IF(F227="",0,IF(AND(F227&gt;=Assumptions!$B$6,F227&lt;=Assumptions!$B$5),1,0))</f>
        <v>0</v>
      </c>
      <c r="Q227" s="14" t="n">
        <f aca="false">P227*N227*Assumptions!$B$7</f>
        <v>0</v>
      </c>
      <c r="R227" s="13" t="n">
        <f aca="false">IF(AND(P227=1,J227&gt;=Assumptions!$B$10),1,0)</f>
        <v>0</v>
      </c>
    </row>
    <row r="228" customFormat="false" ht="15" hidden="false" customHeight="false" outlineLevel="0" collapsed="false">
      <c r="A228" s="26" t="s">
        <v>331</v>
      </c>
      <c r="B228" s="26" t="s">
        <v>45</v>
      </c>
      <c r="C228" s="26" t="s">
        <v>108</v>
      </c>
      <c r="D228" s="26" t="s">
        <v>101</v>
      </c>
      <c r="E228" s="27" t="n">
        <v>43726</v>
      </c>
      <c r="F228" s="27" t="n">
        <v>46057</v>
      </c>
      <c r="G228" s="26" t="s">
        <v>64</v>
      </c>
      <c r="H228" s="28" t="n">
        <v>84000</v>
      </c>
      <c r="I228" s="26" t="n">
        <v>10</v>
      </c>
      <c r="J228" s="26" t="n">
        <v>5</v>
      </c>
      <c r="K228" s="13" t="str">
        <f aca="false">IF(F228="","Active","Left")</f>
        <v>Left</v>
      </c>
      <c r="L228" s="16" t="n">
        <f aca="false">ROUND((IF(F228="",Assumptions!$B$5,F228)-E228)/365.25,1)</f>
        <v>6.4</v>
      </c>
      <c r="M228" s="13" t="str">
        <f aca="false">IF(L228&lt;1,"Under 1 yr",IF(L228&lt;3,"1 to 3 yrs",IF(L228&lt;5,"3 to 5 yrs","5+ yrs")))</f>
        <v>5+ yrs</v>
      </c>
      <c r="N228" s="14" t="n">
        <f aca="false">H228*12</f>
        <v>1008000</v>
      </c>
      <c r="O228" s="13" t="n">
        <f aca="false">IF(AND(E228&lt;Assumptions!$B$6,OR(F228="",F228&gt;=Assumptions!$B$6)),1,0)</f>
        <v>1</v>
      </c>
      <c r="P228" s="13" t="n">
        <f aca="false">IF(F228="",0,IF(AND(F228&gt;=Assumptions!$B$6,F228&lt;=Assumptions!$B$5),1,0))</f>
        <v>1</v>
      </c>
      <c r="Q228" s="14" t="n">
        <f aca="false">P228*N228*Assumptions!$B$7</f>
        <v>504000</v>
      </c>
      <c r="R228" s="13" t="n">
        <f aca="false">IF(AND(P228=1,J228&gt;=Assumptions!$B$10),1,0)</f>
        <v>1</v>
      </c>
    </row>
    <row r="229" customFormat="false" ht="15" hidden="false" customHeight="false" outlineLevel="0" collapsed="false">
      <c r="A229" s="26" t="s">
        <v>332</v>
      </c>
      <c r="B229" s="26" t="s">
        <v>45</v>
      </c>
      <c r="C229" s="26" t="s">
        <v>104</v>
      </c>
      <c r="D229" s="26" t="s">
        <v>105</v>
      </c>
      <c r="E229" s="27" t="n">
        <v>45000</v>
      </c>
      <c r="F229" s="27"/>
      <c r="G229" s="26"/>
      <c r="H229" s="28" t="n">
        <v>162000</v>
      </c>
      <c r="I229" s="26" t="n">
        <v>1</v>
      </c>
      <c r="J229" s="26" t="n">
        <v>4</v>
      </c>
      <c r="K229" s="13" t="str">
        <f aca="false">IF(F229="","Active","Left")</f>
        <v>Active</v>
      </c>
      <c r="L229" s="16" t="n">
        <f aca="false">ROUND((IF(F229="",Assumptions!$B$5,F229)-E229)/365.25,1)</f>
        <v>3.5</v>
      </c>
      <c r="M229" s="13" t="str">
        <f aca="false">IF(L229&lt;1,"Under 1 yr",IF(L229&lt;3,"1 to 3 yrs",IF(L229&lt;5,"3 to 5 yrs","5+ yrs")))</f>
        <v>3 to 5 yrs</v>
      </c>
      <c r="N229" s="14" t="n">
        <f aca="false">H229*12</f>
        <v>1944000</v>
      </c>
      <c r="O229" s="13" t="n">
        <f aca="false">IF(AND(E229&lt;Assumptions!$B$6,OR(F229="",F229&gt;=Assumptions!$B$6)),1,0)</f>
        <v>1</v>
      </c>
      <c r="P229" s="13" t="n">
        <f aca="false">IF(F229="",0,IF(AND(F229&gt;=Assumptions!$B$6,F229&lt;=Assumptions!$B$5),1,0))</f>
        <v>0</v>
      </c>
      <c r="Q229" s="14" t="n">
        <f aca="false">P229*N229*Assumptions!$B$7</f>
        <v>0</v>
      </c>
      <c r="R229" s="13" t="n">
        <f aca="false">IF(AND(P229=1,J229&gt;=Assumptions!$B$10),1,0)</f>
        <v>0</v>
      </c>
    </row>
    <row r="230" customFormat="false" ht="15" hidden="false" customHeight="false" outlineLevel="0" collapsed="false">
      <c r="A230" s="26" t="s">
        <v>333</v>
      </c>
      <c r="B230" s="26" t="s">
        <v>45</v>
      </c>
      <c r="C230" s="26" t="s">
        <v>100</v>
      </c>
      <c r="D230" s="26" t="s">
        <v>101</v>
      </c>
      <c r="E230" s="27" t="n">
        <v>45454</v>
      </c>
      <c r="F230" s="27"/>
      <c r="G230" s="26"/>
      <c r="H230" s="28" t="n">
        <v>44000</v>
      </c>
      <c r="I230" s="26" t="n">
        <v>10</v>
      </c>
      <c r="J230" s="26" t="n">
        <v>5</v>
      </c>
      <c r="K230" s="13" t="str">
        <f aca="false">IF(F230="","Active","Left")</f>
        <v>Active</v>
      </c>
      <c r="L230" s="16" t="n">
        <f aca="false">ROUND((IF(F230="",Assumptions!$B$5,F230)-E230)/365.25,1)</f>
        <v>2.3</v>
      </c>
      <c r="M230" s="13" t="str">
        <f aca="false">IF(L230&lt;1,"Under 1 yr",IF(L230&lt;3,"1 to 3 yrs",IF(L230&lt;5,"3 to 5 yrs","5+ yrs")))</f>
        <v>1 to 3 yrs</v>
      </c>
      <c r="N230" s="14" t="n">
        <f aca="false">H230*12</f>
        <v>528000</v>
      </c>
      <c r="O230" s="13" t="n">
        <f aca="false">IF(AND(E230&lt;Assumptions!$B$6,OR(F230="",F230&gt;=Assumptions!$B$6)),1,0)</f>
        <v>1</v>
      </c>
      <c r="P230" s="13" t="n">
        <f aca="false">IF(F230="",0,IF(AND(F230&gt;=Assumptions!$B$6,F230&lt;=Assumptions!$B$5),1,0))</f>
        <v>0</v>
      </c>
      <c r="Q230" s="14" t="n">
        <f aca="false">P230*N230*Assumptions!$B$7</f>
        <v>0</v>
      </c>
      <c r="R230" s="13" t="n">
        <f aca="false">IF(AND(P230=1,J230&gt;=Assumptions!$B$10),1,0)</f>
        <v>0</v>
      </c>
    </row>
    <row r="231" customFormat="false" ht="15" hidden="false" customHeight="false" outlineLevel="0" collapsed="false">
      <c r="A231" s="26" t="s">
        <v>334</v>
      </c>
      <c r="B231" s="26" t="s">
        <v>50</v>
      </c>
      <c r="C231" s="26" t="s">
        <v>108</v>
      </c>
      <c r="D231" s="26" t="s">
        <v>105</v>
      </c>
      <c r="E231" s="27" t="n">
        <v>42801</v>
      </c>
      <c r="F231" s="27"/>
      <c r="G231" s="26"/>
      <c r="H231" s="28" t="n">
        <v>73000</v>
      </c>
      <c r="I231" s="26" t="n">
        <v>5</v>
      </c>
      <c r="J231" s="26" t="n">
        <v>3</v>
      </c>
      <c r="K231" s="13" t="str">
        <f aca="false">IF(F231="","Active","Left")</f>
        <v>Active</v>
      </c>
      <c r="L231" s="16" t="n">
        <f aca="false">ROUND((IF(F231="",Assumptions!$B$5,F231)-E231)/365.25,1)</f>
        <v>9.6</v>
      </c>
      <c r="M231" s="13" t="str">
        <f aca="false">IF(L231&lt;1,"Under 1 yr",IF(L231&lt;3,"1 to 3 yrs",IF(L231&lt;5,"3 to 5 yrs","5+ yrs")))</f>
        <v>5+ yrs</v>
      </c>
      <c r="N231" s="14" t="n">
        <f aca="false">H231*12</f>
        <v>876000</v>
      </c>
      <c r="O231" s="13" t="n">
        <f aca="false">IF(AND(E231&lt;Assumptions!$B$6,OR(F231="",F231&gt;=Assumptions!$B$6)),1,0)</f>
        <v>1</v>
      </c>
      <c r="P231" s="13" t="n">
        <f aca="false">IF(F231="",0,IF(AND(F231&gt;=Assumptions!$B$6,F231&lt;=Assumptions!$B$5),1,0))</f>
        <v>0</v>
      </c>
      <c r="Q231" s="14" t="n">
        <f aca="false">P231*N231*Assumptions!$B$7</f>
        <v>0</v>
      </c>
      <c r="R231" s="13" t="n">
        <f aca="false">IF(AND(P231=1,J231&gt;=Assumptions!$B$10),1,0)</f>
        <v>0</v>
      </c>
    </row>
    <row r="232" customFormat="false" ht="15" hidden="false" customHeight="false" outlineLevel="0" collapsed="false">
      <c r="A232" s="26" t="s">
        <v>335</v>
      </c>
      <c r="B232" s="26" t="s">
        <v>48</v>
      </c>
      <c r="C232" s="26" t="s">
        <v>108</v>
      </c>
      <c r="D232" s="26" t="s">
        <v>101</v>
      </c>
      <c r="E232" s="27" t="n">
        <v>42928</v>
      </c>
      <c r="F232" s="27"/>
      <c r="G232" s="26"/>
      <c r="H232" s="28" t="n">
        <v>106000</v>
      </c>
      <c r="I232" s="26" t="n">
        <v>0</v>
      </c>
      <c r="J232" s="26" t="n">
        <v>2</v>
      </c>
      <c r="K232" s="13" t="str">
        <f aca="false">IF(F232="","Active","Left")</f>
        <v>Active</v>
      </c>
      <c r="L232" s="16" t="n">
        <f aca="false">ROUND((IF(F232="",Assumptions!$B$5,F232)-E232)/365.25,1)</f>
        <v>9.2</v>
      </c>
      <c r="M232" s="13" t="str">
        <f aca="false">IF(L232&lt;1,"Under 1 yr",IF(L232&lt;3,"1 to 3 yrs",IF(L232&lt;5,"3 to 5 yrs","5+ yrs")))</f>
        <v>5+ yrs</v>
      </c>
      <c r="N232" s="14" t="n">
        <f aca="false">H232*12</f>
        <v>1272000</v>
      </c>
      <c r="O232" s="13" t="n">
        <f aca="false">IF(AND(E232&lt;Assumptions!$B$6,OR(F232="",F232&gt;=Assumptions!$B$6)),1,0)</f>
        <v>1</v>
      </c>
      <c r="P232" s="13" t="n">
        <f aca="false">IF(F232="",0,IF(AND(F232&gt;=Assumptions!$B$6,F232&lt;=Assumptions!$B$5),1,0))</f>
        <v>0</v>
      </c>
      <c r="Q232" s="14" t="n">
        <f aca="false">P232*N232*Assumptions!$B$7</f>
        <v>0</v>
      </c>
      <c r="R232" s="13" t="n">
        <f aca="false">IF(AND(P232=1,J232&gt;=Assumptions!$B$10),1,0)</f>
        <v>0</v>
      </c>
    </row>
    <row r="233" customFormat="false" ht="15" hidden="false" customHeight="false" outlineLevel="0" collapsed="false">
      <c r="A233" s="26" t="s">
        <v>336</v>
      </c>
      <c r="B233" s="26" t="s">
        <v>50</v>
      </c>
      <c r="C233" s="26" t="s">
        <v>104</v>
      </c>
      <c r="D233" s="26" t="s">
        <v>101</v>
      </c>
      <c r="E233" s="27" t="n">
        <v>43031</v>
      </c>
      <c r="F233" s="27"/>
      <c r="G233" s="26"/>
      <c r="H233" s="28" t="n">
        <v>129000</v>
      </c>
      <c r="I233" s="26" t="n">
        <v>5</v>
      </c>
      <c r="J233" s="26" t="n">
        <v>3</v>
      </c>
      <c r="K233" s="13" t="str">
        <f aca="false">IF(F233="","Active","Left")</f>
        <v>Active</v>
      </c>
      <c r="L233" s="16" t="n">
        <f aca="false">ROUND((IF(F233="",Assumptions!$B$5,F233)-E233)/365.25,1)</f>
        <v>8.9</v>
      </c>
      <c r="M233" s="13" t="str">
        <f aca="false">IF(L233&lt;1,"Under 1 yr",IF(L233&lt;3,"1 to 3 yrs",IF(L233&lt;5,"3 to 5 yrs","5+ yrs")))</f>
        <v>5+ yrs</v>
      </c>
      <c r="N233" s="14" t="n">
        <f aca="false">H233*12</f>
        <v>1548000</v>
      </c>
      <c r="O233" s="13" t="n">
        <f aca="false">IF(AND(E233&lt;Assumptions!$B$6,OR(F233="",F233&gt;=Assumptions!$B$6)),1,0)</f>
        <v>1</v>
      </c>
      <c r="P233" s="13" t="n">
        <f aca="false">IF(F233="",0,IF(AND(F233&gt;=Assumptions!$B$6,F233&lt;=Assumptions!$B$5),1,0))</f>
        <v>0</v>
      </c>
      <c r="Q233" s="14" t="n">
        <f aca="false">P233*N233*Assumptions!$B$7</f>
        <v>0</v>
      </c>
      <c r="R233" s="13" t="n">
        <f aca="false">IF(AND(P233=1,J233&gt;=Assumptions!$B$10),1,0)</f>
        <v>0</v>
      </c>
    </row>
    <row r="234" customFormat="false" ht="15" hidden="false" customHeight="false" outlineLevel="0" collapsed="false">
      <c r="A234" s="26" t="s">
        <v>337</v>
      </c>
      <c r="B234" s="26" t="s">
        <v>46</v>
      </c>
      <c r="C234" s="26" t="s">
        <v>100</v>
      </c>
      <c r="D234" s="26" t="s">
        <v>105</v>
      </c>
      <c r="E234" s="27" t="n">
        <v>43047</v>
      </c>
      <c r="F234" s="27"/>
      <c r="G234" s="26"/>
      <c r="H234" s="28" t="n">
        <v>49000</v>
      </c>
      <c r="I234" s="26" t="n">
        <v>9</v>
      </c>
      <c r="J234" s="26" t="n">
        <v>2</v>
      </c>
      <c r="K234" s="13" t="str">
        <f aca="false">IF(F234="","Active","Left")</f>
        <v>Active</v>
      </c>
      <c r="L234" s="16" t="n">
        <f aca="false">ROUND((IF(F234="",Assumptions!$B$5,F234)-E234)/365.25,1)</f>
        <v>8.9</v>
      </c>
      <c r="M234" s="13" t="str">
        <f aca="false">IF(L234&lt;1,"Under 1 yr",IF(L234&lt;3,"1 to 3 yrs",IF(L234&lt;5,"3 to 5 yrs","5+ yrs")))</f>
        <v>5+ yrs</v>
      </c>
      <c r="N234" s="14" t="n">
        <f aca="false">H234*12</f>
        <v>588000</v>
      </c>
      <c r="O234" s="13" t="n">
        <f aca="false">IF(AND(E234&lt;Assumptions!$B$6,OR(F234="",F234&gt;=Assumptions!$B$6)),1,0)</f>
        <v>1</v>
      </c>
      <c r="P234" s="13" t="n">
        <f aca="false">IF(F234="",0,IF(AND(F234&gt;=Assumptions!$B$6,F234&lt;=Assumptions!$B$5),1,0))</f>
        <v>0</v>
      </c>
      <c r="Q234" s="14" t="n">
        <f aca="false">P234*N234*Assumptions!$B$7</f>
        <v>0</v>
      </c>
      <c r="R234" s="13" t="n">
        <f aca="false">IF(AND(P234=1,J234&gt;=Assumptions!$B$10),1,0)</f>
        <v>0</v>
      </c>
    </row>
    <row r="235" customFormat="false" ht="15" hidden="false" customHeight="false" outlineLevel="0" collapsed="false">
      <c r="A235" s="26" t="s">
        <v>338</v>
      </c>
      <c r="B235" s="26" t="s">
        <v>45</v>
      </c>
      <c r="C235" s="26" t="s">
        <v>100</v>
      </c>
      <c r="D235" s="26" t="s">
        <v>101</v>
      </c>
      <c r="E235" s="27" t="n">
        <v>42896</v>
      </c>
      <c r="F235" s="27"/>
      <c r="G235" s="26"/>
      <c r="H235" s="28" t="n">
        <v>37000</v>
      </c>
      <c r="I235" s="26" t="n">
        <v>2</v>
      </c>
      <c r="J235" s="26" t="n">
        <v>3</v>
      </c>
      <c r="K235" s="13" t="str">
        <f aca="false">IF(F235="","Active","Left")</f>
        <v>Active</v>
      </c>
      <c r="L235" s="16" t="n">
        <f aca="false">ROUND((IF(F235="",Assumptions!$B$5,F235)-E235)/365.25,1)</f>
        <v>9.3</v>
      </c>
      <c r="M235" s="13" t="str">
        <f aca="false">IF(L235&lt;1,"Under 1 yr",IF(L235&lt;3,"1 to 3 yrs",IF(L235&lt;5,"3 to 5 yrs","5+ yrs")))</f>
        <v>5+ yrs</v>
      </c>
      <c r="N235" s="14" t="n">
        <f aca="false">H235*12</f>
        <v>444000</v>
      </c>
      <c r="O235" s="13" t="n">
        <f aca="false">IF(AND(E235&lt;Assumptions!$B$6,OR(F235="",F235&gt;=Assumptions!$B$6)),1,0)</f>
        <v>1</v>
      </c>
      <c r="P235" s="13" t="n">
        <f aca="false">IF(F235="",0,IF(AND(F235&gt;=Assumptions!$B$6,F235&lt;=Assumptions!$B$5),1,0))</f>
        <v>0</v>
      </c>
      <c r="Q235" s="14" t="n">
        <f aca="false">P235*N235*Assumptions!$B$7</f>
        <v>0</v>
      </c>
      <c r="R235" s="13" t="n">
        <f aca="false">IF(AND(P235=1,J235&gt;=Assumptions!$B$10),1,0)</f>
        <v>0</v>
      </c>
    </row>
    <row r="236" customFormat="false" ht="15" hidden="false" customHeight="false" outlineLevel="0" collapsed="false">
      <c r="A236" s="26" t="s">
        <v>339</v>
      </c>
      <c r="B236" s="26" t="s">
        <v>46</v>
      </c>
      <c r="C236" s="26" t="s">
        <v>104</v>
      </c>
      <c r="D236" s="26" t="s">
        <v>105</v>
      </c>
      <c r="E236" s="27" t="n">
        <v>43466</v>
      </c>
      <c r="F236" s="27"/>
      <c r="G236" s="26"/>
      <c r="H236" s="28" t="n">
        <v>126000</v>
      </c>
      <c r="I236" s="26" t="n">
        <v>3</v>
      </c>
      <c r="J236" s="26" t="n">
        <v>3</v>
      </c>
      <c r="K236" s="13" t="str">
        <f aca="false">IF(F236="","Active","Left")</f>
        <v>Active</v>
      </c>
      <c r="L236" s="16" t="n">
        <f aca="false">ROUND((IF(F236="",Assumptions!$B$5,F236)-E236)/365.25,1)</f>
        <v>7.7</v>
      </c>
      <c r="M236" s="13" t="str">
        <f aca="false">IF(L236&lt;1,"Under 1 yr",IF(L236&lt;3,"1 to 3 yrs",IF(L236&lt;5,"3 to 5 yrs","5+ yrs")))</f>
        <v>5+ yrs</v>
      </c>
      <c r="N236" s="14" t="n">
        <f aca="false">H236*12</f>
        <v>1512000</v>
      </c>
      <c r="O236" s="13" t="n">
        <f aca="false">IF(AND(E236&lt;Assumptions!$B$6,OR(F236="",F236&gt;=Assumptions!$B$6)),1,0)</f>
        <v>1</v>
      </c>
      <c r="P236" s="13" t="n">
        <f aca="false">IF(F236="",0,IF(AND(F236&gt;=Assumptions!$B$6,F236&lt;=Assumptions!$B$5),1,0))</f>
        <v>0</v>
      </c>
      <c r="Q236" s="14" t="n">
        <f aca="false">P236*N236*Assumptions!$B$7</f>
        <v>0</v>
      </c>
      <c r="R236" s="13" t="n">
        <f aca="false">IF(AND(P236=1,J236&gt;=Assumptions!$B$10),1,0)</f>
        <v>0</v>
      </c>
    </row>
    <row r="237" customFormat="false" ht="15" hidden="false" customHeight="false" outlineLevel="0" collapsed="false">
      <c r="A237" s="26" t="s">
        <v>340</v>
      </c>
      <c r="B237" s="26" t="s">
        <v>46</v>
      </c>
      <c r="C237" s="26" t="s">
        <v>100</v>
      </c>
      <c r="D237" s="26" t="s">
        <v>101</v>
      </c>
      <c r="E237" s="27" t="n">
        <v>42246</v>
      </c>
      <c r="F237" s="27"/>
      <c r="G237" s="26"/>
      <c r="H237" s="28" t="n">
        <v>57000</v>
      </c>
      <c r="I237" s="26" t="n">
        <v>3</v>
      </c>
      <c r="J237" s="26" t="n">
        <v>3</v>
      </c>
      <c r="K237" s="13" t="str">
        <f aca="false">IF(F237="","Active","Left")</f>
        <v>Active</v>
      </c>
      <c r="L237" s="16" t="n">
        <f aca="false">ROUND((IF(F237="",Assumptions!$B$5,F237)-E237)/365.25,1)</f>
        <v>11.1</v>
      </c>
      <c r="M237" s="13" t="str">
        <f aca="false">IF(L237&lt;1,"Under 1 yr",IF(L237&lt;3,"1 to 3 yrs",IF(L237&lt;5,"3 to 5 yrs","5+ yrs")))</f>
        <v>5+ yrs</v>
      </c>
      <c r="N237" s="14" t="n">
        <f aca="false">H237*12</f>
        <v>684000</v>
      </c>
      <c r="O237" s="13" t="n">
        <f aca="false">IF(AND(E237&lt;Assumptions!$B$6,OR(F237="",F237&gt;=Assumptions!$B$6)),1,0)</f>
        <v>1</v>
      </c>
      <c r="P237" s="13" t="n">
        <f aca="false">IF(F237="",0,IF(AND(F237&gt;=Assumptions!$B$6,F237&lt;=Assumptions!$B$5),1,0))</f>
        <v>0</v>
      </c>
      <c r="Q237" s="14" t="n">
        <f aca="false">P237*N237*Assumptions!$B$7</f>
        <v>0</v>
      </c>
      <c r="R237" s="13" t="n">
        <f aca="false">IF(AND(P237=1,J237&gt;=Assumptions!$B$10),1,0)</f>
        <v>0</v>
      </c>
    </row>
    <row r="238" customFormat="false" ht="15" hidden="false" customHeight="false" outlineLevel="0" collapsed="false">
      <c r="A238" s="26" t="s">
        <v>341</v>
      </c>
      <c r="B238" s="26" t="s">
        <v>48</v>
      </c>
      <c r="C238" s="26" t="s">
        <v>100</v>
      </c>
      <c r="D238" s="26" t="s">
        <v>101</v>
      </c>
      <c r="E238" s="27" t="n">
        <v>42710</v>
      </c>
      <c r="F238" s="27"/>
      <c r="G238" s="26"/>
      <c r="H238" s="28" t="n">
        <v>47000</v>
      </c>
      <c r="I238" s="26" t="n">
        <v>3</v>
      </c>
      <c r="J238" s="26" t="n">
        <v>3</v>
      </c>
      <c r="K238" s="13" t="str">
        <f aca="false">IF(F238="","Active","Left")</f>
        <v>Active</v>
      </c>
      <c r="L238" s="16" t="n">
        <f aca="false">ROUND((IF(F238="",Assumptions!$B$5,F238)-E238)/365.25,1)</f>
        <v>9.8</v>
      </c>
      <c r="M238" s="13" t="str">
        <f aca="false">IF(L238&lt;1,"Under 1 yr",IF(L238&lt;3,"1 to 3 yrs",IF(L238&lt;5,"3 to 5 yrs","5+ yrs")))</f>
        <v>5+ yrs</v>
      </c>
      <c r="N238" s="14" t="n">
        <f aca="false">H238*12</f>
        <v>564000</v>
      </c>
      <c r="O238" s="13" t="n">
        <f aca="false">IF(AND(E238&lt;Assumptions!$B$6,OR(F238="",F238&gt;=Assumptions!$B$6)),1,0)</f>
        <v>1</v>
      </c>
      <c r="P238" s="13" t="n">
        <f aca="false">IF(F238="",0,IF(AND(F238&gt;=Assumptions!$B$6,F238&lt;=Assumptions!$B$5),1,0))</f>
        <v>0</v>
      </c>
      <c r="Q238" s="14" t="n">
        <f aca="false">P238*N238*Assumptions!$B$7</f>
        <v>0</v>
      </c>
      <c r="R238" s="13" t="n">
        <f aca="false">IF(AND(P238=1,J238&gt;=Assumptions!$B$10),1,0)</f>
        <v>0</v>
      </c>
    </row>
    <row r="239" customFormat="false" ht="15" hidden="false" customHeight="false" outlineLevel="0" collapsed="false">
      <c r="A239" s="26" t="s">
        <v>342</v>
      </c>
      <c r="B239" s="26" t="s">
        <v>45</v>
      </c>
      <c r="C239" s="26" t="s">
        <v>108</v>
      </c>
      <c r="D239" s="26" t="s">
        <v>105</v>
      </c>
      <c r="E239" s="27" t="n">
        <v>42391</v>
      </c>
      <c r="F239" s="27"/>
      <c r="G239" s="26"/>
      <c r="H239" s="28" t="n">
        <v>86000</v>
      </c>
      <c r="I239" s="26" t="n">
        <v>8</v>
      </c>
      <c r="J239" s="26" t="n">
        <v>3</v>
      </c>
      <c r="K239" s="13" t="str">
        <f aca="false">IF(F239="","Active","Left")</f>
        <v>Active</v>
      </c>
      <c r="L239" s="16" t="n">
        <f aca="false">ROUND((IF(F239="",Assumptions!$B$5,F239)-E239)/365.25,1)</f>
        <v>10.7</v>
      </c>
      <c r="M239" s="13" t="str">
        <f aca="false">IF(L239&lt;1,"Under 1 yr",IF(L239&lt;3,"1 to 3 yrs",IF(L239&lt;5,"3 to 5 yrs","5+ yrs")))</f>
        <v>5+ yrs</v>
      </c>
      <c r="N239" s="14" t="n">
        <f aca="false">H239*12</f>
        <v>1032000</v>
      </c>
      <c r="O239" s="13" t="n">
        <f aca="false">IF(AND(E239&lt;Assumptions!$B$6,OR(F239="",F239&gt;=Assumptions!$B$6)),1,0)</f>
        <v>1</v>
      </c>
      <c r="P239" s="13" t="n">
        <f aca="false">IF(F239="",0,IF(AND(F239&gt;=Assumptions!$B$6,F239&lt;=Assumptions!$B$5),1,0))</f>
        <v>0</v>
      </c>
      <c r="Q239" s="14" t="n">
        <f aca="false">P239*N239*Assumptions!$B$7</f>
        <v>0</v>
      </c>
      <c r="R239" s="13" t="n">
        <f aca="false">IF(AND(P239=1,J239&gt;=Assumptions!$B$10),1,0)</f>
        <v>0</v>
      </c>
    </row>
    <row r="240" customFormat="false" ht="15" hidden="false" customHeight="false" outlineLevel="0" collapsed="false">
      <c r="A240" s="26" t="s">
        <v>343</v>
      </c>
      <c r="B240" s="26" t="s">
        <v>49</v>
      </c>
      <c r="C240" s="26" t="s">
        <v>108</v>
      </c>
      <c r="D240" s="26" t="s">
        <v>101</v>
      </c>
      <c r="E240" s="27" t="n">
        <v>42943</v>
      </c>
      <c r="F240" s="27"/>
      <c r="G240" s="26"/>
      <c r="H240" s="28" t="n">
        <v>65000</v>
      </c>
      <c r="I240" s="26" t="n">
        <v>4</v>
      </c>
      <c r="J240" s="26" t="n">
        <v>3</v>
      </c>
      <c r="K240" s="13" t="str">
        <f aca="false">IF(F240="","Active","Left")</f>
        <v>Active</v>
      </c>
      <c r="L240" s="16" t="n">
        <f aca="false">ROUND((IF(F240="",Assumptions!$B$5,F240)-E240)/365.25,1)</f>
        <v>9.2</v>
      </c>
      <c r="M240" s="13" t="str">
        <f aca="false">IF(L240&lt;1,"Under 1 yr",IF(L240&lt;3,"1 to 3 yrs",IF(L240&lt;5,"3 to 5 yrs","5+ yrs")))</f>
        <v>5+ yrs</v>
      </c>
      <c r="N240" s="14" t="n">
        <f aca="false">H240*12</f>
        <v>780000</v>
      </c>
      <c r="O240" s="13" t="n">
        <f aca="false">IF(AND(E240&lt;Assumptions!$B$6,OR(F240="",F240&gt;=Assumptions!$B$6)),1,0)</f>
        <v>1</v>
      </c>
      <c r="P240" s="13" t="n">
        <f aca="false">IF(F240="",0,IF(AND(F240&gt;=Assumptions!$B$6,F240&lt;=Assumptions!$B$5),1,0))</f>
        <v>0</v>
      </c>
      <c r="Q240" s="14" t="n">
        <f aca="false">P240*N240*Assumptions!$B$7</f>
        <v>0</v>
      </c>
      <c r="R240" s="13" t="n">
        <f aca="false">IF(AND(P240=1,J240&gt;=Assumptions!$B$10),1,0)</f>
        <v>0</v>
      </c>
    </row>
    <row r="241" customFormat="false" ht="15" hidden="false" customHeight="false" outlineLevel="0" collapsed="false">
      <c r="A241" s="26" t="s">
        <v>344</v>
      </c>
      <c r="B241" s="26" t="s">
        <v>50</v>
      </c>
      <c r="C241" s="26" t="s">
        <v>108</v>
      </c>
      <c r="D241" s="26" t="s">
        <v>101</v>
      </c>
      <c r="E241" s="27" t="n">
        <v>45544</v>
      </c>
      <c r="F241" s="27"/>
      <c r="G241" s="26"/>
      <c r="H241" s="28" t="n">
        <v>103000</v>
      </c>
      <c r="I241" s="26" t="n">
        <v>7</v>
      </c>
      <c r="J241" s="26" t="n">
        <v>4</v>
      </c>
      <c r="K241" s="13" t="str">
        <f aca="false">IF(F241="","Active","Left")</f>
        <v>Active</v>
      </c>
      <c r="L241" s="16" t="n">
        <f aca="false">ROUND((IF(F241="",Assumptions!$B$5,F241)-E241)/365.25,1)</f>
        <v>2.1</v>
      </c>
      <c r="M241" s="13" t="str">
        <f aca="false">IF(L241&lt;1,"Under 1 yr",IF(L241&lt;3,"1 to 3 yrs",IF(L241&lt;5,"3 to 5 yrs","5+ yrs")))</f>
        <v>1 to 3 yrs</v>
      </c>
      <c r="N241" s="14" t="n">
        <f aca="false">H241*12</f>
        <v>1236000</v>
      </c>
      <c r="O241" s="13" t="n">
        <f aca="false">IF(AND(E241&lt;Assumptions!$B$6,OR(F241="",F241&gt;=Assumptions!$B$6)),1,0)</f>
        <v>1</v>
      </c>
      <c r="P241" s="13" t="n">
        <f aca="false">IF(F241="",0,IF(AND(F241&gt;=Assumptions!$B$6,F241&lt;=Assumptions!$B$5),1,0))</f>
        <v>0</v>
      </c>
      <c r="Q241" s="14" t="n">
        <f aca="false">P241*N241*Assumptions!$B$7</f>
        <v>0</v>
      </c>
      <c r="R241" s="13" t="n">
        <f aca="false">IF(AND(P241=1,J241&gt;=Assumptions!$B$10),1,0)</f>
        <v>0</v>
      </c>
    </row>
    <row r="242" customFormat="false" ht="15" hidden="false" customHeight="false" outlineLevel="0" collapsed="false">
      <c r="A242" s="26" t="s">
        <v>345</v>
      </c>
      <c r="B242" s="26" t="s">
        <v>50</v>
      </c>
      <c r="C242" s="26" t="s">
        <v>100</v>
      </c>
      <c r="D242" s="26" t="s">
        <v>101</v>
      </c>
      <c r="E242" s="27" t="n">
        <v>43923</v>
      </c>
      <c r="F242" s="27"/>
      <c r="G242" s="26"/>
      <c r="H242" s="28" t="n">
        <v>51000</v>
      </c>
      <c r="I242" s="26" t="n">
        <v>9</v>
      </c>
      <c r="J242" s="26" t="n">
        <v>1</v>
      </c>
      <c r="K242" s="13" t="str">
        <f aca="false">IF(F242="","Active","Left")</f>
        <v>Active</v>
      </c>
      <c r="L242" s="16" t="n">
        <f aca="false">ROUND((IF(F242="",Assumptions!$B$5,F242)-E242)/365.25,1)</f>
        <v>6.5</v>
      </c>
      <c r="M242" s="13" t="str">
        <f aca="false">IF(L242&lt;1,"Under 1 yr",IF(L242&lt;3,"1 to 3 yrs",IF(L242&lt;5,"3 to 5 yrs","5+ yrs")))</f>
        <v>5+ yrs</v>
      </c>
      <c r="N242" s="14" t="n">
        <f aca="false">H242*12</f>
        <v>612000</v>
      </c>
      <c r="O242" s="13" t="n">
        <f aca="false">IF(AND(E242&lt;Assumptions!$B$6,OR(F242="",F242&gt;=Assumptions!$B$6)),1,0)</f>
        <v>1</v>
      </c>
      <c r="P242" s="13" t="n">
        <f aca="false">IF(F242="",0,IF(AND(F242&gt;=Assumptions!$B$6,F242&lt;=Assumptions!$B$5),1,0))</f>
        <v>0</v>
      </c>
      <c r="Q242" s="14" t="n">
        <f aca="false">P242*N242*Assumptions!$B$7</f>
        <v>0</v>
      </c>
      <c r="R242" s="13" t="n">
        <f aca="false">IF(AND(P242=1,J242&gt;=Assumptions!$B$10),1,0)</f>
        <v>0</v>
      </c>
    </row>
    <row r="243" customFormat="false" ht="15" hidden="false" customHeight="false" outlineLevel="0" collapsed="false">
      <c r="A243" s="26" t="s">
        <v>346</v>
      </c>
      <c r="B243" s="26" t="s">
        <v>48</v>
      </c>
      <c r="C243" s="26" t="s">
        <v>100</v>
      </c>
      <c r="D243" s="26" t="s">
        <v>101</v>
      </c>
      <c r="E243" s="27" t="n">
        <v>43846</v>
      </c>
      <c r="F243" s="27" t="n">
        <v>46115</v>
      </c>
      <c r="G243" s="26" t="s">
        <v>64</v>
      </c>
      <c r="H243" s="28" t="n">
        <v>36000</v>
      </c>
      <c r="I243" s="26" t="n">
        <v>4</v>
      </c>
      <c r="J243" s="26" t="n">
        <v>4</v>
      </c>
      <c r="K243" s="13" t="str">
        <f aca="false">IF(F243="","Active","Left")</f>
        <v>Left</v>
      </c>
      <c r="L243" s="16" t="n">
        <f aca="false">ROUND((IF(F243="",Assumptions!$B$5,F243)-E243)/365.25,1)</f>
        <v>6.2</v>
      </c>
      <c r="M243" s="13" t="str">
        <f aca="false">IF(L243&lt;1,"Under 1 yr",IF(L243&lt;3,"1 to 3 yrs",IF(L243&lt;5,"3 to 5 yrs","5+ yrs")))</f>
        <v>5+ yrs</v>
      </c>
      <c r="N243" s="14" t="n">
        <f aca="false">H243*12</f>
        <v>432000</v>
      </c>
      <c r="O243" s="13" t="n">
        <f aca="false">IF(AND(E243&lt;Assumptions!$B$6,OR(F243="",F243&gt;=Assumptions!$B$6)),1,0)</f>
        <v>1</v>
      </c>
      <c r="P243" s="13" t="n">
        <f aca="false">IF(F243="",0,IF(AND(F243&gt;=Assumptions!$B$6,F243&lt;=Assumptions!$B$5),1,0))</f>
        <v>1</v>
      </c>
      <c r="Q243" s="14" t="n">
        <f aca="false">P243*N243*Assumptions!$B$7</f>
        <v>216000</v>
      </c>
      <c r="R243" s="13" t="n">
        <f aca="false">IF(AND(P243=1,J243&gt;=Assumptions!$B$10),1,0)</f>
        <v>1</v>
      </c>
    </row>
    <row r="244" customFormat="false" ht="15" hidden="false" customHeight="false" outlineLevel="0" collapsed="false">
      <c r="A244" s="26" t="s">
        <v>347</v>
      </c>
      <c r="B244" s="26" t="s">
        <v>45</v>
      </c>
      <c r="C244" s="26" t="s">
        <v>100</v>
      </c>
      <c r="D244" s="26" t="s">
        <v>101</v>
      </c>
      <c r="E244" s="27" t="n">
        <v>44459</v>
      </c>
      <c r="F244" s="27" t="n">
        <v>46049</v>
      </c>
      <c r="G244" s="26" t="s">
        <v>63</v>
      </c>
      <c r="H244" s="28" t="n">
        <v>59000</v>
      </c>
      <c r="I244" s="26" t="n">
        <v>11</v>
      </c>
      <c r="J244" s="26" t="n">
        <v>4</v>
      </c>
      <c r="K244" s="13" t="str">
        <f aca="false">IF(F244="","Active","Left")</f>
        <v>Left</v>
      </c>
      <c r="L244" s="16" t="n">
        <f aca="false">ROUND((IF(F244="",Assumptions!$B$5,F244)-E244)/365.25,1)</f>
        <v>4.4</v>
      </c>
      <c r="M244" s="13" t="str">
        <f aca="false">IF(L244&lt;1,"Under 1 yr",IF(L244&lt;3,"1 to 3 yrs",IF(L244&lt;5,"3 to 5 yrs","5+ yrs")))</f>
        <v>3 to 5 yrs</v>
      </c>
      <c r="N244" s="14" t="n">
        <f aca="false">H244*12</f>
        <v>708000</v>
      </c>
      <c r="O244" s="13" t="n">
        <f aca="false">IF(AND(E244&lt;Assumptions!$B$6,OR(F244="",F244&gt;=Assumptions!$B$6)),1,0)</f>
        <v>1</v>
      </c>
      <c r="P244" s="13" t="n">
        <f aca="false">IF(F244="",0,IF(AND(F244&gt;=Assumptions!$B$6,F244&lt;=Assumptions!$B$5),1,0))</f>
        <v>1</v>
      </c>
      <c r="Q244" s="14" t="n">
        <f aca="false">P244*N244*Assumptions!$B$7</f>
        <v>354000</v>
      </c>
      <c r="R244" s="13" t="n">
        <f aca="false">IF(AND(P244=1,J244&gt;=Assumptions!$B$10),1,0)</f>
        <v>1</v>
      </c>
    </row>
    <row r="245" customFormat="false" ht="15" hidden="false" customHeight="false" outlineLevel="0" collapsed="false">
      <c r="A245" s="26" t="s">
        <v>348</v>
      </c>
      <c r="B245" s="26" t="s">
        <v>46</v>
      </c>
      <c r="C245" s="26" t="s">
        <v>100</v>
      </c>
      <c r="D245" s="26" t="s">
        <v>101</v>
      </c>
      <c r="E245" s="27" t="n">
        <v>42927</v>
      </c>
      <c r="F245" s="27" t="n">
        <v>43317</v>
      </c>
      <c r="G245" s="26" t="s">
        <v>66</v>
      </c>
      <c r="H245" s="28" t="n">
        <v>47000</v>
      </c>
      <c r="I245" s="26" t="n">
        <v>5</v>
      </c>
      <c r="J245" s="26" t="n">
        <v>3</v>
      </c>
      <c r="K245" s="13" t="str">
        <f aca="false">IF(F245="","Active","Left")</f>
        <v>Left</v>
      </c>
      <c r="L245" s="16" t="n">
        <f aca="false">ROUND((IF(F245="",Assumptions!$B$5,F245)-E245)/365.25,1)</f>
        <v>1.1</v>
      </c>
      <c r="M245" s="13" t="str">
        <f aca="false">IF(L245&lt;1,"Under 1 yr",IF(L245&lt;3,"1 to 3 yrs",IF(L245&lt;5,"3 to 5 yrs","5+ yrs")))</f>
        <v>1 to 3 yrs</v>
      </c>
      <c r="N245" s="14" t="n">
        <f aca="false">H245*12</f>
        <v>564000</v>
      </c>
      <c r="O245" s="13" t="n">
        <f aca="false">IF(AND(E245&lt;Assumptions!$B$6,OR(F245="",F245&gt;=Assumptions!$B$6)),1,0)</f>
        <v>0</v>
      </c>
      <c r="P245" s="13" t="n">
        <f aca="false">IF(F245="",0,IF(AND(F245&gt;=Assumptions!$B$6,F245&lt;=Assumptions!$B$5),1,0))</f>
        <v>0</v>
      </c>
      <c r="Q245" s="14" t="n">
        <f aca="false">P245*N245*Assumptions!$B$7</f>
        <v>0</v>
      </c>
      <c r="R245" s="13" t="n">
        <f aca="false">IF(AND(P245=1,J245&gt;=Assumptions!$B$10),1,0)</f>
        <v>0</v>
      </c>
    </row>
    <row r="246" customFormat="false" ht="15" hidden="false" customHeight="false" outlineLevel="0" collapsed="false">
      <c r="A246" s="26" t="s">
        <v>349</v>
      </c>
      <c r="B246" s="26" t="s">
        <v>50</v>
      </c>
      <c r="C246" s="26" t="s">
        <v>100</v>
      </c>
      <c r="D246" s="26" t="s">
        <v>101</v>
      </c>
      <c r="E246" s="27" t="n">
        <v>42533</v>
      </c>
      <c r="F246" s="27"/>
      <c r="G246" s="26"/>
      <c r="H246" s="28" t="n">
        <v>39000</v>
      </c>
      <c r="I246" s="26" t="n">
        <v>8</v>
      </c>
      <c r="J246" s="26" t="n">
        <v>4</v>
      </c>
      <c r="K246" s="13" t="str">
        <f aca="false">IF(F246="","Active","Left")</f>
        <v>Active</v>
      </c>
      <c r="L246" s="16" t="n">
        <f aca="false">ROUND((IF(F246="",Assumptions!$B$5,F246)-E246)/365.25,1)</f>
        <v>10.3</v>
      </c>
      <c r="M246" s="13" t="str">
        <f aca="false">IF(L246&lt;1,"Under 1 yr",IF(L246&lt;3,"1 to 3 yrs",IF(L246&lt;5,"3 to 5 yrs","5+ yrs")))</f>
        <v>5+ yrs</v>
      </c>
      <c r="N246" s="14" t="n">
        <f aca="false">H246*12</f>
        <v>468000</v>
      </c>
      <c r="O246" s="13" t="n">
        <f aca="false">IF(AND(E246&lt;Assumptions!$B$6,OR(F246="",F246&gt;=Assumptions!$B$6)),1,0)</f>
        <v>1</v>
      </c>
      <c r="P246" s="13" t="n">
        <f aca="false">IF(F246="",0,IF(AND(F246&gt;=Assumptions!$B$6,F246&lt;=Assumptions!$B$5),1,0))</f>
        <v>0</v>
      </c>
      <c r="Q246" s="14" t="n">
        <f aca="false">P246*N246*Assumptions!$B$7</f>
        <v>0</v>
      </c>
      <c r="R246" s="13" t="n">
        <f aca="false">IF(AND(P246=1,J246&gt;=Assumptions!$B$10),1,0)</f>
        <v>0</v>
      </c>
    </row>
    <row r="247" customFormat="false" ht="15" hidden="false" customHeight="false" outlineLevel="0" collapsed="false">
      <c r="A247" s="26" t="s">
        <v>350</v>
      </c>
      <c r="B247" s="26" t="s">
        <v>47</v>
      </c>
      <c r="C247" s="26" t="s">
        <v>100</v>
      </c>
      <c r="D247" s="26" t="s">
        <v>105</v>
      </c>
      <c r="E247" s="27" t="n">
        <v>44944</v>
      </c>
      <c r="F247" s="27"/>
      <c r="G247" s="26"/>
      <c r="H247" s="28" t="n">
        <v>50000</v>
      </c>
      <c r="I247" s="26" t="n">
        <v>13</v>
      </c>
      <c r="J247" s="26" t="n">
        <v>4</v>
      </c>
      <c r="K247" s="13" t="str">
        <f aca="false">IF(F247="","Active","Left")</f>
        <v>Active</v>
      </c>
      <c r="L247" s="16" t="n">
        <f aca="false">ROUND((IF(F247="",Assumptions!$B$5,F247)-E247)/365.25,1)</f>
        <v>3.7</v>
      </c>
      <c r="M247" s="13" t="str">
        <f aca="false">IF(L247&lt;1,"Under 1 yr",IF(L247&lt;3,"1 to 3 yrs",IF(L247&lt;5,"3 to 5 yrs","5+ yrs")))</f>
        <v>3 to 5 yrs</v>
      </c>
      <c r="N247" s="14" t="n">
        <f aca="false">H247*12</f>
        <v>600000</v>
      </c>
      <c r="O247" s="13" t="n">
        <f aca="false">IF(AND(E247&lt;Assumptions!$B$6,OR(F247="",F247&gt;=Assumptions!$B$6)),1,0)</f>
        <v>1</v>
      </c>
      <c r="P247" s="13" t="n">
        <f aca="false">IF(F247="",0,IF(AND(F247&gt;=Assumptions!$B$6,F247&lt;=Assumptions!$B$5),1,0))</f>
        <v>0</v>
      </c>
      <c r="Q247" s="14" t="n">
        <f aca="false">P247*N247*Assumptions!$B$7</f>
        <v>0</v>
      </c>
      <c r="R247" s="13" t="n">
        <f aca="false">IF(AND(P247=1,J247&gt;=Assumptions!$B$10),1,0)</f>
        <v>0</v>
      </c>
    </row>
    <row r="248" customFormat="false" ht="15" hidden="false" customHeight="false" outlineLevel="0" collapsed="false">
      <c r="A248" s="26" t="s">
        <v>351</v>
      </c>
      <c r="B248" s="26" t="s">
        <v>50</v>
      </c>
      <c r="C248" s="26" t="s">
        <v>104</v>
      </c>
      <c r="D248" s="26" t="s">
        <v>101</v>
      </c>
      <c r="E248" s="27" t="n">
        <v>46222</v>
      </c>
      <c r="F248" s="27"/>
      <c r="G248" s="26"/>
      <c r="H248" s="28" t="n">
        <v>112000</v>
      </c>
      <c r="I248" s="26" t="n">
        <v>9</v>
      </c>
      <c r="J248" s="26" t="n">
        <v>3</v>
      </c>
      <c r="K248" s="13" t="str">
        <f aca="false">IF(F248="","Active","Left")</f>
        <v>Active</v>
      </c>
      <c r="L248" s="16" t="n">
        <f aca="false">ROUND((IF(F248="",Assumptions!$B$5,F248)-E248)/365.25,1)</f>
        <v>0.2</v>
      </c>
      <c r="M248" s="13" t="str">
        <f aca="false">IF(L248&lt;1,"Under 1 yr",IF(L248&lt;3,"1 to 3 yrs",IF(L248&lt;5,"3 to 5 yrs","5+ yrs")))</f>
        <v>Under 1 yr</v>
      </c>
      <c r="N248" s="14" t="n">
        <f aca="false">H248*12</f>
        <v>1344000</v>
      </c>
      <c r="O248" s="13" t="n">
        <f aca="false">IF(AND(E248&lt;Assumptions!$B$6,OR(F248="",F248&gt;=Assumptions!$B$6)),1,0)</f>
        <v>0</v>
      </c>
      <c r="P248" s="13" t="n">
        <f aca="false">IF(F248="",0,IF(AND(F248&gt;=Assumptions!$B$6,F248&lt;=Assumptions!$B$5),1,0))</f>
        <v>0</v>
      </c>
      <c r="Q248" s="14" t="n">
        <f aca="false">P248*N248*Assumptions!$B$7</f>
        <v>0</v>
      </c>
      <c r="R248" s="13" t="n">
        <f aca="false">IF(AND(P248=1,J248&gt;=Assumptions!$B$10),1,0)</f>
        <v>0</v>
      </c>
    </row>
    <row r="249" customFormat="false" ht="15" hidden="false" customHeight="false" outlineLevel="0" collapsed="false">
      <c r="A249" s="26" t="s">
        <v>352</v>
      </c>
      <c r="B249" s="26" t="s">
        <v>46</v>
      </c>
      <c r="C249" s="26" t="s">
        <v>100</v>
      </c>
      <c r="D249" s="26" t="s">
        <v>101</v>
      </c>
      <c r="E249" s="27" t="n">
        <v>43435</v>
      </c>
      <c r="F249" s="27" t="n">
        <v>45336</v>
      </c>
      <c r="G249" s="26" t="s">
        <v>62</v>
      </c>
      <c r="H249" s="28" t="n">
        <v>41000</v>
      </c>
      <c r="I249" s="26" t="n">
        <v>5</v>
      </c>
      <c r="J249" s="26" t="n">
        <v>5</v>
      </c>
      <c r="K249" s="13" t="str">
        <f aca="false">IF(F249="","Active","Left")</f>
        <v>Left</v>
      </c>
      <c r="L249" s="16" t="n">
        <f aca="false">ROUND((IF(F249="",Assumptions!$B$5,F249)-E249)/365.25,1)</f>
        <v>5.2</v>
      </c>
      <c r="M249" s="13" t="str">
        <f aca="false">IF(L249&lt;1,"Under 1 yr",IF(L249&lt;3,"1 to 3 yrs",IF(L249&lt;5,"3 to 5 yrs","5+ yrs")))</f>
        <v>5+ yrs</v>
      </c>
      <c r="N249" s="14" t="n">
        <f aca="false">H249*12</f>
        <v>492000</v>
      </c>
      <c r="O249" s="13" t="n">
        <f aca="false">IF(AND(E249&lt;Assumptions!$B$6,OR(F249="",F249&gt;=Assumptions!$B$6)),1,0)</f>
        <v>0</v>
      </c>
      <c r="P249" s="13" t="n">
        <f aca="false">IF(F249="",0,IF(AND(F249&gt;=Assumptions!$B$6,F249&lt;=Assumptions!$B$5),1,0))</f>
        <v>0</v>
      </c>
      <c r="Q249" s="14" t="n">
        <f aca="false">P249*N249*Assumptions!$B$7</f>
        <v>0</v>
      </c>
      <c r="R249" s="13" t="n">
        <f aca="false">IF(AND(P249=1,J249&gt;=Assumptions!$B$10),1,0)</f>
        <v>0</v>
      </c>
    </row>
    <row r="250" customFormat="false" ht="15" hidden="false" customHeight="false" outlineLevel="0" collapsed="false">
      <c r="A250" s="26" t="s">
        <v>353</v>
      </c>
      <c r="B250" s="26" t="s">
        <v>46</v>
      </c>
      <c r="C250" s="26" t="s">
        <v>100</v>
      </c>
      <c r="D250" s="26" t="s">
        <v>105</v>
      </c>
      <c r="E250" s="27" t="n">
        <v>44073</v>
      </c>
      <c r="F250" s="27"/>
      <c r="G250" s="26"/>
      <c r="H250" s="28" t="n">
        <v>46000</v>
      </c>
      <c r="I250" s="26" t="n">
        <v>4</v>
      </c>
      <c r="J250" s="26" t="n">
        <v>4</v>
      </c>
      <c r="K250" s="13" t="str">
        <f aca="false">IF(F250="","Active","Left")</f>
        <v>Active</v>
      </c>
      <c r="L250" s="16" t="n">
        <f aca="false">ROUND((IF(F250="",Assumptions!$B$5,F250)-E250)/365.25,1)</f>
        <v>6.1</v>
      </c>
      <c r="M250" s="13" t="str">
        <f aca="false">IF(L250&lt;1,"Under 1 yr",IF(L250&lt;3,"1 to 3 yrs",IF(L250&lt;5,"3 to 5 yrs","5+ yrs")))</f>
        <v>5+ yrs</v>
      </c>
      <c r="N250" s="14" t="n">
        <f aca="false">H250*12</f>
        <v>552000</v>
      </c>
      <c r="O250" s="13" t="n">
        <f aca="false">IF(AND(E250&lt;Assumptions!$B$6,OR(F250="",F250&gt;=Assumptions!$B$6)),1,0)</f>
        <v>1</v>
      </c>
      <c r="P250" s="13" t="n">
        <f aca="false">IF(F250="",0,IF(AND(F250&gt;=Assumptions!$B$6,F250&lt;=Assumptions!$B$5),1,0))</f>
        <v>0</v>
      </c>
      <c r="Q250" s="14" t="n">
        <f aca="false">P250*N250*Assumptions!$B$7</f>
        <v>0</v>
      </c>
      <c r="R250" s="13" t="n">
        <f aca="false">IF(AND(P250=1,J250&gt;=Assumptions!$B$10),1,0)</f>
        <v>0</v>
      </c>
    </row>
    <row r="251" customFormat="false" ht="15" hidden="false" customHeight="false" outlineLevel="0" collapsed="false">
      <c r="A251" s="26" t="s">
        <v>354</v>
      </c>
      <c r="B251" s="26" t="s">
        <v>46</v>
      </c>
      <c r="C251" s="26" t="s">
        <v>100</v>
      </c>
      <c r="D251" s="26" t="s">
        <v>105</v>
      </c>
      <c r="E251" s="27" t="n">
        <v>45101</v>
      </c>
      <c r="F251" s="27"/>
      <c r="G251" s="26"/>
      <c r="H251" s="28" t="n">
        <v>46000</v>
      </c>
      <c r="I251" s="26" t="n">
        <v>3</v>
      </c>
      <c r="J251" s="26" t="n">
        <v>4</v>
      </c>
      <c r="K251" s="13" t="str">
        <f aca="false">IF(F251="","Active","Left")</f>
        <v>Active</v>
      </c>
      <c r="L251" s="16" t="n">
        <f aca="false">ROUND((IF(F251="",Assumptions!$B$5,F251)-E251)/365.25,1)</f>
        <v>3.3</v>
      </c>
      <c r="M251" s="13" t="str">
        <f aca="false">IF(L251&lt;1,"Under 1 yr",IF(L251&lt;3,"1 to 3 yrs",IF(L251&lt;5,"3 to 5 yrs","5+ yrs")))</f>
        <v>3 to 5 yrs</v>
      </c>
      <c r="N251" s="14" t="n">
        <f aca="false">H251*12</f>
        <v>552000</v>
      </c>
      <c r="O251" s="13" t="n">
        <f aca="false">IF(AND(E251&lt;Assumptions!$B$6,OR(F251="",F251&gt;=Assumptions!$B$6)),1,0)</f>
        <v>1</v>
      </c>
      <c r="P251" s="13" t="n">
        <f aca="false">IF(F251="",0,IF(AND(F251&gt;=Assumptions!$B$6,F251&lt;=Assumptions!$B$5),1,0))</f>
        <v>0</v>
      </c>
      <c r="Q251" s="14" t="n">
        <f aca="false">P251*N251*Assumptions!$B$7</f>
        <v>0</v>
      </c>
      <c r="R251" s="13" t="n">
        <f aca="false">IF(AND(P251=1,J251&gt;=Assumptions!$B$10),1,0)</f>
        <v>0</v>
      </c>
    </row>
    <row r="252" customFormat="false" ht="15" hidden="false" customHeight="false" outlineLevel="0" collapsed="false">
      <c r="A252" s="26" t="s">
        <v>355</v>
      </c>
      <c r="B252" s="26" t="s">
        <v>46</v>
      </c>
      <c r="C252" s="26" t="s">
        <v>108</v>
      </c>
      <c r="D252" s="26" t="s">
        <v>101</v>
      </c>
      <c r="E252" s="27" t="n">
        <v>45059</v>
      </c>
      <c r="F252" s="27"/>
      <c r="G252" s="26"/>
      <c r="H252" s="28" t="n">
        <v>63000</v>
      </c>
      <c r="I252" s="26" t="n">
        <v>9</v>
      </c>
      <c r="J252" s="26" t="n">
        <v>2</v>
      </c>
      <c r="K252" s="13" t="str">
        <f aca="false">IF(F252="","Active","Left")</f>
        <v>Active</v>
      </c>
      <c r="L252" s="16" t="n">
        <f aca="false">ROUND((IF(F252="",Assumptions!$B$5,F252)-E252)/365.25,1)</f>
        <v>3.4</v>
      </c>
      <c r="M252" s="13" t="str">
        <f aca="false">IF(L252&lt;1,"Under 1 yr",IF(L252&lt;3,"1 to 3 yrs",IF(L252&lt;5,"3 to 5 yrs","5+ yrs")))</f>
        <v>3 to 5 yrs</v>
      </c>
      <c r="N252" s="14" t="n">
        <f aca="false">H252*12</f>
        <v>756000</v>
      </c>
      <c r="O252" s="13" t="n">
        <f aca="false">IF(AND(E252&lt;Assumptions!$B$6,OR(F252="",F252&gt;=Assumptions!$B$6)),1,0)</f>
        <v>1</v>
      </c>
      <c r="P252" s="13" t="n">
        <f aca="false">IF(F252="",0,IF(AND(F252&gt;=Assumptions!$B$6,F252&lt;=Assumptions!$B$5),1,0))</f>
        <v>0</v>
      </c>
      <c r="Q252" s="14" t="n">
        <f aca="false">P252*N252*Assumptions!$B$7</f>
        <v>0</v>
      </c>
      <c r="R252" s="13" t="n">
        <f aca="false">IF(AND(P252=1,J252&gt;=Assumptions!$B$10),1,0)</f>
        <v>0</v>
      </c>
    </row>
    <row r="253" customFormat="false" ht="15" hidden="false" customHeight="false" outlineLevel="0" collapsed="false">
      <c r="A253" s="26" t="s">
        <v>356</v>
      </c>
      <c r="B253" s="26" t="s">
        <v>45</v>
      </c>
      <c r="C253" s="26" t="s">
        <v>100</v>
      </c>
      <c r="D253" s="26" t="s">
        <v>101</v>
      </c>
      <c r="E253" s="27" t="n">
        <v>45911</v>
      </c>
      <c r="F253" s="27"/>
      <c r="G253" s="26"/>
      <c r="H253" s="28" t="n">
        <v>45000</v>
      </c>
      <c r="I253" s="26" t="n">
        <v>0</v>
      </c>
      <c r="J253" s="26" t="n">
        <v>2</v>
      </c>
      <c r="K253" s="13" t="str">
        <f aca="false">IF(F253="","Active","Left")</f>
        <v>Active</v>
      </c>
      <c r="L253" s="16" t="n">
        <f aca="false">ROUND((IF(F253="",Assumptions!$B$5,F253)-E253)/365.25,1)</f>
        <v>1.1</v>
      </c>
      <c r="M253" s="13" t="str">
        <f aca="false">IF(L253&lt;1,"Under 1 yr",IF(L253&lt;3,"1 to 3 yrs",IF(L253&lt;5,"3 to 5 yrs","5+ yrs")))</f>
        <v>1 to 3 yrs</v>
      </c>
      <c r="N253" s="14" t="n">
        <f aca="false">H253*12</f>
        <v>540000</v>
      </c>
      <c r="O253" s="13" t="n">
        <f aca="false">IF(AND(E253&lt;Assumptions!$B$6,OR(F253="",F253&gt;=Assumptions!$B$6)),1,0)</f>
        <v>1</v>
      </c>
      <c r="P253" s="13" t="n">
        <f aca="false">IF(F253="",0,IF(AND(F253&gt;=Assumptions!$B$6,F253&lt;=Assumptions!$B$5),1,0))</f>
        <v>0</v>
      </c>
      <c r="Q253" s="14" t="n">
        <f aca="false">P253*N253*Assumptions!$B$7</f>
        <v>0</v>
      </c>
      <c r="R253" s="13" t="n">
        <f aca="false">IF(AND(P253=1,J253&gt;=Assumptions!$B$10),1,0)</f>
        <v>0</v>
      </c>
    </row>
    <row r="254" customFormat="false" ht="15" hidden="false" customHeight="false" outlineLevel="0" collapsed="false">
      <c r="A254" s="26" t="s">
        <v>357</v>
      </c>
      <c r="B254" s="26" t="s">
        <v>47</v>
      </c>
      <c r="C254" s="26" t="s">
        <v>108</v>
      </c>
      <c r="D254" s="26" t="s">
        <v>101</v>
      </c>
      <c r="E254" s="27" t="n">
        <v>45533</v>
      </c>
      <c r="F254" s="27"/>
      <c r="G254" s="26"/>
      <c r="H254" s="28" t="n">
        <v>91000</v>
      </c>
      <c r="I254" s="26" t="n">
        <v>2</v>
      </c>
      <c r="J254" s="26" t="n">
        <v>2</v>
      </c>
      <c r="K254" s="13" t="str">
        <f aca="false">IF(F254="","Active","Left")</f>
        <v>Active</v>
      </c>
      <c r="L254" s="16" t="n">
        <f aca="false">ROUND((IF(F254="",Assumptions!$B$5,F254)-E254)/365.25,1)</f>
        <v>2.1</v>
      </c>
      <c r="M254" s="13" t="str">
        <f aca="false">IF(L254&lt;1,"Under 1 yr",IF(L254&lt;3,"1 to 3 yrs",IF(L254&lt;5,"3 to 5 yrs","5+ yrs")))</f>
        <v>1 to 3 yrs</v>
      </c>
      <c r="N254" s="14" t="n">
        <f aca="false">H254*12</f>
        <v>1092000</v>
      </c>
      <c r="O254" s="13" t="n">
        <f aca="false">IF(AND(E254&lt;Assumptions!$B$6,OR(F254="",F254&gt;=Assumptions!$B$6)),1,0)</f>
        <v>1</v>
      </c>
      <c r="P254" s="13" t="n">
        <f aca="false">IF(F254="",0,IF(AND(F254&gt;=Assumptions!$B$6,F254&lt;=Assumptions!$B$5),1,0))</f>
        <v>0</v>
      </c>
      <c r="Q254" s="14" t="n">
        <f aca="false">P254*N254*Assumptions!$B$7</f>
        <v>0</v>
      </c>
      <c r="R254" s="13" t="n">
        <f aca="false">IF(AND(P254=1,J254&gt;=Assumptions!$B$10),1,0)</f>
        <v>0</v>
      </c>
    </row>
    <row r="255" customFormat="false" ht="15" hidden="false" customHeight="false" outlineLevel="0" collapsed="false">
      <c r="A255" s="26" t="s">
        <v>358</v>
      </c>
      <c r="B255" s="26" t="s">
        <v>50</v>
      </c>
      <c r="C255" s="26" t="s">
        <v>100</v>
      </c>
      <c r="D255" s="26" t="s">
        <v>105</v>
      </c>
      <c r="E255" s="27" t="n">
        <v>45160</v>
      </c>
      <c r="F255" s="27"/>
      <c r="G255" s="26"/>
      <c r="H255" s="28" t="n">
        <v>44000</v>
      </c>
      <c r="I255" s="26" t="n">
        <v>0</v>
      </c>
      <c r="J255" s="26" t="n">
        <v>4</v>
      </c>
      <c r="K255" s="13" t="str">
        <f aca="false">IF(F255="","Active","Left")</f>
        <v>Active</v>
      </c>
      <c r="L255" s="16" t="n">
        <f aca="false">ROUND((IF(F255="",Assumptions!$B$5,F255)-E255)/365.25,1)</f>
        <v>3.1</v>
      </c>
      <c r="M255" s="13" t="str">
        <f aca="false">IF(L255&lt;1,"Under 1 yr",IF(L255&lt;3,"1 to 3 yrs",IF(L255&lt;5,"3 to 5 yrs","5+ yrs")))</f>
        <v>3 to 5 yrs</v>
      </c>
      <c r="N255" s="14" t="n">
        <f aca="false">H255*12</f>
        <v>528000</v>
      </c>
      <c r="O255" s="13" t="n">
        <f aca="false">IF(AND(E255&lt;Assumptions!$B$6,OR(F255="",F255&gt;=Assumptions!$B$6)),1,0)</f>
        <v>1</v>
      </c>
      <c r="P255" s="13" t="n">
        <f aca="false">IF(F255="",0,IF(AND(F255&gt;=Assumptions!$B$6,F255&lt;=Assumptions!$B$5),1,0))</f>
        <v>0</v>
      </c>
      <c r="Q255" s="14" t="n">
        <f aca="false">P255*N255*Assumptions!$B$7</f>
        <v>0</v>
      </c>
      <c r="R255" s="13" t="n">
        <f aca="false">IF(AND(P255=1,J255&gt;=Assumptions!$B$10),1,0)</f>
        <v>0</v>
      </c>
    </row>
    <row r="256" customFormat="false" ht="15" hidden="false" customHeight="false" outlineLevel="0" collapsed="false">
      <c r="A256" s="26" t="s">
        <v>359</v>
      </c>
      <c r="B256" s="26" t="s">
        <v>47</v>
      </c>
      <c r="C256" s="26" t="s">
        <v>125</v>
      </c>
      <c r="D256" s="26" t="s">
        <v>105</v>
      </c>
      <c r="E256" s="27" t="n">
        <v>43813</v>
      </c>
      <c r="F256" s="27"/>
      <c r="G256" s="26"/>
      <c r="H256" s="28" t="n">
        <v>298000</v>
      </c>
      <c r="I256" s="26" t="n">
        <v>6</v>
      </c>
      <c r="J256" s="26" t="n">
        <v>4</v>
      </c>
      <c r="K256" s="13" t="str">
        <f aca="false">IF(F256="","Active","Left")</f>
        <v>Active</v>
      </c>
      <c r="L256" s="16" t="n">
        <f aca="false">ROUND((IF(F256="",Assumptions!$B$5,F256)-E256)/365.25,1)</f>
        <v>6.8</v>
      </c>
      <c r="M256" s="13" t="str">
        <f aca="false">IF(L256&lt;1,"Under 1 yr",IF(L256&lt;3,"1 to 3 yrs",IF(L256&lt;5,"3 to 5 yrs","5+ yrs")))</f>
        <v>5+ yrs</v>
      </c>
      <c r="N256" s="14" t="n">
        <f aca="false">H256*12</f>
        <v>3576000</v>
      </c>
      <c r="O256" s="13" t="n">
        <f aca="false">IF(AND(E256&lt;Assumptions!$B$6,OR(F256="",F256&gt;=Assumptions!$B$6)),1,0)</f>
        <v>1</v>
      </c>
      <c r="P256" s="13" t="n">
        <f aca="false">IF(F256="",0,IF(AND(F256&gt;=Assumptions!$B$6,F256&lt;=Assumptions!$B$5),1,0))</f>
        <v>0</v>
      </c>
      <c r="Q256" s="14" t="n">
        <f aca="false">P256*N256*Assumptions!$B$7</f>
        <v>0</v>
      </c>
      <c r="R256" s="13" t="n">
        <f aca="false">IF(AND(P256=1,J256&gt;=Assumptions!$B$10),1,0)</f>
        <v>0</v>
      </c>
    </row>
    <row r="257" customFormat="false" ht="15" hidden="false" customHeight="false" outlineLevel="0" collapsed="false">
      <c r="A257" s="26" t="s">
        <v>360</v>
      </c>
      <c r="B257" s="26" t="s">
        <v>50</v>
      </c>
      <c r="C257" s="26" t="s">
        <v>108</v>
      </c>
      <c r="D257" s="26" t="s">
        <v>105</v>
      </c>
      <c r="E257" s="27" t="n">
        <v>45242</v>
      </c>
      <c r="F257" s="27"/>
      <c r="G257" s="26"/>
      <c r="H257" s="28" t="n">
        <v>90000</v>
      </c>
      <c r="I257" s="26" t="n">
        <v>8</v>
      </c>
      <c r="J257" s="26" t="n">
        <v>2</v>
      </c>
      <c r="K257" s="13" t="str">
        <f aca="false">IF(F257="","Active","Left")</f>
        <v>Active</v>
      </c>
      <c r="L257" s="16" t="n">
        <f aca="false">ROUND((IF(F257="",Assumptions!$B$5,F257)-E257)/365.25,1)</f>
        <v>2.9</v>
      </c>
      <c r="M257" s="13" t="str">
        <f aca="false">IF(L257&lt;1,"Under 1 yr",IF(L257&lt;3,"1 to 3 yrs",IF(L257&lt;5,"3 to 5 yrs","5+ yrs")))</f>
        <v>1 to 3 yrs</v>
      </c>
      <c r="N257" s="14" t="n">
        <f aca="false">H257*12</f>
        <v>1080000</v>
      </c>
      <c r="O257" s="13" t="n">
        <f aca="false">IF(AND(E257&lt;Assumptions!$B$6,OR(F257="",F257&gt;=Assumptions!$B$6)),1,0)</f>
        <v>1</v>
      </c>
      <c r="P257" s="13" t="n">
        <f aca="false">IF(F257="",0,IF(AND(F257&gt;=Assumptions!$B$6,F257&lt;=Assumptions!$B$5),1,0))</f>
        <v>0</v>
      </c>
      <c r="Q257" s="14" t="n">
        <f aca="false">P257*N257*Assumptions!$B$7</f>
        <v>0</v>
      </c>
      <c r="R257" s="13" t="n">
        <f aca="false">IF(AND(P257=1,J257&gt;=Assumptions!$B$10),1,0)</f>
        <v>0</v>
      </c>
    </row>
    <row r="258" customFormat="false" ht="15" hidden="false" customHeight="false" outlineLevel="0" collapsed="false">
      <c r="A258" s="26" t="s">
        <v>361</v>
      </c>
      <c r="B258" s="26" t="s">
        <v>48</v>
      </c>
      <c r="C258" s="26" t="s">
        <v>125</v>
      </c>
      <c r="D258" s="26" t="s">
        <v>105</v>
      </c>
      <c r="E258" s="27" t="n">
        <v>44968</v>
      </c>
      <c r="F258" s="27"/>
      <c r="G258" s="26"/>
      <c r="H258" s="28" t="n">
        <v>234000</v>
      </c>
      <c r="I258" s="26" t="n">
        <v>6</v>
      </c>
      <c r="J258" s="26" t="n">
        <v>3</v>
      </c>
      <c r="K258" s="13" t="str">
        <f aca="false">IF(F258="","Active","Left")</f>
        <v>Active</v>
      </c>
      <c r="L258" s="16" t="n">
        <f aca="false">ROUND((IF(F258="",Assumptions!$B$5,F258)-E258)/365.25,1)</f>
        <v>3.6</v>
      </c>
      <c r="M258" s="13" t="str">
        <f aca="false">IF(L258&lt;1,"Under 1 yr",IF(L258&lt;3,"1 to 3 yrs",IF(L258&lt;5,"3 to 5 yrs","5+ yrs")))</f>
        <v>3 to 5 yrs</v>
      </c>
      <c r="N258" s="14" t="n">
        <f aca="false">H258*12</f>
        <v>2808000</v>
      </c>
      <c r="O258" s="13" t="n">
        <f aca="false">IF(AND(E258&lt;Assumptions!$B$6,OR(F258="",F258&gt;=Assumptions!$B$6)),1,0)</f>
        <v>1</v>
      </c>
      <c r="P258" s="13" t="n">
        <f aca="false">IF(F258="",0,IF(AND(F258&gt;=Assumptions!$B$6,F258&lt;=Assumptions!$B$5),1,0))</f>
        <v>0</v>
      </c>
      <c r="Q258" s="14" t="n">
        <f aca="false">P258*N258*Assumptions!$B$7</f>
        <v>0</v>
      </c>
      <c r="R258" s="13" t="n">
        <f aca="false">IF(AND(P258=1,J258&gt;=Assumptions!$B$10),1,0)</f>
        <v>0</v>
      </c>
    </row>
    <row r="259" customFormat="false" ht="15" hidden="false" customHeight="false" outlineLevel="0" collapsed="false">
      <c r="A259" s="26" t="s">
        <v>362</v>
      </c>
      <c r="B259" s="26" t="s">
        <v>50</v>
      </c>
      <c r="C259" s="26" t="s">
        <v>104</v>
      </c>
      <c r="D259" s="26" t="s">
        <v>105</v>
      </c>
      <c r="E259" s="27" t="n">
        <v>44289</v>
      </c>
      <c r="F259" s="27" t="n">
        <v>44548</v>
      </c>
      <c r="G259" s="26" t="s">
        <v>68</v>
      </c>
      <c r="H259" s="28" t="n">
        <v>155000</v>
      </c>
      <c r="I259" s="26" t="n">
        <v>10</v>
      </c>
      <c r="J259" s="26" t="n">
        <v>4</v>
      </c>
      <c r="K259" s="13" t="str">
        <f aca="false">IF(F259="","Active","Left")</f>
        <v>Left</v>
      </c>
      <c r="L259" s="16" t="n">
        <f aca="false">ROUND((IF(F259="",Assumptions!$B$5,F259)-E259)/365.25,1)</f>
        <v>0.7</v>
      </c>
      <c r="M259" s="13" t="str">
        <f aca="false">IF(L259&lt;1,"Under 1 yr",IF(L259&lt;3,"1 to 3 yrs",IF(L259&lt;5,"3 to 5 yrs","5+ yrs")))</f>
        <v>Under 1 yr</v>
      </c>
      <c r="N259" s="14" t="n">
        <f aca="false">H259*12</f>
        <v>1860000</v>
      </c>
      <c r="O259" s="13" t="n">
        <f aca="false">IF(AND(E259&lt;Assumptions!$B$6,OR(F259="",F259&gt;=Assumptions!$B$6)),1,0)</f>
        <v>0</v>
      </c>
      <c r="P259" s="13" t="n">
        <f aca="false">IF(F259="",0,IF(AND(F259&gt;=Assumptions!$B$6,F259&lt;=Assumptions!$B$5),1,0))</f>
        <v>0</v>
      </c>
      <c r="Q259" s="14" t="n">
        <f aca="false">P259*N259*Assumptions!$B$7</f>
        <v>0</v>
      </c>
      <c r="R259" s="13" t="n">
        <f aca="false">IF(AND(P259=1,J259&gt;=Assumptions!$B$10),1,0)</f>
        <v>0</v>
      </c>
    </row>
    <row r="260" customFormat="false" ht="15" hidden="false" customHeight="false" outlineLevel="0" collapsed="false">
      <c r="A260" s="26" t="s">
        <v>363</v>
      </c>
      <c r="B260" s="26" t="s">
        <v>50</v>
      </c>
      <c r="C260" s="26" t="s">
        <v>108</v>
      </c>
      <c r="D260" s="26" t="s">
        <v>105</v>
      </c>
      <c r="E260" s="27" t="n">
        <v>44301</v>
      </c>
      <c r="F260" s="27"/>
      <c r="G260" s="26"/>
      <c r="H260" s="28" t="n">
        <v>66000</v>
      </c>
      <c r="I260" s="26" t="n">
        <v>6</v>
      </c>
      <c r="J260" s="26" t="n">
        <v>3</v>
      </c>
      <c r="K260" s="13" t="str">
        <f aca="false">IF(F260="","Active","Left")</f>
        <v>Active</v>
      </c>
      <c r="L260" s="16" t="n">
        <f aca="false">ROUND((IF(F260="",Assumptions!$B$5,F260)-E260)/365.25,1)</f>
        <v>5.5</v>
      </c>
      <c r="M260" s="13" t="str">
        <f aca="false">IF(L260&lt;1,"Under 1 yr",IF(L260&lt;3,"1 to 3 yrs",IF(L260&lt;5,"3 to 5 yrs","5+ yrs")))</f>
        <v>5+ yrs</v>
      </c>
      <c r="N260" s="14" t="n">
        <f aca="false">H260*12</f>
        <v>792000</v>
      </c>
      <c r="O260" s="13" t="n">
        <f aca="false">IF(AND(E260&lt;Assumptions!$B$6,OR(F260="",F260&gt;=Assumptions!$B$6)),1,0)</f>
        <v>1</v>
      </c>
      <c r="P260" s="13" t="n">
        <f aca="false">IF(F260="",0,IF(AND(F260&gt;=Assumptions!$B$6,F260&lt;=Assumptions!$B$5),1,0))</f>
        <v>0</v>
      </c>
      <c r="Q260" s="14" t="n">
        <f aca="false">P260*N260*Assumptions!$B$7</f>
        <v>0</v>
      </c>
      <c r="R260" s="13" t="n">
        <f aca="false">IF(AND(P260=1,J260&gt;=Assumptions!$B$10),1,0)</f>
        <v>0</v>
      </c>
    </row>
    <row r="261" customFormat="false" ht="15" hidden="false" customHeight="false" outlineLevel="0" collapsed="false">
      <c r="A261" s="26" t="s">
        <v>364</v>
      </c>
      <c r="B261" s="26" t="s">
        <v>50</v>
      </c>
      <c r="C261" s="26" t="s">
        <v>108</v>
      </c>
      <c r="D261" s="26" t="s">
        <v>101</v>
      </c>
      <c r="E261" s="27" t="n">
        <v>42487</v>
      </c>
      <c r="F261" s="27"/>
      <c r="G261" s="26"/>
      <c r="H261" s="28" t="n">
        <v>92000</v>
      </c>
      <c r="I261" s="26" t="n">
        <v>8</v>
      </c>
      <c r="J261" s="26" t="n">
        <v>3</v>
      </c>
      <c r="K261" s="13" t="str">
        <f aca="false">IF(F261="","Active","Left")</f>
        <v>Active</v>
      </c>
      <c r="L261" s="16" t="n">
        <f aca="false">ROUND((IF(F261="",Assumptions!$B$5,F261)-E261)/365.25,1)</f>
        <v>10.4</v>
      </c>
      <c r="M261" s="13" t="str">
        <f aca="false">IF(L261&lt;1,"Under 1 yr",IF(L261&lt;3,"1 to 3 yrs",IF(L261&lt;5,"3 to 5 yrs","5+ yrs")))</f>
        <v>5+ yrs</v>
      </c>
      <c r="N261" s="14" t="n">
        <f aca="false">H261*12</f>
        <v>1104000</v>
      </c>
      <c r="O261" s="13" t="n">
        <f aca="false">IF(AND(E261&lt;Assumptions!$B$6,OR(F261="",F261&gt;=Assumptions!$B$6)),1,0)</f>
        <v>1</v>
      </c>
      <c r="P261" s="13" t="n">
        <f aca="false">IF(F261="",0,IF(AND(F261&gt;=Assumptions!$B$6,F261&lt;=Assumptions!$B$5),1,0))</f>
        <v>0</v>
      </c>
      <c r="Q261" s="14" t="n">
        <f aca="false">P261*N261*Assumptions!$B$7</f>
        <v>0</v>
      </c>
      <c r="R261" s="13" t="n">
        <f aca="false">IF(AND(P261=1,J261&gt;=Assumptions!$B$10),1,0)</f>
        <v>0</v>
      </c>
    </row>
    <row r="262" customFormat="false" ht="15" hidden="false" customHeight="false" outlineLevel="0" collapsed="false">
      <c r="A262" s="26" t="s">
        <v>365</v>
      </c>
      <c r="B262" s="26" t="s">
        <v>46</v>
      </c>
      <c r="C262" s="26" t="s">
        <v>100</v>
      </c>
      <c r="D262" s="26" t="s">
        <v>101</v>
      </c>
      <c r="E262" s="27" t="n">
        <v>45908</v>
      </c>
      <c r="F262" s="27"/>
      <c r="G262" s="26"/>
      <c r="H262" s="28" t="n">
        <v>35000</v>
      </c>
      <c r="I262" s="26" t="n">
        <v>0</v>
      </c>
      <c r="J262" s="26" t="n">
        <v>3</v>
      </c>
      <c r="K262" s="13" t="str">
        <f aca="false">IF(F262="","Active","Left")</f>
        <v>Active</v>
      </c>
      <c r="L262" s="16" t="n">
        <f aca="false">ROUND((IF(F262="",Assumptions!$B$5,F262)-E262)/365.25,1)</f>
        <v>1.1</v>
      </c>
      <c r="M262" s="13" t="str">
        <f aca="false">IF(L262&lt;1,"Under 1 yr",IF(L262&lt;3,"1 to 3 yrs",IF(L262&lt;5,"3 to 5 yrs","5+ yrs")))</f>
        <v>1 to 3 yrs</v>
      </c>
      <c r="N262" s="14" t="n">
        <f aca="false">H262*12</f>
        <v>420000</v>
      </c>
      <c r="O262" s="13" t="n">
        <f aca="false">IF(AND(E262&lt;Assumptions!$B$6,OR(F262="",F262&gt;=Assumptions!$B$6)),1,0)</f>
        <v>1</v>
      </c>
      <c r="P262" s="13" t="n">
        <f aca="false">IF(F262="",0,IF(AND(F262&gt;=Assumptions!$B$6,F262&lt;=Assumptions!$B$5),1,0))</f>
        <v>0</v>
      </c>
      <c r="Q262" s="14" t="n">
        <f aca="false">P262*N262*Assumptions!$B$7</f>
        <v>0</v>
      </c>
      <c r="R262" s="13" t="n">
        <f aca="false">IF(AND(P262=1,J262&gt;=Assumptions!$B$10),1,0)</f>
        <v>0</v>
      </c>
    </row>
    <row r="263" customFormat="false" ht="15" hidden="false" customHeight="false" outlineLevel="0" collapsed="false">
      <c r="A263" s="26" t="s">
        <v>366</v>
      </c>
      <c r="B263" s="26" t="s">
        <v>46</v>
      </c>
      <c r="C263" s="26" t="s">
        <v>108</v>
      </c>
      <c r="D263" s="26" t="s">
        <v>101</v>
      </c>
      <c r="E263" s="27" t="n">
        <v>42823</v>
      </c>
      <c r="F263" s="27"/>
      <c r="G263" s="26"/>
      <c r="H263" s="28" t="n">
        <v>80000</v>
      </c>
      <c r="I263" s="26" t="n">
        <v>9</v>
      </c>
      <c r="J263" s="26" t="n">
        <v>4</v>
      </c>
      <c r="K263" s="13" t="str">
        <f aca="false">IF(F263="","Active","Left")</f>
        <v>Active</v>
      </c>
      <c r="L263" s="16" t="n">
        <f aca="false">ROUND((IF(F263="",Assumptions!$B$5,F263)-E263)/365.25,1)</f>
        <v>9.5</v>
      </c>
      <c r="M263" s="13" t="str">
        <f aca="false">IF(L263&lt;1,"Under 1 yr",IF(L263&lt;3,"1 to 3 yrs",IF(L263&lt;5,"3 to 5 yrs","5+ yrs")))</f>
        <v>5+ yrs</v>
      </c>
      <c r="N263" s="14" t="n">
        <f aca="false">H263*12</f>
        <v>960000</v>
      </c>
      <c r="O263" s="13" t="n">
        <f aca="false">IF(AND(E263&lt;Assumptions!$B$6,OR(F263="",F263&gt;=Assumptions!$B$6)),1,0)</f>
        <v>1</v>
      </c>
      <c r="P263" s="13" t="n">
        <f aca="false">IF(F263="",0,IF(AND(F263&gt;=Assumptions!$B$6,F263&lt;=Assumptions!$B$5),1,0))</f>
        <v>0</v>
      </c>
      <c r="Q263" s="14" t="n">
        <f aca="false">P263*N263*Assumptions!$B$7</f>
        <v>0</v>
      </c>
      <c r="R263" s="13" t="n">
        <f aca="false">IF(AND(P263=1,J263&gt;=Assumptions!$B$10),1,0)</f>
        <v>0</v>
      </c>
    </row>
    <row r="264" customFormat="false" ht="15" hidden="false" customHeight="false" outlineLevel="0" collapsed="false">
      <c r="A264" s="26" t="s">
        <v>367</v>
      </c>
      <c r="B264" s="26" t="s">
        <v>46</v>
      </c>
      <c r="C264" s="26" t="s">
        <v>108</v>
      </c>
      <c r="D264" s="26" t="s">
        <v>105</v>
      </c>
      <c r="E264" s="27" t="n">
        <v>42740</v>
      </c>
      <c r="F264" s="27"/>
      <c r="G264" s="26"/>
      <c r="H264" s="28" t="n">
        <v>67000</v>
      </c>
      <c r="I264" s="26" t="n">
        <v>2</v>
      </c>
      <c r="J264" s="26" t="n">
        <v>4</v>
      </c>
      <c r="K264" s="13" t="str">
        <f aca="false">IF(F264="","Active","Left")</f>
        <v>Active</v>
      </c>
      <c r="L264" s="16" t="n">
        <f aca="false">ROUND((IF(F264="",Assumptions!$B$5,F264)-E264)/365.25,1)</f>
        <v>9.7</v>
      </c>
      <c r="M264" s="13" t="str">
        <f aca="false">IF(L264&lt;1,"Under 1 yr",IF(L264&lt;3,"1 to 3 yrs",IF(L264&lt;5,"3 to 5 yrs","5+ yrs")))</f>
        <v>5+ yrs</v>
      </c>
      <c r="N264" s="14" t="n">
        <f aca="false">H264*12</f>
        <v>804000</v>
      </c>
      <c r="O264" s="13" t="n">
        <f aca="false">IF(AND(E264&lt;Assumptions!$B$6,OR(F264="",F264&gt;=Assumptions!$B$6)),1,0)</f>
        <v>1</v>
      </c>
      <c r="P264" s="13" t="n">
        <f aca="false">IF(F264="",0,IF(AND(F264&gt;=Assumptions!$B$6,F264&lt;=Assumptions!$B$5),1,0))</f>
        <v>0</v>
      </c>
      <c r="Q264" s="14" t="n">
        <f aca="false">P264*N264*Assumptions!$B$7</f>
        <v>0</v>
      </c>
      <c r="R264" s="13" t="n">
        <f aca="false">IF(AND(P264=1,J264&gt;=Assumptions!$B$10),1,0)</f>
        <v>0</v>
      </c>
    </row>
    <row r="265" customFormat="false" ht="15" hidden="false" customHeight="false" outlineLevel="0" collapsed="false">
      <c r="A265" s="26" t="s">
        <v>368</v>
      </c>
      <c r="B265" s="26" t="s">
        <v>49</v>
      </c>
      <c r="C265" s="26" t="s">
        <v>108</v>
      </c>
      <c r="D265" s="26" t="s">
        <v>105</v>
      </c>
      <c r="E265" s="27" t="n">
        <v>42333</v>
      </c>
      <c r="F265" s="27"/>
      <c r="G265" s="26"/>
      <c r="H265" s="28" t="n">
        <v>90000</v>
      </c>
      <c r="I265" s="26" t="n">
        <v>9</v>
      </c>
      <c r="J265" s="26" t="n">
        <v>2</v>
      </c>
      <c r="K265" s="13" t="str">
        <f aca="false">IF(F265="","Active","Left")</f>
        <v>Active</v>
      </c>
      <c r="L265" s="16" t="n">
        <f aca="false">ROUND((IF(F265="",Assumptions!$B$5,F265)-E265)/365.25,1)</f>
        <v>10.8</v>
      </c>
      <c r="M265" s="13" t="str">
        <f aca="false">IF(L265&lt;1,"Under 1 yr",IF(L265&lt;3,"1 to 3 yrs",IF(L265&lt;5,"3 to 5 yrs","5+ yrs")))</f>
        <v>5+ yrs</v>
      </c>
      <c r="N265" s="14" t="n">
        <f aca="false">H265*12</f>
        <v>1080000</v>
      </c>
      <c r="O265" s="13" t="n">
        <f aca="false">IF(AND(E265&lt;Assumptions!$B$6,OR(F265="",F265&gt;=Assumptions!$B$6)),1,0)</f>
        <v>1</v>
      </c>
      <c r="P265" s="13" t="n">
        <f aca="false">IF(F265="",0,IF(AND(F265&gt;=Assumptions!$B$6,F265&lt;=Assumptions!$B$5),1,0))</f>
        <v>0</v>
      </c>
      <c r="Q265" s="14" t="n">
        <f aca="false">P265*N265*Assumptions!$B$7</f>
        <v>0</v>
      </c>
      <c r="R265" s="13" t="n">
        <f aca="false">IF(AND(P265=1,J265&gt;=Assumptions!$B$10),1,0)</f>
        <v>0</v>
      </c>
    </row>
    <row r="266" customFormat="false" ht="15" hidden="false" customHeight="false" outlineLevel="0" collapsed="false">
      <c r="A266" s="26" t="s">
        <v>369</v>
      </c>
      <c r="B266" s="26" t="s">
        <v>47</v>
      </c>
      <c r="C266" s="26" t="s">
        <v>108</v>
      </c>
      <c r="D266" s="26" t="s">
        <v>101</v>
      </c>
      <c r="E266" s="27" t="n">
        <v>44366</v>
      </c>
      <c r="F266" s="27"/>
      <c r="G266" s="26"/>
      <c r="H266" s="28" t="n">
        <v>68000</v>
      </c>
      <c r="I266" s="26" t="n">
        <v>8</v>
      </c>
      <c r="J266" s="26" t="n">
        <v>2</v>
      </c>
      <c r="K266" s="13" t="str">
        <f aca="false">IF(F266="","Active","Left")</f>
        <v>Active</v>
      </c>
      <c r="L266" s="16" t="n">
        <f aca="false">ROUND((IF(F266="",Assumptions!$B$5,F266)-E266)/365.25,1)</f>
        <v>5.3</v>
      </c>
      <c r="M266" s="13" t="str">
        <f aca="false">IF(L266&lt;1,"Under 1 yr",IF(L266&lt;3,"1 to 3 yrs",IF(L266&lt;5,"3 to 5 yrs","5+ yrs")))</f>
        <v>5+ yrs</v>
      </c>
      <c r="N266" s="14" t="n">
        <f aca="false">H266*12</f>
        <v>816000</v>
      </c>
      <c r="O266" s="13" t="n">
        <f aca="false">IF(AND(E266&lt;Assumptions!$B$6,OR(F266="",F266&gt;=Assumptions!$B$6)),1,0)</f>
        <v>1</v>
      </c>
      <c r="P266" s="13" t="n">
        <f aca="false">IF(F266="",0,IF(AND(F266&gt;=Assumptions!$B$6,F266&lt;=Assumptions!$B$5),1,0))</f>
        <v>0</v>
      </c>
      <c r="Q266" s="14" t="n">
        <f aca="false">P266*N266*Assumptions!$B$7</f>
        <v>0</v>
      </c>
      <c r="R266" s="13" t="n">
        <f aca="false">IF(AND(P266=1,J266&gt;=Assumptions!$B$10),1,0)</f>
        <v>0</v>
      </c>
    </row>
    <row r="267" customFormat="false" ht="15" hidden="false" customHeight="false" outlineLevel="0" collapsed="false">
      <c r="A267" s="26" t="s">
        <v>370</v>
      </c>
      <c r="B267" s="26" t="s">
        <v>45</v>
      </c>
      <c r="C267" s="26" t="s">
        <v>100</v>
      </c>
      <c r="D267" s="26" t="s">
        <v>105</v>
      </c>
      <c r="E267" s="27" t="n">
        <v>45011</v>
      </c>
      <c r="F267" s="27"/>
      <c r="G267" s="26"/>
      <c r="H267" s="28" t="n">
        <v>58000</v>
      </c>
      <c r="I267" s="26" t="n">
        <v>3</v>
      </c>
      <c r="J267" s="26" t="n">
        <v>3</v>
      </c>
      <c r="K267" s="13" t="str">
        <f aca="false">IF(F267="","Active","Left")</f>
        <v>Active</v>
      </c>
      <c r="L267" s="16" t="n">
        <f aca="false">ROUND((IF(F267="",Assumptions!$B$5,F267)-E267)/365.25,1)</f>
        <v>3.5</v>
      </c>
      <c r="M267" s="13" t="str">
        <f aca="false">IF(L267&lt;1,"Under 1 yr",IF(L267&lt;3,"1 to 3 yrs",IF(L267&lt;5,"3 to 5 yrs","5+ yrs")))</f>
        <v>3 to 5 yrs</v>
      </c>
      <c r="N267" s="14" t="n">
        <f aca="false">H267*12</f>
        <v>696000</v>
      </c>
      <c r="O267" s="13" t="n">
        <f aca="false">IF(AND(E267&lt;Assumptions!$B$6,OR(F267="",F267&gt;=Assumptions!$B$6)),1,0)</f>
        <v>1</v>
      </c>
      <c r="P267" s="13" t="n">
        <f aca="false">IF(F267="",0,IF(AND(F267&gt;=Assumptions!$B$6,F267&lt;=Assumptions!$B$5),1,0))</f>
        <v>0</v>
      </c>
      <c r="Q267" s="14" t="n">
        <f aca="false">P267*N267*Assumptions!$B$7</f>
        <v>0</v>
      </c>
      <c r="R267" s="13" t="n">
        <f aca="false">IF(AND(P267=1,J267&gt;=Assumptions!$B$10),1,0)</f>
        <v>0</v>
      </c>
    </row>
    <row r="268" customFormat="false" ht="15" hidden="false" customHeight="false" outlineLevel="0" collapsed="false">
      <c r="A268" s="26" t="s">
        <v>371</v>
      </c>
      <c r="B268" s="26" t="s">
        <v>45</v>
      </c>
      <c r="C268" s="26" t="s">
        <v>108</v>
      </c>
      <c r="D268" s="26" t="s">
        <v>105</v>
      </c>
      <c r="E268" s="27" t="n">
        <v>45005</v>
      </c>
      <c r="F268" s="27"/>
      <c r="G268" s="26"/>
      <c r="H268" s="28" t="n">
        <v>76000</v>
      </c>
      <c r="I268" s="26" t="n">
        <v>2</v>
      </c>
      <c r="J268" s="26" t="n">
        <v>4</v>
      </c>
      <c r="K268" s="13" t="str">
        <f aca="false">IF(F268="","Active","Left")</f>
        <v>Active</v>
      </c>
      <c r="L268" s="16" t="n">
        <f aca="false">ROUND((IF(F268="",Assumptions!$B$5,F268)-E268)/365.25,1)</f>
        <v>3.5</v>
      </c>
      <c r="M268" s="13" t="str">
        <f aca="false">IF(L268&lt;1,"Under 1 yr",IF(L268&lt;3,"1 to 3 yrs",IF(L268&lt;5,"3 to 5 yrs","5+ yrs")))</f>
        <v>3 to 5 yrs</v>
      </c>
      <c r="N268" s="14" t="n">
        <f aca="false">H268*12</f>
        <v>912000</v>
      </c>
      <c r="O268" s="13" t="n">
        <f aca="false">IF(AND(E268&lt;Assumptions!$B$6,OR(F268="",F268&gt;=Assumptions!$B$6)),1,0)</f>
        <v>1</v>
      </c>
      <c r="P268" s="13" t="n">
        <f aca="false">IF(F268="",0,IF(AND(F268&gt;=Assumptions!$B$6,F268&lt;=Assumptions!$B$5),1,0))</f>
        <v>0</v>
      </c>
      <c r="Q268" s="14" t="n">
        <f aca="false">P268*N268*Assumptions!$B$7</f>
        <v>0</v>
      </c>
      <c r="R268" s="13" t="n">
        <f aca="false">IF(AND(P268=1,J268&gt;=Assumptions!$B$10),1,0)</f>
        <v>0</v>
      </c>
    </row>
    <row r="269" customFormat="false" ht="15" hidden="false" customHeight="false" outlineLevel="0" collapsed="false">
      <c r="A269" s="26" t="s">
        <v>372</v>
      </c>
      <c r="B269" s="26" t="s">
        <v>47</v>
      </c>
      <c r="C269" s="26" t="s">
        <v>108</v>
      </c>
      <c r="D269" s="26" t="s">
        <v>101</v>
      </c>
      <c r="E269" s="27" t="n">
        <v>45165</v>
      </c>
      <c r="F269" s="27"/>
      <c r="G269" s="26"/>
      <c r="H269" s="28" t="n">
        <v>73000</v>
      </c>
      <c r="I269" s="26" t="n">
        <v>11</v>
      </c>
      <c r="J269" s="26" t="n">
        <v>4</v>
      </c>
      <c r="K269" s="13" t="str">
        <f aca="false">IF(F269="","Active","Left")</f>
        <v>Active</v>
      </c>
      <c r="L269" s="16" t="n">
        <f aca="false">ROUND((IF(F269="",Assumptions!$B$5,F269)-E269)/365.25,1)</f>
        <v>3.1</v>
      </c>
      <c r="M269" s="13" t="str">
        <f aca="false">IF(L269&lt;1,"Under 1 yr",IF(L269&lt;3,"1 to 3 yrs",IF(L269&lt;5,"3 to 5 yrs","5+ yrs")))</f>
        <v>3 to 5 yrs</v>
      </c>
      <c r="N269" s="14" t="n">
        <f aca="false">H269*12</f>
        <v>876000</v>
      </c>
      <c r="O269" s="13" t="n">
        <f aca="false">IF(AND(E269&lt;Assumptions!$B$6,OR(F269="",F269&gt;=Assumptions!$B$6)),1,0)</f>
        <v>1</v>
      </c>
      <c r="P269" s="13" t="n">
        <f aca="false">IF(F269="",0,IF(AND(F269&gt;=Assumptions!$B$6,F269&lt;=Assumptions!$B$5),1,0))</f>
        <v>0</v>
      </c>
      <c r="Q269" s="14" t="n">
        <f aca="false">P269*N269*Assumptions!$B$7</f>
        <v>0</v>
      </c>
      <c r="R269" s="13" t="n">
        <f aca="false">IF(AND(P269=1,J269&gt;=Assumptions!$B$10),1,0)</f>
        <v>0</v>
      </c>
    </row>
    <row r="270" customFormat="false" ht="15" hidden="false" customHeight="false" outlineLevel="0" collapsed="false">
      <c r="A270" s="26" t="s">
        <v>373</v>
      </c>
      <c r="B270" s="26" t="s">
        <v>48</v>
      </c>
      <c r="C270" s="26" t="s">
        <v>104</v>
      </c>
      <c r="D270" s="26" t="s">
        <v>101</v>
      </c>
      <c r="E270" s="27" t="n">
        <v>43764</v>
      </c>
      <c r="F270" s="27" t="n">
        <v>46190</v>
      </c>
      <c r="G270" s="26" t="s">
        <v>62</v>
      </c>
      <c r="H270" s="28" t="n">
        <v>165000</v>
      </c>
      <c r="I270" s="26" t="n">
        <v>6</v>
      </c>
      <c r="J270" s="26" t="n">
        <v>4</v>
      </c>
      <c r="K270" s="13" t="str">
        <f aca="false">IF(F270="","Active","Left")</f>
        <v>Left</v>
      </c>
      <c r="L270" s="16" t="n">
        <f aca="false">ROUND((IF(F270="",Assumptions!$B$5,F270)-E270)/365.25,1)</f>
        <v>6.6</v>
      </c>
      <c r="M270" s="13" t="str">
        <f aca="false">IF(L270&lt;1,"Under 1 yr",IF(L270&lt;3,"1 to 3 yrs",IF(L270&lt;5,"3 to 5 yrs","5+ yrs")))</f>
        <v>5+ yrs</v>
      </c>
      <c r="N270" s="14" t="n">
        <f aca="false">H270*12</f>
        <v>1980000</v>
      </c>
      <c r="O270" s="13" t="n">
        <f aca="false">IF(AND(E270&lt;Assumptions!$B$6,OR(F270="",F270&gt;=Assumptions!$B$6)),1,0)</f>
        <v>1</v>
      </c>
      <c r="P270" s="13" t="n">
        <f aca="false">IF(F270="",0,IF(AND(F270&gt;=Assumptions!$B$6,F270&lt;=Assumptions!$B$5),1,0))</f>
        <v>1</v>
      </c>
      <c r="Q270" s="14" t="n">
        <f aca="false">P270*N270*Assumptions!$B$7</f>
        <v>990000</v>
      </c>
      <c r="R270" s="13" t="n">
        <f aca="false">IF(AND(P270=1,J270&gt;=Assumptions!$B$10),1,0)</f>
        <v>1</v>
      </c>
    </row>
    <row r="271" customFormat="false" ht="15" hidden="false" customHeight="false" outlineLevel="0" collapsed="false">
      <c r="A271" s="26" t="s">
        <v>374</v>
      </c>
      <c r="B271" s="26" t="s">
        <v>45</v>
      </c>
      <c r="C271" s="26" t="s">
        <v>100</v>
      </c>
      <c r="D271" s="26" t="s">
        <v>101</v>
      </c>
      <c r="E271" s="27" t="n">
        <v>45114</v>
      </c>
      <c r="F271" s="27" t="n">
        <v>46219</v>
      </c>
      <c r="G271" s="26" t="s">
        <v>62</v>
      </c>
      <c r="H271" s="28" t="n">
        <v>60000</v>
      </c>
      <c r="I271" s="26" t="n">
        <v>7</v>
      </c>
      <c r="J271" s="26" t="n">
        <v>3</v>
      </c>
      <c r="K271" s="13" t="str">
        <f aca="false">IF(F271="","Active","Left")</f>
        <v>Left</v>
      </c>
      <c r="L271" s="16" t="n">
        <f aca="false">ROUND((IF(F271="",Assumptions!$B$5,F271)-E271)/365.25,1)</f>
        <v>3</v>
      </c>
      <c r="M271" s="13" t="str">
        <f aca="false">IF(L271&lt;1,"Under 1 yr",IF(L271&lt;3,"1 to 3 yrs",IF(L271&lt;5,"3 to 5 yrs","5+ yrs")))</f>
        <v>3 to 5 yrs</v>
      </c>
      <c r="N271" s="14" t="n">
        <f aca="false">H271*12</f>
        <v>720000</v>
      </c>
      <c r="O271" s="13" t="n">
        <f aca="false">IF(AND(E271&lt;Assumptions!$B$6,OR(F271="",F271&gt;=Assumptions!$B$6)),1,0)</f>
        <v>1</v>
      </c>
      <c r="P271" s="13" t="n">
        <f aca="false">IF(F271="",0,IF(AND(F271&gt;=Assumptions!$B$6,F271&lt;=Assumptions!$B$5),1,0))</f>
        <v>1</v>
      </c>
      <c r="Q271" s="14" t="n">
        <f aca="false">P271*N271*Assumptions!$B$7</f>
        <v>360000</v>
      </c>
      <c r="R271" s="13" t="n">
        <f aca="false">IF(AND(P271=1,J271&gt;=Assumptions!$B$10),1,0)</f>
        <v>0</v>
      </c>
    </row>
    <row r="272" customFormat="false" ht="15" hidden="false" customHeight="false" outlineLevel="0" collapsed="false">
      <c r="A272" s="26" t="s">
        <v>375</v>
      </c>
      <c r="B272" s="26" t="s">
        <v>48</v>
      </c>
      <c r="C272" s="26" t="s">
        <v>100</v>
      </c>
      <c r="D272" s="26" t="s">
        <v>101</v>
      </c>
      <c r="E272" s="27" t="n">
        <v>43104</v>
      </c>
      <c r="F272" s="27"/>
      <c r="G272" s="26"/>
      <c r="H272" s="28" t="n">
        <v>53000</v>
      </c>
      <c r="I272" s="26" t="n">
        <v>4</v>
      </c>
      <c r="J272" s="26" t="n">
        <v>3</v>
      </c>
      <c r="K272" s="13" t="str">
        <f aca="false">IF(F272="","Active","Left")</f>
        <v>Active</v>
      </c>
      <c r="L272" s="16" t="n">
        <f aca="false">ROUND((IF(F272="",Assumptions!$B$5,F272)-E272)/365.25,1)</f>
        <v>8.7</v>
      </c>
      <c r="M272" s="13" t="str">
        <f aca="false">IF(L272&lt;1,"Under 1 yr",IF(L272&lt;3,"1 to 3 yrs",IF(L272&lt;5,"3 to 5 yrs","5+ yrs")))</f>
        <v>5+ yrs</v>
      </c>
      <c r="N272" s="14" t="n">
        <f aca="false">H272*12</f>
        <v>636000</v>
      </c>
      <c r="O272" s="13" t="n">
        <f aca="false">IF(AND(E272&lt;Assumptions!$B$6,OR(F272="",F272&gt;=Assumptions!$B$6)),1,0)</f>
        <v>1</v>
      </c>
      <c r="P272" s="13" t="n">
        <f aca="false">IF(F272="",0,IF(AND(F272&gt;=Assumptions!$B$6,F272&lt;=Assumptions!$B$5),1,0))</f>
        <v>0</v>
      </c>
      <c r="Q272" s="14" t="n">
        <f aca="false">P272*N272*Assumptions!$B$7</f>
        <v>0</v>
      </c>
      <c r="R272" s="13" t="n">
        <f aca="false">IF(AND(P272=1,J272&gt;=Assumptions!$B$10),1,0)</f>
        <v>0</v>
      </c>
    </row>
    <row r="273" customFormat="false" ht="15" hidden="false" customHeight="false" outlineLevel="0" collapsed="false">
      <c r="A273" s="26" t="s">
        <v>376</v>
      </c>
      <c r="B273" s="26" t="s">
        <v>46</v>
      </c>
      <c r="C273" s="26" t="s">
        <v>100</v>
      </c>
      <c r="D273" s="26" t="s">
        <v>101</v>
      </c>
      <c r="E273" s="27" t="n">
        <v>45750</v>
      </c>
      <c r="F273" s="27"/>
      <c r="G273" s="26"/>
      <c r="H273" s="28" t="n">
        <v>54000</v>
      </c>
      <c r="I273" s="26" t="n">
        <v>6</v>
      </c>
      <c r="J273" s="26" t="n">
        <v>3</v>
      </c>
      <c r="K273" s="13" t="str">
        <f aca="false">IF(F273="","Active","Left")</f>
        <v>Active</v>
      </c>
      <c r="L273" s="16" t="n">
        <f aca="false">ROUND((IF(F273="",Assumptions!$B$5,F273)-E273)/365.25,1)</f>
        <v>1.5</v>
      </c>
      <c r="M273" s="13" t="str">
        <f aca="false">IF(L273&lt;1,"Under 1 yr",IF(L273&lt;3,"1 to 3 yrs",IF(L273&lt;5,"3 to 5 yrs","5+ yrs")))</f>
        <v>1 to 3 yrs</v>
      </c>
      <c r="N273" s="14" t="n">
        <f aca="false">H273*12</f>
        <v>648000</v>
      </c>
      <c r="O273" s="13" t="n">
        <f aca="false">IF(AND(E273&lt;Assumptions!$B$6,OR(F273="",F273&gt;=Assumptions!$B$6)),1,0)</f>
        <v>1</v>
      </c>
      <c r="P273" s="13" t="n">
        <f aca="false">IF(F273="",0,IF(AND(F273&gt;=Assumptions!$B$6,F273&lt;=Assumptions!$B$5),1,0))</f>
        <v>0</v>
      </c>
      <c r="Q273" s="14" t="n">
        <f aca="false">P273*N273*Assumptions!$B$7</f>
        <v>0</v>
      </c>
      <c r="R273" s="13" t="n">
        <f aca="false">IF(AND(P273=1,J273&gt;=Assumptions!$B$10),1,0)</f>
        <v>0</v>
      </c>
    </row>
    <row r="274" customFormat="false" ht="15" hidden="false" customHeight="false" outlineLevel="0" collapsed="false">
      <c r="A274" s="26" t="s">
        <v>377</v>
      </c>
      <c r="B274" s="26" t="s">
        <v>48</v>
      </c>
      <c r="C274" s="26" t="s">
        <v>108</v>
      </c>
      <c r="D274" s="26" t="s">
        <v>105</v>
      </c>
      <c r="E274" s="27" t="n">
        <v>45712</v>
      </c>
      <c r="F274" s="27"/>
      <c r="G274" s="26"/>
      <c r="H274" s="28" t="n">
        <v>87000</v>
      </c>
      <c r="I274" s="26" t="n">
        <v>6</v>
      </c>
      <c r="J274" s="26" t="n">
        <v>4</v>
      </c>
      <c r="K274" s="13" t="str">
        <f aca="false">IF(F274="","Active","Left")</f>
        <v>Active</v>
      </c>
      <c r="L274" s="16" t="n">
        <f aca="false">ROUND((IF(F274="",Assumptions!$B$5,F274)-E274)/365.25,1)</f>
        <v>1.6</v>
      </c>
      <c r="M274" s="13" t="str">
        <f aca="false">IF(L274&lt;1,"Under 1 yr",IF(L274&lt;3,"1 to 3 yrs",IF(L274&lt;5,"3 to 5 yrs","5+ yrs")))</f>
        <v>1 to 3 yrs</v>
      </c>
      <c r="N274" s="14" t="n">
        <f aca="false">H274*12</f>
        <v>1044000</v>
      </c>
      <c r="O274" s="13" t="n">
        <f aca="false">IF(AND(E274&lt;Assumptions!$B$6,OR(F274="",F274&gt;=Assumptions!$B$6)),1,0)</f>
        <v>1</v>
      </c>
      <c r="P274" s="13" t="n">
        <f aca="false">IF(F274="",0,IF(AND(F274&gt;=Assumptions!$B$6,F274&lt;=Assumptions!$B$5),1,0))</f>
        <v>0</v>
      </c>
      <c r="Q274" s="14" t="n">
        <f aca="false">P274*N274*Assumptions!$B$7</f>
        <v>0</v>
      </c>
      <c r="R274" s="13" t="n">
        <f aca="false">IF(AND(P274=1,J274&gt;=Assumptions!$B$10),1,0)</f>
        <v>0</v>
      </c>
    </row>
    <row r="275" customFormat="false" ht="15" hidden="false" customHeight="false" outlineLevel="0" collapsed="false">
      <c r="A275" s="26" t="s">
        <v>378</v>
      </c>
      <c r="B275" s="26" t="s">
        <v>45</v>
      </c>
      <c r="C275" s="26" t="s">
        <v>108</v>
      </c>
      <c r="D275" s="26" t="s">
        <v>105</v>
      </c>
      <c r="E275" s="27" t="n">
        <v>43562</v>
      </c>
      <c r="F275" s="27"/>
      <c r="G275" s="26"/>
      <c r="H275" s="28" t="n">
        <v>97000</v>
      </c>
      <c r="I275" s="26" t="n">
        <v>4</v>
      </c>
      <c r="J275" s="26" t="n">
        <v>4</v>
      </c>
      <c r="K275" s="13" t="str">
        <f aca="false">IF(F275="","Active","Left")</f>
        <v>Active</v>
      </c>
      <c r="L275" s="16" t="n">
        <f aca="false">ROUND((IF(F275="",Assumptions!$B$5,F275)-E275)/365.25,1)</f>
        <v>7.5</v>
      </c>
      <c r="M275" s="13" t="str">
        <f aca="false">IF(L275&lt;1,"Under 1 yr",IF(L275&lt;3,"1 to 3 yrs",IF(L275&lt;5,"3 to 5 yrs","5+ yrs")))</f>
        <v>5+ yrs</v>
      </c>
      <c r="N275" s="14" t="n">
        <f aca="false">H275*12</f>
        <v>1164000</v>
      </c>
      <c r="O275" s="13" t="n">
        <f aca="false">IF(AND(E275&lt;Assumptions!$B$6,OR(F275="",F275&gt;=Assumptions!$B$6)),1,0)</f>
        <v>1</v>
      </c>
      <c r="P275" s="13" t="n">
        <f aca="false">IF(F275="",0,IF(AND(F275&gt;=Assumptions!$B$6,F275&lt;=Assumptions!$B$5),1,0))</f>
        <v>0</v>
      </c>
      <c r="Q275" s="14" t="n">
        <f aca="false">P275*N275*Assumptions!$B$7</f>
        <v>0</v>
      </c>
      <c r="R275" s="13" t="n">
        <f aca="false">IF(AND(P275=1,J275&gt;=Assumptions!$B$10),1,0)</f>
        <v>0</v>
      </c>
    </row>
    <row r="276" customFormat="false" ht="15" hidden="false" customHeight="false" outlineLevel="0" collapsed="false">
      <c r="A276" s="26" t="s">
        <v>379</v>
      </c>
      <c r="B276" s="26" t="s">
        <v>45</v>
      </c>
      <c r="C276" s="26" t="s">
        <v>100</v>
      </c>
      <c r="D276" s="26" t="s">
        <v>105</v>
      </c>
      <c r="E276" s="27" t="n">
        <v>43308</v>
      </c>
      <c r="F276" s="27"/>
      <c r="G276" s="26"/>
      <c r="H276" s="28" t="n">
        <v>43000</v>
      </c>
      <c r="I276" s="26" t="n">
        <v>8</v>
      </c>
      <c r="J276" s="26" t="n">
        <v>1</v>
      </c>
      <c r="K276" s="13" t="str">
        <f aca="false">IF(F276="","Active","Left")</f>
        <v>Active</v>
      </c>
      <c r="L276" s="16" t="n">
        <f aca="false">ROUND((IF(F276="",Assumptions!$B$5,F276)-E276)/365.25,1)</f>
        <v>8.2</v>
      </c>
      <c r="M276" s="13" t="str">
        <f aca="false">IF(L276&lt;1,"Under 1 yr",IF(L276&lt;3,"1 to 3 yrs",IF(L276&lt;5,"3 to 5 yrs","5+ yrs")))</f>
        <v>5+ yrs</v>
      </c>
      <c r="N276" s="14" t="n">
        <f aca="false">H276*12</f>
        <v>516000</v>
      </c>
      <c r="O276" s="13" t="n">
        <f aca="false">IF(AND(E276&lt;Assumptions!$B$6,OR(F276="",F276&gt;=Assumptions!$B$6)),1,0)</f>
        <v>1</v>
      </c>
      <c r="P276" s="13" t="n">
        <f aca="false">IF(F276="",0,IF(AND(F276&gt;=Assumptions!$B$6,F276&lt;=Assumptions!$B$5),1,0))</f>
        <v>0</v>
      </c>
      <c r="Q276" s="14" t="n">
        <f aca="false">P276*N276*Assumptions!$B$7</f>
        <v>0</v>
      </c>
      <c r="R276" s="13" t="n">
        <f aca="false">IF(AND(P276=1,J276&gt;=Assumptions!$B$10),1,0)</f>
        <v>0</v>
      </c>
    </row>
    <row r="277" customFormat="false" ht="15" hidden="false" customHeight="false" outlineLevel="0" collapsed="false">
      <c r="A277" s="26" t="s">
        <v>380</v>
      </c>
      <c r="B277" s="26" t="s">
        <v>45</v>
      </c>
      <c r="C277" s="26" t="s">
        <v>100</v>
      </c>
      <c r="D277" s="26" t="s">
        <v>105</v>
      </c>
      <c r="E277" s="27" t="n">
        <v>45712</v>
      </c>
      <c r="F277" s="27" t="n">
        <v>46036</v>
      </c>
      <c r="G277" s="26" t="s">
        <v>62</v>
      </c>
      <c r="H277" s="28" t="n">
        <v>41000</v>
      </c>
      <c r="I277" s="26" t="n">
        <v>8</v>
      </c>
      <c r="J277" s="26" t="n">
        <v>3</v>
      </c>
      <c r="K277" s="13" t="str">
        <f aca="false">IF(F277="","Active","Left")</f>
        <v>Left</v>
      </c>
      <c r="L277" s="16" t="n">
        <f aca="false">ROUND((IF(F277="",Assumptions!$B$5,F277)-E277)/365.25,1)</f>
        <v>0.9</v>
      </c>
      <c r="M277" s="13" t="str">
        <f aca="false">IF(L277&lt;1,"Under 1 yr",IF(L277&lt;3,"1 to 3 yrs",IF(L277&lt;5,"3 to 5 yrs","5+ yrs")))</f>
        <v>Under 1 yr</v>
      </c>
      <c r="N277" s="14" t="n">
        <f aca="false">H277*12</f>
        <v>492000</v>
      </c>
      <c r="O277" s="13" t="n">
        <f aca="false">IF(AND(E277&lt;Assumptions!$B$6,OR(F277="",F277&gt;=Assumptions!$B$6)),1,0)</f>
        <v>1</v>
      </c>
      <c r="P277" s="13" t="n">
        <f aca="false">IF(F277="",0,IF(AND(F277&gt;=Assumptions!$B$6,F277&lt;=Assumptions!$B$5),1,0))</f>
        <v>1</v>
      </c>
      <c r="Q277" s="14" t="n">
        <f aca="false">P277*N277*Assumptions!$B$7</f>
        <v>246000</v>
      </c>
      <c r="R277" s="13" t="n">
        <f aca="false">IF(AND(P277=1,J277&gt;=Assumptions!$B$10),1,0)</f>
        <v>0</v>
      </c>
    </row>
    <row r="278" customFormat="false" ht="15" hidden="false" customHeight="false" outlineLevel="0" collapsed="false">
      <c r="A278" s="26" t="s">
        <v>381</v>
      </c>
      <c r="B278" s="26" t="s">
        <v>49</v>
      </c>
      <c r="C278" s="26" t="s">
        <v>108</v>
      </c>
      <c r="D278" s="26" t="s">
        <v>105</v>
      </c>
      <c r="E278" s="27" t="n">
        <v>43887</v>
      </c>
      <c r="F278" s="27"/>
      <c r="G278" s="26"/>
      <c r="H278" s="28" t="n">
        <v>106000</v>
      </c>
      <c r="I278" s="26" t="n">
        <v>9</v>
      </c>
      <c r="J278" s="26" t="n">
        <v>4</v>
      </c>
      <c r="K278" s="13" t="str">
        <f aca="false">IF(F278="","Active","Left")</f>
        <v>Active</v>
      </c>
      <c r="L278" s="16" t="n">
        <f aca="false">ROUND((IF(F278="",Assumptions!$B$5,F278)-E278)/365.25,1)</f>
        <v>6.6</v>
      </c>
      <c r="M278" s="13" t="str">
        <f aca="false">IF(L278&lt;1,"Under 1 yr",IF(L278&lt;3,"1 to 3 yrs",IF(L278&lt;5,"3 to 5 yrs","5+ yrs")))</f>
        <v>5+ yrs</v>
      </c>
      <c r="N278" s="14" t="n">
        <f aca="false">H278*12</f>
        <v>1272000</v>
      </c>
      <c r="O278" s="13" t="n">
        <f aca="false">IF(AND(E278&lt;Assumptions!$B$6,OR(F278="",F278&gt;=Assumptions!$B$6)),1,0)</f>
        <v>1</v>
      </c>
      <c r="P278" s="13" t="n">
        <f aca="false">IF(F278="",0,IF(AND(F278&gt;=Assumptions!$B$6,F278&lt;=Assumptions!$B$5),1,0))</f>
        <v>0</v>
      </c>
      <c r="Q278" s="14" t="n">
        <f aca="false">P278*N278*Assumptions!$B$7</f>
        <v>0</v>
      </c>
      <c r="R278" s="13" t="n">
        <f aca="false">IF(AND(P278=1,J278&gt;=Assumptions!$B$10),1,0)</f>
        <v>0</v>
      </c>
    </row>
    <row r="279" customFormat="false" ht="15" hidden="false" customHeight="false" outlineLevel="0" collapsed="false">
      <c r="A279" s="26" t="s">
        <v>382</v>
      </c>
      <c r="B279" s="26" t="s">
        <v>48</v>
      </c>
      <c r="C279" s="26" t="s">
        <v>108</v>
      </c>
      <c r="D279" s="26" t="s">
        <v>101</v>
      </c>
      <c r="E279" s="27" t="n">
        <v>44967</v>
      </c>
      <c r="F279" s="27"/>
      <c r="G279" s="26"/>
      <c r="H279" s="28" t="n">
        <v>73000</v>
      </c>
      <c r="I279" s="26" t="n">
        <v>1</v>
      </c>
      <c r="J279" s="26" t="n">
        <v>4</v>
      </c>
      <c r="K279" s="13" t="str">
        <f aca="false">IF(F279="","Active","Left")</f>
        <v>Active</v>
      </c>
      <c r="L279" s="16" t="n">
        <f aca="false">ROUND((IF(F279="",Assumptions!$B$5,F279)-E279)/365.25,1)</f>
        <v>3.6</v>
      </c>
      <c r="M279" s="13" t="str">
        <f aca="false">IF(L279&lt;1,"Under 1 yr",IF(L279&lt;3,"1 to 3 yrs",IF(L279&lt;5,"3 to 5 yrs","5+ yrs")))</f>
        <v>3 to 5 yrs</v>
      </c>
      <c r="N279" s="14" t="n">
        <f aca="false">H279*12</f>
        <v>876000</v>
      </c>
      <c r="O279" s="13" t="n">
        <f aca="false">IF(AND(E279&lt;Assumptions!$B$6,OR(F279="",F279&gt;=Assumptions!$B$6)),1,0)</f>
        <v>1</v>
      </c>
      <c r="P279" s="13" t="n">
        <f aca="false">IF(F279="",0,IF(AND(F279&gt;=Assumptions!$B$6,F279&lt;=Assumptions!$B$5),1,0))</f>
        <v>0</v>
      </c>
      <c r="Q279" s="14" t="n">
        <f aca="false">P279*N279*Assumptions!$B$7</f>
        <v>0</v>
      </c>
      <c r="R279" s="13" t="n">
        <f aca="false">IF(AND(P279=1,J279&gt;=Assumptions!$B$10),1,0)</f>
        <v>0</v>
      </c>
    </row>
    <row r="280" customFormat="false" ht="15" hidden="false" customHeight="false" outlineLevel="0" collapsed="false">
      <c r="A280" s="26" t="s">
        <v>383</v>
      </c>
      <c r="B280" s="26" t="s">
        <v>45</v>
      </c>
      <c r="C280" s="26" t="s">
        <v>104</v>
      </c>
      <c r="D280" s="26" t="s">
        <v>101</v>
      </c>
      <c r="E280" s="27" t="n">
        <v>45843</v>
      </c>
      <c r="F280" s="27" t="n">
        <v>45985</v>
      </c>
      <c r="G280" s="26" t="s">
        <v>63</v>
      </c>
      <c r="H280" s="28" t="n">
        <v>177000</v>
      </c>
      <c r="I280" s="26" t="n">
        <v>4</v>
      </c>
      <c r="J280" s="26" t="n">
        <v>4</v>
      </c>
      <c r="K280" s="13" t="str">
        <f aca="false">IF(F280="","Active","Left")</f>
        <v>Left</v>
      </c>
      <c r="L280" s="16" t="n">
        <f aca="false">ROUND((IF(F280="",Assumptions!$B$5,F280)-E280)/365.25,1)</f>
        <v>0.4</v>
      </c>
      <c r="M280" s="13" t="str">
        <f aca="false">IF(L280&lt;1,"Under 1 yr",IF(L280&lt;3,"1 to 3 yrs",IF(L280&lt;5,"3 to 5 yrs","5+ yrs")))</f>
        <v>Under 1 yr</v>
      </c>
      <c r="N280" s="14" t="n">
        <f aca="false">H280*12</f>
        <v>2124000</v>
      </c>
      <c r="O280" s="13" t="n">
        <f aca="false">IF(AND(E280&lt;Assumptions!$B$6,OR(F280="",F280&gt;=Assumptions!$B$6)),1,0)</f>
        <v>1</v>
      </c>
      <c r="P280" s="13" t="n">
        <f aca="false">IF(F280="",0,IF(AND(F280&gt;=Assumptions!$B$6,F280&lt;=Assumptions!$B$5),1,0))</f>
        <v>1</v>
      </c>
      <c r="Q280" s="14" t="n">
        <f aca="false">P280*N280*Assumptions!$B$7</f>
        <v>1062000</v>
      </c>
      <c r="R280" s="13" t="n">
        <f aca="false">IF(AND(P280=1,J280&gt;=Assumptions!$B$10),1,0)</f>
        <v>1</v>
      </c>
    </row>
    <row r="281" customFormat="false" ht="15" hidden="false" customHeight="false" outlineLevel="0" collapsed="false">
      <c r="A281" s="26" t="s">
        <v>384</v>
      </c>
      <c r="B281" s="26" t="s">
        <v>45</v>
      </c>
      <c r="C281" s="26" t="s">
        <v>104</v>
      </c>
      <c r="D281" s="26" t="s">
        <v>101</v>
      </c>
      <c r="E281" s="27" t="n">
        <v>43366</v>
      </c>
      <c r="F281" s="27"/>
      <c r="G281" s="26"/>
      <c r="H281" s="28" t="n">
        <v>133000</v>
      </c>
      <c r="I281" s="26" t="n">
        <v>4</v>
      </c>
      <c r="J281" s="26" t="n">
        <v>3</v>
      </c>
      <c r="K281" s="13" t="str">
        <f aca="false">IF(F281="","Active","Left")</f>
        <v>Active</v>
      </c>
      <c r="L281" s="16" t="n">
        <f aca="false">ROUND((IF(F281="",Assumptions!$B$5,F281)-E281)/365.25,1)</f>
        <v>8</v>
      </c>
      <c r="M281" s="13" t="str">
        <f aca="false">IF(L281&lt;1,"Under 1 yr",IF(L281&lt;3,"1 to 3 yrs",IF(L281&lt;5,"3 to 5 yrs","5+ yrs")))</f>
        <v>5+ yrs</v>
      </c>
      <c r="N281" s="14" t="n">
        <f aca="false">H281*12</f>
        <v>1596000</v>
      </c>
      <c r="O281" s="13" t="n">
        <f aca="false">IF(AND(E281&lt;Assumptions!$B$6,OR(F281="",F281&gt;=Assumptions!$B$6)),1,0)</f>
        <v>1</v>
      </c>
      <c r="P281" s="13" t="n">
        <f aca="false">IF(F281="",0,IF(AND(F281&gt;=Assumptions!$B$6,F281&lt;=Assumptions!$B$5),1,0))</f>
        <v>0</v>
      </c>
      <c r="Q281" s="14" t="n">
        <f aca="false">P281*N281*Assumptions!$B$7</f>
        <v>0</v>
      </c>
      <c r="R281" s="13" t="n">
        <f aca="false">IF(AND(P281=1,J281&gt;=Assumptions!$B$10),1,0)</f>
        <v>0</v>
      </c>
    </row>
    <row r="282" customFormat="false" ht="15" hidden="false" customHeight="false" outlineLevel="0" collapsed="false">
      <c r="A282" s="26" t="s">
        <v>385</v>
      </c>
      <c r="B282" s="26" t="s">
        <v>50</v>
      </c>
      <c r="C282" s="26" t="s">
        <v>100</v>
      </c>
      <c r="D282" s="26" t="s">
        <v>105</v>
      </c>
      <c r="E282" s="27" t="n">
        <v>46124</v>
      </c>
      <c r="F282" s="27"/>
      <c r="G282" s="26"/>
      <c r="H282" s="28" t="n">
        <v>60000</v>
      </c>
      <c r="I282" s="26" t="n">
        <v>9</v>
      </c>
      <c r="J282" s="26" t="n">
        <v>3</v>
      </c>
      <c r="K282" s="13" t="str">
        <f aca="false">IF(F282="","Active","Left")</f>
        <v>Active</v>
      </c>
      <c r="L282" s="16" t="n">
        <f aca="false">ROUND((IF(F282="",Assumptions!$B$5,F282)-E282)/365.25,1)</f>
        <v>0.5</v>
      </c>
      <c r="M282" s="13" t="str">
        <f aca="false">IF(L282&lt;1,"Under 1 yr",IF(L282&lt;3,"1 to 3 yrs",IF(L282&lt;5,"3 to 5 yrs","5+ yrs")))</f>
        <v>Under 1 yr</v>
      </c>
      <c r="N282" s="14" t="n">
        <f aca="false">H282*12</f>
        <v>720000</v>
      </c>
      <c r="O282" s="13" t="n">
        <f aca="false">IF(AND(E282&lt;Assumptions!$B$6,OR(F282="",F282&gt;=Assumptions!$B$6)),1,0)</f>
        <v>0</v>
      </c>
      <c r="P282" s="13" t="n">
        <f aca="false">IF(F282="",0,IF(AND(F282&gt;=Assumptions!$B$6,F282&lt;=Assumptions!$B$5),1,0))</f>
        <v>0</v>
      </c>
      <c r="Q282" s="14" t="n">
        <f aca="false">P282*N282*Assumptions!$B$7</f>
        <v>0</v>
      </c>
      <c r="R282" s="13" t="n">
        <f aca="false">IF(AND(P282=1,J282&gt;=Assumptions!$B$10),1,0)</f>
        <v>0</v>
      </c>
    </row>
    <row r="283" customFormat="false" ht="15" hidden="false" customHeight="false" outlineLevel="0" collapsed="false">
      <c r="A283" s="26" t="s">
        <v>386</v>
      </c>
      <c r="B283" s="26" t="s">
        <v>49</v>
      </c>
      <c r="C283" s="26" t="s">
        <v>100</v>
      </c>
      <c r="D283" s="26" t="s">
        <v>101</v>
      </c>
      <c r="E283" s="27" t="n">
        <v>45655</v>
      </c>
      <c r="F283" s="27"/>
      <c r="G283" s="26"/>
      <c r="H283" s="28" t="n">
        <v>58000</v>
      </c>
      <c r="I283" s="26" t="n">
        <v>6</v>
      </c>
      <c r="J283" s="26" t="n">
        <v>4</v>
      </c>
      <c r="K283" s="13" t="str">
        <f aca="false">IF(F283="","Active","Left")</f>
        <v>Active</v>
      </c>
      <c r="L283" s="16" t="n">
        <f aca="false">ROUND((IF(F283="",Assumptions!$B$5,F283)-E283)/365.25,1)</f>
        <v>1.8</v>
      </c>
      <c r="M283" s="13" t="str">
        <f aca="false">IF(L283&lt;1,"Under 1 yr",IF(L283&lt;3,"1 to 3 yrs",IF(L283&lt;5,"3 to 5 yrs","5+ yrs")))</f>
        <v>1 to 3 yrs</v>
      </c>
      <c r="N283" s="14" t="n">
        <f aca="false">H283*12</f>
        <v>696000</v>
      </c>
      <c r="O283" s="13" t="n">
        <f aca="false">IF(AND(E283&lt;Assumptions!$B$6,OR(F283="",F283&gt;=Assumptions!$B$6)),1,0)</f>
        <v>1</v>
      </c>
      <c r="P283" s="13" t="n">
        <f aca="false">IF(F283="",0,IF(AND(F283&gt;=Assumptions!$B$6,F283&lt;=Assumptions!$B$5),1,0))</f>
        <v>0</v>
      </c>
      <c r="Q283" s="14" t="n">
        <f aca="false">P283*N283*Assumptions!$B$7</f>
        <v>0</v>
      </c>
      <c r="R283" s="13" t="n">
        <f aca="false">IF(AND(P283=1,J283&gt;=Assumptions!$B$10),1,0)</f>
        <v>0</v>
      </c>
    </row>
    <row r="284" customFormat="false" ht="15" hidden="false" customHeight="false" outlineLevel="0" collapsed="false">
      <c r="A284" s="26" t="s">
        <v>387</v>
      </c>
      <c r="B284" s="26" t="s">
        <v>45</v>
      </c>
      <c r="C284" s="26" t="s">
        <v>100</v>
      </c>
      <c r="D284" s="26" t="s">
        <v>105</v>
      </c>
      <c r="E284" s="27" t="n">
        <v>42364</v>
      </c>
      <c r="F284" s="27"/>
      <c r="G284" s="26"/>
      <c r="H284" s="28" t="n">
        <v>41000</v>
      </c>
      <c r="I284" s="26" t="n">
        <v>9</v>
      </c>
      <c r="J284" s="26" t="n">
        <v>3</v>
      </c>
      <c r="K284" s="13" t="str">
        <f aca="false">IF(F284="","Active","Left")</f>
        <v>Active</v>
      </c>
      <c r="L284" s="16" t="n">
        <f aca="false">ROUND((IF(F284="",Assumptions!$B$5,F284)-E284)/365.25,1)</f>
        <v>10.8</v>
      </c>
      <c r="M284" s="13" t="str">
        <f aca="false">IF(L284&lt;1,"Under 1 yr",IF(L284&lt;3,"1 to 3 yrs",IF(L284&lt;5,"3 to 5 yrs","5+ yrs")))</f>
        <v>5+ yrs</v>
      </c>
      <c r="N284" s="14" t="n">
        <f aca="false">H284*12</f>
        <v>492000</v>
      </c>
      <c r="O284" s="13" t="n">
        <f aca="false">IF(AND(E284&lt;Assumptions!$B$6,OR(F284="",F284&gt;=Assumptions!$B$6)),1,0)</f>
        <v>1</v>
      </c>
      <c r="P284" s="13" t="n">
        <f aca="false">IF(F284="",0,IF(AND(F284&gt;=Assumptions!$B$6,F284&lt;=Assumptions!$B$5),1,0))</f>
        <v>0</v>
      </c>
      <c r="Q284" s="14" t="n">
        <f aca="false">P284*N284*Assumptions!$B$7</f>
        <v>0</v>
      </c>
      <c r="R284" s="13" t="n">
        <f aca="false">IF(AND(P284=1,J284&gt;=Assumptions!$B$10),1,0)</f>
        <v>0</v>
      </c>
    </row>
    <row r="285" customFormat="false" ht="15" hidden="false" customHeight="false" outlineLevel="0" collapsed="false">
      <c r="A285" s="26" t="s">
        <v>388</v>
      </c>
      <c r="B285" s="26" t="s">
        <v>50</v>
      </c>
      <c r="C285" s="26" t="s">
        <v>108</v>
      </c>
      <c r="D285" s="26" t="s">
        <v>101</v>
      </c>
      <c r="E285" s="27" t="n">
        <v>44198</v>
      </c>
      <c r="F285" s="27"/>
      <c r="G285" s="26"/>
      <c r="H285" s="28" t="n">
        <v>69000</v>
      </c>
      <c r="I285" s="26" t="n">
        <v>6</v>
      </c>
      <c r="J285" s="26" t="n">
        <v>3</v>
      </c>
      <c r="K285" s="13" t="str">
        <f aca="false">IF(F285="","Active","Left")</f>
        <v>Active</v>
      </c>
      <c r="L285" s="16" t="n">
        <f aca="false">ROUND((IF(F285="",Assumptions!$B$5,F285)-E285)/365.25,1)</f>
        <v>5.7</v>
      </c>
      <c r="M285" s="13" t="str">
        <f aca="false">IF(L285&lt;1,"Under 1 yr",IF(L285&lt;3,"1 to 3 yrs",IF(L285&lt;5,"3 to 5 yrs","5+ yrs")))</f>
        <v>5+ yrs</v>
      </c>
      <c r="N285" s="14" t="n">
        <f aca="false">H285*12</f>
        <v>828000</v>
      </c>
      <c r="O285" s="13" t="n">
        <f aca="false">IF(AND(E285&lt;Assumptions!$B$6,OR(F285="",F285&gt;=Assumptions!$B$6)),1,0)</f>
        <v>1</v>
      </c>
      <c r="P285" s="13" t="n">
        <f aca="false">IF(F285="",0,IF(AND(F285&gt;=Assumptions!$B$6,F285&lt;=Assumptions!$B$5),1,0))</f>
        <v>0</v>
      </c>
      <c r="Q285" s="14" t="n">
        <f aca="false">P285*N285*Assumptions!$B$7</f>
        <v>0</v>
      </c>
      <c r="R285" s="13" t="n">
        <f aca="false">IF(AND(P285=1,J285&gt;=Assumptions!$B$10),1,0)</f>
        <v>0</v>
      </c>
    </row>
    <row r="286" customFormat="false" ht="15" hidden="false" customHeight="false" outlineLevel="0" collapsed="false">
      <c r="A286" s="26" t="s">
        <v>389</v>
      </c>
      <c r="B286" s="26" t="s">
        <v>50</v>
      </c>
      <c r="C286" s="26" t="s">
        <v>100</v>
      </c>
      <c r="D286" s="26" t="s">
        <v>105</v>
      </c>
      <c r="E286" s="27" t="n">
        <v>42624</v>
      </c>
      <c r="F286" s="27" t="n">
        <v>46088</v>
      </c>
      <c r="G286" s="26" t="s">
        <v>63</v>
      </c>
      <c r="H286" s="28" t="n">
        <v>35000</v>
      </c>
      <c r="I286" s="26" t="n">
        <v>4</v>
      </c>
      <c r="J286" s="26" t="n">
        <v>3</v>
      </c>
      <c r="K286" s="13" t="str">
        <f aca="false">IF(F286="","Active","Left")</f>
        <v>Left</v>
      </c>
      <c r="L286" s="16" t="n">
        <f aca="false">ROUND((IF(F286="",Assumptions!$B$5,F286)-E286)/365.25,1)</f>
        <v>9.5</v>
      </c>
      <c r="M286" s="13" t="str">
        <f aca="false">IF(L286&lt;1,"Under 1 yr",IF(L286&lt;3,"1 to 3 yrs",IF(L286&lt;5,"3 to 5 yrs","5+ yrs")))</f>
        <v>5+ yrs</v>
      </c>
      <c r="N286" s="14" t="n">
        <f aca="false">H286*12</f>
        <v>420000</v>
      </c>
      <c r="O286" s="13" t="n">
        <f aca="false">IF(AND(E286&lt;Assumptions!$B$6,OR(F286="",F286&gt;=Assumptions!$B$6)),1,0)</f>
        <v>1</v>
      </c>
      <c r="P286" s="13" t="n">
        <f aca="false">IF(F286="",0,IF(AND(F286&gt;=Assumptions!$B$6,F286&lt;=Assumptions!$B$5),1,0))</f>
        <v>1</v>
      </c>
      <c r="Q286" s="14" t="n">
        <f aca="false">P286*N286*Assumptions!$B$7</f>
        <v>210000</v>
      </c>
      <c r="R286" s="13" t="n">
        <f aca="false">IF(AND(P286=1,J286&gt;=Assumptions!$B$10),1,0)</f>
        <v>0</v>
      </c>
    </row>
    <row r="287" customFormat="false" ht="15" hidden="false" customHeight="false" outlineLevel="0" collapsed="false">
      <c r="A287" s="26" t="s">
        <v>390</v>
      </c>
      <c r="B287" s="26" t="s">
        <v>47</v>
      </c>
      <c r="C287" s="26" t="s">
        <v>100</v>
      </c>
      <c r="D287" s="26" t="s">
        <v>101</v>
      </c>
      <c r="E287" s="27" t="n">
        <v>42268</v>
      </c>
      <c r="F287" s="27"/>
      <c r="G287" s="26"/>
      <c r="H287" s="28" t="n">
        <v>50000</v>
      </c>
      <c r="I287" s="26" t="n">
        <v>5</v>
      </c>
      <c r="J287" s="26" t="n">
        <v>4</v>
      </c>
      <c r="K287" s="13" t="str">
        <f aca="false">IF(F287="","Active","Left")</f>
        <v>Active</v>
      </c>
      <c r="L287" s="16" t="n">
        <f aca="false">ROUND((IF(F287="",Assumptions!$B$5,F287)-E287)/365.25,1)</f>
        <v>11</v>
      </c>
      <c r="M287" s="13" t="str">
        <f aca="false">IF(L287&lt;1,"Under 1 yr",IF(L287&lt;3,"1 to 3 yrs",IF(L287&lt;5,"3 to 5 yrs","5+ yrs")))</f>
        <v>5+ yrs</v>
      </c>
      <c r="N287" s="14" t="n">
        <f aca="false">H287*12</f>
        <v>600000</v>
      </c>
      <c r="O287" s="13" t="n">
        <f aca="false">IF(AND(E287&lt;Assumptions!$B$6,OR(F287="",F287&gt;=Assumptions!$B$6)),1,0)</f>
        <v>1</v>
      </c>
      <c r="P287" s="13" t="n">
        <f aca="false">IF(F287="",0,IF(AND(F287&gt;=Assumptions!$B$6,F287&lt;=Assumptions!$B$5),1,0))</f>
        <v>0</v>
      </c>
      <c r="Q287" s="14" t="n">
        <f aca="false">P287*N287*Assumptions!$B$7</f>
        <v>0</v>
      </c>
      <c r="R287" s="13" t="n">
        <f aca="false">IF(AND(P287=1,J287&gt;=Assumptions!$B$10),1,0)</f>
        <v>0</v>
      </c>
    </row>
    <row r="288" customFormat="false" ht="15" hidden="false" customHeight="false" outlineLevel="0" collapsed="false">
      <c r="A288" s="26" t="s">
        <v>391</v>
      </c>
      <c r="B288" s="26" t="s">
        <v>47</v>
      </c>
      <c r="C288" s="26" t="s">
        <v>100</v>
      </c>
      <c r="D288" s="26" t="s">
        <v>101</v>
      </c>
      <c r="E288" s="27" t="n">
        <v>46163</v>
      </c>
      <c r="F288" s="27"/>
      <c r="G288" s="26"/>
      <c r="H288" s="28" t="n">
        <v>38000</v>
      </c>
      <c r="I288" s="26" t="n">
        <v>9</v>
      </c>
      <c r="J288" s="26" t="n">
        <v>4</v>
      </c>
      <c r="K288" s="13" t="str">
        <f aca="false">IF(F288="","Active","Left")</f>
        <v>Active</v>
      </c>
      <c r="L288" s="16" t="n">
        <f aca="false">ROUND((IF(F288="",Assumptions!$B$5,F288)-E288)/365.25,1)</f>
        <v>0.4</v>
      </c>
      <c r="M288" s="13" t="str">
        <f aca="false">IF(L288&lt;1,"Under 1 yr",IF(L288&lt;3,"1 to 3 yrs",IF(L288&lt;5,"3 to 5 yrs","5+ yrs")))</f>
        <v>Under 1 yr</v>
      </c>
      <c r="N288" s="14" t="n">
        <f aca="false">H288*12</f>
        <v>456000</v>
      </c>
      <c r="O288" s="13" t="n">
        <f aca="false">IF(AND(E288&lt;Assumptions!$B$6,OR(F288="",F288&gt;=Assumptions!$B$6)),1,0)</f>
        <v>0</v>
      </c>
      <c r="P288" s="13" t="n">
        <f aca="false">IF(F288="",0,IF(AND(F288&gt;=Assumptions!$B$6,F288&lt;=Assumptions!$B$5),1,0))</f>
        <v>0</v>
      </c>
      <c r="Q288" s="14" t="n">
        <f aca="false">P288*N288*Assumptions!$B$7</f>
        <v>0</v>
      </c>
      <c r="R288" s="13" t="n">
        <f aca="false">IF(AND(P288=1,J288&gt;=Assumptions!$B$10),1,0)</f>
        <v>0</v>
      </c>
    </row>
    <row r="289" customFormat="false" ht="15" hidden="false" customHeight="false" outlineLevel="0" collapsed="false">
      <c r="A289" s="26" t="s">
        <v>392</v>
      </c>
      <c r="B289" s="26" t="s">
        <v>50</v>
      </c>
      <c r="C289" s="26" t="s">
        <v>100</v>
      </c>
      <c r="D289" s="26" t="s">
        <v>105</v>
      </c>
      <c r="E289" s="27" t="n">
        <v>44709</v>
      </c>
      <c r="F289" s="27" t="n">
        <v>45876</v>
      </c>
      <c r="G289" s="26" t="s">
        <v>68</v>
      </c>
      <c r="H289" s="28" t="n">
        <v>44000</v>
      </c>
      <c r="I289" s="26" t="n">
        <v>8</v>
      </c>
      <c r="J289" s="26" t="n">
        <v>2</v>
      </c>
      <c r="K289" s="13" t="str">
        <f aca="false">IF(F289="","Active","Left")</f>
        <v>Left</v>
      </c>
      <c r="L289" s="16" t="n">
        <f aca="false">ROUND((IF(F289="",Assumptions!$B$5,F289)-E289)/365.25,1)</f>
        <v>3.2</v>
      </c>
      <c r="M289" s="13" t="str">
        <f aca="false">IF(L289&lt;1,"Under 1 yr",IF(L289&lt;3,"1 to 3 yrs",IF(L289&lt;5,"3 to 5 yrs","5+ yrs")))</f>
        <v>3 to 5 yrs</v>
      </c>
      <c r="N289" s="14" t="n">
        <f aca="false">H289*12</f>
        <v>528000</v>
      </c>
      <c r="O289" s="13" t="n">
        <f aca="false">IF(AND(E289&lt;Assumptions!$B$6,OR(F289="",F289&gt;=Assumptions!$B$6)),1,0)</f>
        <v>0</v>
      </c>
      <c r="P289" s="13" t="n">
        <f aca="false">IF(F289="",0,IF(AND(F289&gt;=Assumptions!$B$6,F289&lt;=Assumptions!$B$5),1,0))</f>
        <v>0</v>
      </c>
      <c r="Q289" s="14" t="n">
        <f aca="false">P289*N289*Assumptions!$B$7</f>
        <v>0</v>
      </c>
      <c r="R289" s="13" t="n">
        <f aca="false">IF(AND(P289=1,J289&gt;=Assumptions!$B$10),1,0)</f>
        <v>0</v>
      </c>
    </row>
    <row r="290" customFormat="false" ht="15" hidden="false" customHeight="false" outlineLevel="0" collapsed="false">
      <c r="A290" s="26" t="s">
        <v>393</v>
      </c>
      <c r="B290" s="26" t="s">
        <v>46</v>
      </c>
      <c r="C290" s="26" t="s">
        <v>108</v>
      </c>
      <c r="D290" s="26" t="s">
        <v>101</v>
      </c>
      <c r="E290" s="27" t="n">
        <v>44421</v>
      </c>
      <c r="F290" s="27"/>
      <c r="G290" s="26"/>
      <c r="H290" s="28" t="n">
        <v>81000</v>
      </c>
      <c r="I290" s="26" t="n">
        <v>7</v>
      </c>
      <c r="J290" s="26" t="n">
        <v>3</v>
      </c>
      <c r="K290" s="13" t="str">
        <f aca="false">IF(F290="","Active","Left")</f>
        <v>Active</v>
      </c>
      <c r="L290" s="16" t="n">
        <f aca="false">ROUND((IF(F290="",Assumptions!$B$5,F290)-E290)/365.25,1)</f>
        <v>5.1</v>
      </c>
      <c r="M290" s="13" t="str">
        <f aca="false">IF(L290&lt;1,"Under 1 yr",IF(L290&lt;3,"1 to 3 yrs",IF(L290&lt;5,"3 to 5 yrs","5+ yrs")))</f>
        <v>5+ yrs</v>
      </c>
      <c r="N290" s="14" t="n">
        <f aca="false">H290*12</f>
        <v>972000</v>
      </c>
      <c r="O290" s="13" t="n">
        <f aca="false">IF(AND(E290&lt;Assumptions!$B$6,OR(F290="",F290&gt;=Assumptions!$B$6)),1,0)</f>
        <v>1</v>
      </c>
      <c r="P290" s="13" t="n">
        <f aca="false">IF(F290="",0,IF(AND(F290&gt;=Assumptions!$B$6,F290&lt;=Assumptions!$B$5),1,0))</f>
        <v>0</v>
      </c>
      <c r="Q290" s="14" t="n">
        <f aca="false">P290*N290*Assumptions!$B$7</f>
        <v>0</v>
      </c>
      <c r="R290" s="13" t="n">
        <f aca="false">IF(AND(P290=1,J290&gt;=Assumptions!$B$10),1,0)</f>
        <v>0</v>
      </c>
    </row>
    <row r="291" customFormat="false" ht="15" hidden="false" customHeight="false" outlineLevel="0" collapsed="false">
      <c r="A291" s="26" t="s">
        <v>394</v>
      </c>
      <c r="B291" s="26" t="s">
        <v>48</v>
      </c>
      <c r="C291" s="26" t="s">
        <v>125</v>
      </c>
      <c r="D291" s="26" t="s">
        <v>101</v>
      </c>
      <c r="E291" s="27" t="n">
        <v>43847</v>
      </c>
      <c r="F291" s="27" t="n">
        <v>46007</v>
      </c>
      <c r="G291" s="26" t="s">
        <v>62</v>
      </c>
      <c r="H291" s="28" t="n">
        <v>213000</v>
      </c>
      <c r="I291" s="26" t="n">
        <v>6</v>
      </c>
      <c r="J291" s="26" t="n">
        <v>4</v>
      </c>
      <c r="K291" s="13" t="str">
        <f aca="false">IF(F291="","Active","Left")</f>
        <v>Left</v>
      </c>
      <c r="L291" s="16" t="n">
        <f aca="false">ROUND((IF(F291="",Assumptions!$B$5,F291)-E291)/365.25,1)</f>
        <v>5.9</v>
      </c>
      <c r="M291" s="13" t="str">
        <f aca="false">IF(L291&lt;1,"Under 1 yr",IF(L291&lt;3,"1 to 3 yrs",IF(L291&lt;5,"3 to 5 yrs","5+ yrs")))</f>
        <v>5+ yrs</v>
      </c>
      <c r="N291" s="14" t="n">
        <f aca="false">H291*12</f>
        <v>2556000</v>
      </c>
      <c r="O291" s="13" t="n">
        <f aca="false">IF(AND(E291&lt;Assumptions!$B$6,OR(F291="",F291&gt;=Assumptions!$B$6)),1,0)</f>
        <v>1</v>
      </c>
      <c r="P291" s="13" t="n">
        <f aca="false">IF(F291="",0,IF(AND(F291&gt;=Assumptions!$B$6,F291&lt;=Assumptions!$B$5),1,0))</f>
        <v>1</v>
      </c>
      <c r="Q291" s="14" t="n">
        <f aca="false">P291*N291*Assumptions!$B$7</f>
        <v>1278000</v>
      </c>
      <c r="R291" s="13" t="n">
        <f aca="false">IF(AND(P291=1,J291&gt;=Assumptions!$B$10),1,0)</f>
        <v>1</v>
      </c>
    </row>
    <row r="292" customFormat="false" ht="15" hidden="false" customHeight="false" outlineLevel="0" collapsed="false">
      <c r="A292" s="26" t="s">
        <v>395</v>
      </c>
      <c r="B292" s="26" t="s">
        <v>49</v>
      </c>
      <c r="C292" s="26" t="s">
        <v>100</v>
      </c>
      <c r="D292" s="26" t="s">
        <v>101</v>
      </c>
      <c r="E292" s="27" t="n">
        <v>44807</v>
      </c>
      <c r="F292" s="27" t="n">
        <v>45765</v>
      </c>
      <c r="G292" s="26" t="s">
        <v>63</v>
      </c>
      <c r="H292" s="28" t="n">
        <v>45000</v>
      </c>
      <c r="I292" s="26" t="n">
        <v>3</v>
      </c>
      <c r="J292" s="26" t="n">
        <v>2</v>
      </c>
      <c r="K292" s="13" t="str">
        <f aca="false">IF(F292="","Active","Left")</f>
        <v>Left</v>
      </c>
      <c r="L292" s="16" t="n">
        <f aca="false">ROUND((IF(F292="",Assumptions!$B$5,F292)-E292)/365.25,1)</f>
        <v>2.6</v>
      </c>
      <c r="M292" s="13" t="str">
        <f aca="false">IF(L292&lt;1,"Under 1 yr",IF(L292&lt;3,"1 to 3 yrs",IF(L292&lt;5,"3 to 5 yrs","5+ yrs")))</f>
        <v>1 to 3 yrs</v>
      </c>
      <c r="N292" s="14" t="n">
        <f aca="false">H292*12</f>
        <v>540000</v>
      </c>
      <c r="O292" s="13" t="n">
        <f aca="false">IF(AND(E292&lt;Assumptions!$B$6,OR(F292="",F292&gt;=Assumptions!$B$6)),1,0)</f>
        <v>0</v>
      </c>
      <c r="P292" s="13" t="n">
        <f aca="false">IF(F292="",0,IF(AND(F292&gt;=Assumptions!$B$6,F292&lt;=Assumptions!$B$5),1,0))</f>
        <v>0</v>
      </c>
      <c r="Q292" s="14" t="n">
        <f aca="false">P292*N292*Assumptions!$B$7</f>
        <v>0</v>
      </c>
      <c r="R292" s="13" t="n">
        <f aca="false">IF(AND(P292=1,J292&gt;=Assumptions!$B$10),1,0)</f>
        <v>0</v>
      </c>
    </row>
    <row r="293" customFormat="false" ht="15" hidden="false" customHeight="false" outlineLevel="0" collapsed="false">
      <c r="A293" s="26" t="s">
        <v>396</v>
      </c>
      <c r="B293" s="26" t="s">
        <v>50</v>
      </c>
      <c r="C293" s="26" t="s">
        <v>108</v>
      </c>
      <c r="D293" s="26" t="s">
        <v>105</v>
      </c>
      <c r="E293" s="27" t="n">
        <v>44664</v>
      </c>
      <c r="F293" s="27"/>
      <c r="G293" s="26"/>
      <c r="H293" s="28" t="n">
        <v>89000</v>
      </c>
      <c r="I293" s="26" t="n">
        <v>14</v>
      </c>
      <c r="J293" s="26" t="n">
        <v>5</v>
      </c>
      <c r="K293" s="13" t="str">
        <f aca="false">IF(F293="","Active","Left")</f>
        <v>Active</v>
      </c>
      <c r="L293" s="16" t="n">
        <f aca="false">ROUND((IF(F293="",Assumptions!$B$5,F293)-E293)/365.25,1)</f>
        <v>4.5</v>
      </c>
      <c r="M293" s="13" t="str">
        <f aca="false">IF(L293&lt;1,"Under 1 yr",IF(L293&lt;3,"1 to 3 yrs",IF(L293&lt;5,"3 to 5 yrs","5+ yrs")))</f>
        <v>3 to 5 yrs</v>
      </c>
      <c r="N293" s="14" t="n">
        <f aca="false">H293*12</f>
        <v>1068000</v>
      </c>
      <c r="O293" s="13" t="n">
        <f aca="false">IF(AND(E293&lt;Assumptions!$B$6,OR(F293="",F293&gt;=Assumptions!$B$6)),1,0)</f>
        <v>1</v>
      </c>
      <c r="P293" s="13" t="n">
        <f aca="false">IF(F293="",0,IF(AND(F293&gt;=Assumptions!$B$6,F293&lt;=Assumptions!$B$5),1,0))</f>
        <v>0</v>
      </c>
      <c r="Q293" s="14" t="n">
        <f aca="false">P293*N293*Assumptions!$B$7</f>
        <v>0</v>
      </c>
      <c r="R293" s="13" t="n">
        <f aca="false">IF(AND(P293=1,J293&gt;=Assumptions!$B$10),1,0)</f>
        <v>0</v>
      </c>
    </row>
    <row r="294" customFormat="false" ht="15" hidden="false" customHeight="false" outlineLevel="0" collapsed="false">
      <c r="A294" s="26" t="s">
        <v>397</v>
      </c>
      <c r="B294" s="26" t="s">
        <v>50</v>
      </c>
      <c r="C294" s="26" t="s">
        <v>104</v>
      </c>
      <c r="D294" s="26" t="s">
        <v>101</v>
      </c>
      <c r="E294" s="27" t="n">
        <v>44044</v>
      </c>
      <c r="F294" s="27" t="n">
        <v>46279</v>
      </c>
      <c r="G294" s="26" t="s">
        <v>65</v>
      </c>
      <c r="H294" s="28" t="n">
        <v>116000</v>
      </c>
      <c r="I294" s="26" t="n">
        <v>10</v>
      </c>
      <c r="J294" s="26" t="n">
        <v>3</v>
      </c>
      <c r="K294" s="13" t="str">
        <f aca="false">IF(F294="","Active","Left")</f>
        <v>Left</v>
      </c>
      <c r="L294" s="16" t="n">
        <f aca="false">ROUND((IF(F294="",Assumptions!$B$5,F294)-E294)/365.25,1)</f>
        <v>6.1</v>
      </c>
      <c r="M294" s="13" t="str">
        <f aca="false">IF(L294&lt;1,"Under 1 yr",IF(L294&lt;3,"1 to 3 yrs",IF(L294&lt;5,"3 to 5 yrs","5+ yrs")))</f>
        <v>5+ yrs</v>
      </c>
      <c r="N294" s="14" t="n">
        <f aca="false">H294*12</f>
        <v>1392000</v>
      </c>
      <c r="O294" s="13" t="n">
        <f aca="false">IF(AND(E294&lt;Assumptions!$B$6,OR(F294="",F294&gt;=Assumptions!$B$6)),1,0)</f>
        <v>1</v>
      </c>
      <c r="P294" s="13" t="n">
        <f aca="false">IF(F294="",0,IF(AND(F294&gt;=Assumptions!$B$6,F294&lt;=Assumptions!$B$5),1,0))</f>
        <v>1</v>
      </c>
      <c r="Q294" s="14" t="n">
        <f aca="false">P294*N294*Assumptions!$B$7</f>
        <v>696000</v>
      </c>
      <c r="R294" s="13" t="n">
        <f aca="false">IF(AND(P294=1,J294&gt;=Assumptions!$B$10),1,0)</f>
        <v>0</v>
      </c>
    </row>
    <row r="295" customFormat="false" ht="15" hidden="false" customHeight="false" outlineLevel="0" collapsed="false">
      <c r="A295" s="26" t="s">
        <v>398</v>
      </c>
      <c r="B295" s="26" t="s">
        <v>50</v>
      </c>
      <c r="C295" s="26" t="s">
        <v>104</v>
      </c>
      <c r="D295" s="26" t="s">
        <v>105</v>
      </c>
      <c r="E295" s="27" t="n">
        <v>42731</v>
      </c>
      <c r="F295" s="27" t="n">
        <v>46172</v>
      </c>
      <c r="G295" s="26" t="s">
        <v>63</v>
      </c>
      <c r="H295" s="28" t="n">
        <v>114000</v>
      </c>
      <c r="I295" s="26" t="n">
        <v>5</v>
      </c>
      <c r="J295" s="26" t="n">
        <v>4</v>
      </c>
      <c r="K295" s="13" t="str">
        <f aca="false">IF(F295="","Active","Left")</f>
        <v>Left</v>
      </c>
      <c r="L295" s="16" t="n">
        <f aca="false">ROUND((IF(F295="",Assumptions!$B$5,F295)-E295)/365.25,1)</f>
        <v>9.4</v>
      </c>
      <c r="M295" s="13" t="str">
        <f aca="false">IF(L295&lt;1,"Under 1 yr",IF(L295&lt;3,"1 to 3 yrs",IF(L295&lt;5,"3 to 5 yrs","5+ yrs")))</f>
        <v>5+ yrs</v>
      </c>
      <c r="N295" s="14" t="n">
        <f aca="false">H295*12</f>
        <v>1368000</v>
      </c>
      <c r="O295" s="13" t="n">
        <f aca="false">IF(AND(E295&lt;Assumptions!$B$6,OR(F295="",F295&gt;=Assumptions!$B$6)),1,0)</f>
        <v>1</v>
      </c>
      <c r="P295" s="13" t="n">
        <f aca="false">IF(F295="",0,IF(AND(F295&gt;=Assumptions!$B$6,F295&lt;=Assumptions!$B$5),1,0))</f>
        <v>1</v>
      </c>
      <c r="Q295" s="14" t="n">
        <f aca="false">P295*N295*Assumptions!$B$7</f>
        <v>684000</v>
      </c>
      <c r="R295" s="13" t="n">
        <f aca="false">IF(AND(P295=1,J295&gt;=Assumptions!$B$10),1,0)</f>
        <v>1</v>
      </c>
    </row>
    <row r="296" customFormat="false" ht="15" hidden="false" customHeight="false" outlineLevel="0" collapsed="false">
      <c r="A296" s="26" t="s">
        <v>399</v>
      </c>
      <c r="B296" s="26" t="s">
        <v>50</v>
      </c>
      <c r="C296" s="26" t="s">
        <v>108</v>
      </c>
      <c r="D296" s="26" t="s">
        <v>101</v>
      </c>
      <c r="E296" s="27" t="n">
        <v>45904</v>
      </c>
      <c r="F296" s="27"/>
      <c r="G296" s="26"/>
      <c r="H296" s="28" t="n">
        <v>80000</v>
      </c>
      <c r="I296" s="26" t="n">
        <v>6</v>
      </c>
      <c r="J296" s="26" t="n">
        <v>4</v>
      </c>
      <c r="K296" s="13" t="str">
        <f aca="false">IF(F296="","Active","Left")</f>
        <v>Active</v>
      </c>
      <c r="L296" s="16" t="n">
        <f aca="false">ROUND((IF(F296="",Assumptions!$B$5,F296)-E296)/365.25,1)</f>
        <v>1.1</v>
      </c>
      <c r="M296" s="13" t="str">
        <f aca="false">IF(L296&lt;1,"Under 1 yr",IF(L296&lt;3,"1 to 3 yrs",IF(L296&lt;5,"3 to 5 yrs","5+ yrs")))</f>
        <v>1 to 3 yrs</v>
      </c>
      <c r="N296" s="14" t="n">
        <f aca="false">H296*12</f>
        <v>960000</v>
      </c>
      <c r="O296" s="13" t="n">
        <f aca="false">IF(AND(E296&lt;Assumptions!$B$6,OR(F296="",F296&gt;=Assumptions!$B$6)),1,0)</f>
        <v>1</v>
      </c>
      <c r="P296" s="13" t="n">
        <f aca="false">IF(F296="",0,IF(AND(F296&gt;=Assumptions!$B$6,F296&lt;=Assumptions!$B$5),1,0))</f>
        <v>0</v>
      </c>
      <c r="Q296" s="14" t="n">
        <f aca="false">P296*N296*Assumptions!$B$7</f>
        <v>0</v>
      </c>
      <c r="R296" s="13" t="n">
        <f aca="false">IF(AND(P296=1,J296&gt;=Assumptions!$B$10),1,0)</f>
        <v>0</v>
      </c>
    </row>
    <row r="297" customFormat="false" ht="15" hidden="false" customHeight="false" outlineLevel="0" collapsed="false">
      <c r="A297" s="26" t="s">
        <v>400</v>
      </c>
      <c r="B297" s="26" t="s">
        <v>47</v>
      </c>
      <c r="C297" s="26" t="s">
        <v>108</v>
      </c>
      <c r="D297" s="26" t="s">
        <v>105</v>
      </c>
      <c r="E297" s="27" t="n">
        <v>43849</v>
      </c>
      <c r="F297" s="27"/>
      <c r="G297" s="26"/>
      <c r="H297" s="28" t="n">
        <v>104000</v>
      </c>
      <c r="I297" s="26" t="n">
        <v>5</v>
      </c>
      <c r="J297" s="26" t="n">
        <v>3</v>
      </c>
      <c r="K297" s="13" t="str">
        <f aca="false">IF(F297="","Active","Left")</f>
        <v>Active</v>
      </c>
      <c r="L297" s="16" t="n">
        <f aca="false">ROUND((IF(F297="",Assumptions!$B$5,F297)-E297)/365.25,1)</f>
        <v>6.7</v>
      </c>
      <c r="M297" s="13" t="str">
        <f aca="false">IF(L297&lt;1,"Under 1 yr",IF(L297&lt;3,"1 to 3 yrs",IF(L297&lt;5,"3 to 5 yrs","5+ yrs")))</f>
        <v>5+ yrs</v>
      </c>
      <c r="N297" s="14" t="n">
        <f aca="false">H297*12</f>
        <v>1248000</v>
      </c>
      <c r="O297" s="13" t="n">
        <f aca="false">IF(AND(E297&lt;Assumptions!$B$6,OR(F297="",F297&gt;=Assumptions!$B$6)),1,0)</f>
        <v>1</v>
      </c>
      <c r="P297" s="13" t="n">
        <f aca="false">IF(F297="",0,IF(AND(F297&gt;=Assumptions!$B$6,F297&lt;=Assumptions!$B$5),1,0))</f>
        <v>0</v>
      </c>
      <c r="Q297" s="14" t="n">
        <f aca="false">P297*N297*Assumptions!$B$7</f>
        <v>0</v>
      </c>
      <c r="R297" s="13" t="n">
        <f aca="false">IF(AND(P297=1,J297&gt;=Assumptions!$B$10),1,0)</f>
        <v>0</v>
      </c>
    </row>
    <row r="298" customFormat="false" ht="15" hidden="false" customHeight="false" outlineLevel="0" collapsed="false">
      <c r="A298" s="26" t="s">
        <v>401</v>
      </c>
      <c r="B298" s="26" t="s">
        <v>48</v>
      </c>
      <c r="C298" s="26" t="s">
        <v>100</v>
      </c>
      <c r="D298" s="26" t="s">
        <v>101</v>
      </c>
      <c r="E298" s="27" t="n">
        <v>45603</v>
      </c>
      <c r="F298" s="27" t="n">
        <v>45959</v>
      </c>
      <c r="G298" s="26" t="s">
        <v>66</v>
      </c>
      <c r="H298" s="28" t="n">
        <v>53000</v>
      </c>
      <c r="I298" s="26" t="n">
        <v>7</v>
      </c>
      <c r="J298" s="26" t="n">
        <v>3</v>
      </c>
      <c r="K298" s="13" t="str">
        <f aca="false">IF(F298="","Active","Left")</f>
        <v>Left</v>
      </c>
      <c r="L298" s="16" t="n">
        <f aca="false">ROUND((IF(F298="",Assumptions!$B$5,F298)-E298)/365.25,1)</f>
        <v>1</v>
      </c>
      <c r="M298" s="13" t="str">
        <f aca="false">IF(L298&lt;1,"Under 1 yr",IF(L298&lt;3,"1 to 3 yrs",IF(L298&lt;5,"3 to 5 yrs","5+ yrs")))</f>
        <v>1 to 3 yrs</v>
      </c>
      <c r="N298" s="14" t="n">
        <f aca="false">H298*12</f>
        <v>636000</v>
      </c>
      <c r="O298" s="13" t="n">
        <f aca="false">IF(AND(E298&lt;Assumptions!$B$6,OR(F298="",F298&gt;=Assumptions!$B$6)),1,0)</f>
        <v>1</v>
      </c>
      <c r="P298" s="13" t="n">
        <f aca="false">IF(F298="",0,IF(AND(F298&gt;=Assumptions!$B$6,F298&lt;=Assumptions!$B$5),1,0))</f>
        <v>1</v>
      </c>
      <c r="Q298" s="14" t="n">
        <f aca="false">P298*N298*Assumptions!$B$7</f>
        <v>318000</v>
      </c>
      <c r="R298" s="13" t="n">
        <f aca="false">IF(AND(P298=1,J298&gt;=Assumptions!$B$10),1,0)</f>
        <v>0</v>
      </c>
    </row>
    <row r="299" customFormat="false" ht="15" hidden="false" customHeight="false" outlineLevel="0" collapsed="false">
      <c r="A299" s="26" t="s">
        <v>402</v>
      </c>
      <c r="B299" s="26" t="s">
        <v>50</v>
      </c>
      <c r="C299" s="26" t="s">
        <v>108</v>
      </c>
      <c r="D299" s="26" t="s">
        <v>101</v>
      </c>
      <c r="E299" s="27" t="n">
        <v>44122</v>
      </c>
      <c r="F299" s="27" t="n">
        <v>44241</v>
      </c>
      <c r="G299" s="26" t="s">
        <v>63</v>
      </c>
      <c r="H299" s="28" t="n">
        <v>98000</v>
      </c>
      <c r="I299" s="26" t="n">
        <v>4</v>
      </c>
      <c r="J299" s="26" t="n">
        <v>1</v>
      </c>
      <c r="K299" s="13" t="str">
        <f aca="false">IF(F299="","Active","Left")</f>
        <v>Left</v>
      </c>
      <c r="L299" s="16" t="n">
        <f aca="false">ROUND((IF(F299="",Assumptions!$B$5,F299)-E299)/365.25,1)</f>
        <v>0.3</v>
      </c>
      <c r="M299" s="13" t="str">
        <f aca="false">IF(L299&lt;1,"Under 1 yr",IF(L299&lt;3,"1 to 3 yrs",IF(L299&lt;5,"3 to 5 yrs","5+ yrs")))</f>
        <v>Under 1 yr</v>
      </c>
      <c r="N299" s="14" t="n">
        <f aca="false">H299*12</f>
        <v>1176000</v>
      </c>
      <c r="O299" s="13" t="n">
        <f aca="false">IF(AND(E299&lt;Assumptions!$B$6,OR(F299="",F299&gt;=Assumptions!$B$6)),1,0)</f>
        <v>0</v>
      </c>
      <c r="P299" s="13" t="n">
        <f aca="false">IF(F299="",0,IF(AND(F299&gt;=Assumptions!$B$6,F299&lt;=Assumptions!$B$5),1,0))</f>
        <v>0</v>
      </c>
      <c r="Q299" s="14" t="n">
        <f aca="false">P299*N299*Assumptions!$B$7</f>
        <v>0</v>
      </c>
      <c r="R299" s="13" t="n">
        <f aca="false">IF(AND(P299=1,J299&gt;=Assumptions!$B$10),1,0)</f>
        <v>0</v>
      </c>
    </row>
    <row r="300" customFormat="false" ht="15" hidden="false" customHeight="false" outlineLevel="0" collapsed="false">
      <c r="A300" s="26" t="s">
        <v>403</v>
      </c>
      <c r="B300" s="26" t="s">
        <v>48</v>
      </c>
      <c r="C300" s="26" t="s">
        <v>104</v>
      </c>
      <c r="D300" s="26" t="s">
        <v>101</v>
      </c>
      <c r="E300" s="27" t="n">
        <v>42949</v>
      </c>
      <c r="F300" s="27" t="n">
        <v>46192</v>
      </c>
      <c r="G300" s="26" t="s">
        <v>62</v>
      </c>
      <c r="H300" s="28" t="n">
        <v>152000</v>
      </c>
      <c r="I300" s="26" t="n">
        <v>0</v>
      </c>
      <c r="J300" s="26" t="n">
        <v>3</v>
      </c>
      <c r="K300" s="13" t="str">
        <f aca="false">IF(F300="","Active","Left")</f>
        <v>Left</v>
      </c>
      <c r="L300" s="16" t="n">
        <f aca="false">ROUND((IF(F300="",Assumptions!$B$5,F300)-E300)/365.25,1)</f>
        <v>8.9</v>
      </c>
      <c r="M300" s="13" t="str">
        <f aca="false">IF(L300&lt;1,"Under 1 yr",IF(L300&lt;3,"1 to 3 yrs",IF(L300&lt;5,"3 to 5 yrs","5+ yrs")))</f>
        <v>5+ yrs</v>
      </c>
      <c r="N300" s="14" t="n">
        <f aca="false">H300*12</f>
        <v>1824000</v>
      </c>
      <c r="O300" s="13" t="n">
        <f aca="false">IF(AND(E300&lt;Assumptions!$B$6,OR(F300="",F300&gt;=Assumptions!$B$6)),1,0)</f>
        <v>1</v>
      </c>
      <c r="P300" s="13" t="n">
        <f aca="false">IF(F300="",0,IF(AND(F300&gt;=Assumptions!$B$6,F300&lt;=Assumptions!$B$5),1,0))</f>
        <v>1</v>
      </c>
      <c r="Q300" s="14" t="n">
        <f aca="false">P300*N300*Assumptions!$B$7</f>
        <v>912000</v>
      </c>
      <c r="R300" s="13" t="n">
        <f aca="false">IF(AND(P300=1,J300&gt;=Assumptions!$B$10),1,0)</f>
        <v>0</v>
      </c>
    </row>
    <row r="301" customFormat="false" ht="15" hidden="false" customHeight="false" outlineLevel="0" collapsed="false">
      <c r="A301" s="26" t="s">
        <v>404</v>
      </c>
      <c r="B301" s="26" t="s">
        <v>48</v>
      </c>
      <c r="C301" s="26" t="s">
        <v>100</v>
      </c>
      <c r="D301" s="26" t="s">
        <v>105</v>
      </c>
      <c r="E301" s="27" t="n">
        <v>46111</v>
      </c>
      <c r="F301" s="27" t="n">
        <v>46231</v>
      </c>
      <c r="G301" s="26" t="s">
        <v>65</v>
      </c>
      <c r="H301" s="28" t="n">
        <v>40000</v>
      </c>
      <c r="I301" s="26" t="n">
        <v>3</v>
      </c>
      <c r="J301" s="26" t="n">
        <v>4</v>
      </c>
      <c r="K301" s="13" t="str">
        <f aca="false">IF(F301="","Active","Left")</f>
        <v>Left</v>
      </c>
      <c r="L301" s="16" t="n">
        <f aca="false">ROUND((IF(F301="",Assumptions!$B$5,F301)-E301)/365.25,1)</f>
        <v>0.3</v>
      </c>
      <c r="M301" s="13" t="str">
        <f aca="false">IF(L301&lt;1,"Under 1 yr",IF(L301&lt;3,"1 to 3 yrs",IF(L301&lt;5,"3 to 5 yrs","5+ yrs")))</f>
        <v>Under 1 yr</v>
      </c>
      <c r="N301" s="14" t="n">
        <f aca="false">H301*12</f>
        <v>480000</v>
      </c>
      <c r="O301" s="13" t="n">
        <f aca="false">IF(AND(E301&lt;Assumptions!$B$6,OR(F301="",F301&gt;=Assumptions!$B$6)),1,0)</f>
        <v>0</v>
      </c>
      <c r="P301" s="13" t="n">
        <f aca="false">IF(F301="",0,IF(AND(F301&gt;=Assumptions!$B$6,F301&lt;=Assumptions!$B$5),1,0))</f>
        <v>1</v>
      </c>
      <c r="Q301" s="14" t="n">
        <f aca="false">P301*N301*Assumptions!$B$7</f>
        <v>240000</v>
      </c>
      <c r="R301" s="13" t="n">
        <f aca="false">IF(AND(P301=1,J301&gt;=Assumptions!$B$10),1,0)</f>
        <v>1</v>
      </c>
    </row>
  </sheetData>
  <autoFilter ref="A1:R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2026-10-01T10:53:00Z</dcterms:created>
  <dc:creator>openpyxl</dc:creator>
  <dc:description/>
  <dc:language>en-US</dc:language>
  <cp:lastModifiedBy/>
  <dcterms:modified xsi:type="dcterms:W3CDTF">2026-10-01T10:53:08Z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