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Assumptions" sheetId="3" state="visible" r:id="rId5"/>
    <sheet name="Indicators" sheetId="4" state="visible" r:id="rId6"/>
    <sheet name="County_Progress" sheetId="5" state="visible" r:id="rId7"/>
    <sheet name="Survey_Data" sheetId="6" state="visible" r:id="rId8"/>
    <sheet name="Finance" sheetId="7" state="visible" r:id="rId9"/>
    <sheet name="County_Targets" sheetId="8" state="visible" r:id="rId10"/>
    <sheet name="Monthly_Results" sheetId="9" state="visible" r:id="rId11"/>
  </sheets>
  <definedNames>
    <definedName function="false" hidden="false" localSheetId="1" name="_xlnm.Print_Area" vbProcedure="false">Dashboard!$A$1:$L$68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<sst xmlns="http://schemas.openxmlformats.org/spreadsheetml/2006/main" count="1220" uniqueCount="140">
  <si>
    <t xml:space="preserve">NGO Programme M&amp;E Dashboard – Monitoring &amp; Evaluation Portfolio Project</t>
  </si>
  <si>
    <t xml:space="preserve">BZME Insights  |  Sector: NGO / Development  |  Tool: Excel (formula-driven)</t>
  </si>
  <si>
    <t xml:space="preserve">BUSINESS PROBLEM</t>
  </si>
  <si>
    <t xml:space="preserve">A donor-funded water, sanitation and hygiene programme works in six counties. The programme manager must report progress against annual targets, show which counties and indicators are lagging, and show whether spending matches delivery. Today this is assembled by hand each quarter.</t>
  </si>
  <si>
    <t xml:space="preserve">BUSINESS QUESTIONS</t>
  </si>
  <si>
    <t xml:space="preserve">1. How much of each annual target has been delivered, compared with the share of the year that has passed?</t>
  </si>
  <si>
    <t xml:space="preserve">2. Which indicators and counties are On track, on Watch or Off track?</t>
  </si>
  <si>
    <t xml:space="preserve">3. Is spending ahead of or behind delivery in any county?</t>
  </si>
  <si>
    <t xml:space="preserve">4. How far have outcome indicators (household survey) moved from baseline toward target?</t>
  </si>
  <si>
    <t xml:space="preserve">5. What is the cost per person reached with safe water?</t>
  </si>
  <si>
    <t xml:space="preserve">HOW THE WORKBOOK IS BUILT</t>
  </si>
  <si>
    <t xml:space="preserve">Monthly_Results: 432 county-month-indicator records (Jan to Sep 2026).</t>
  </si>
  <si>
    <t xml:space="preserve">County_Targets: annual targets by county and indicator (48 rows). Finance: budget and spend by county and quarter. Survey_Data: baseline, midline and target for 3 outcomes by county.</t>
  </si>
  <si>
    <t xml:space="preserve">Assumptions: as-of date, year dates, status thresholds and the spend-versus-delivery gap. Blue = input.</t>
  </si>
  <si>
    <t xml:space="preserve">Indicators and County_Progress: formula sheets that compute progress, status and budget absorption.</t>
  </si>
  <si>
    <t xml:space="preserve">Dashboard: KPIs, key findings, indicator table, county heatmap, outcome table, trend and budget views.</t>
  </si>
  <si>
    <t xml:space="preserve">KEY DEFINITIONS</t>
  </si>
  <si>
    <t xml:space="preserve">Target to date = annual target x share of year elapsed (straight-line phasing). % of target to date = actual to date / target to date.</t>
  </si>
  <si>
    <t xml:space="preserve">Status: On track at or above the first threshold, Watch between the two thresholds, Off track below the second (editable on Assumptions).</t>
  </si>
  <si>
    <t xml:space="preserve">Outcome progress = (midline - baseline) / (target - baseline). Budget absorbed = spent to date / annual budget.</t>
  </si>
  <si>
    <t xml:space="preserve">Cost per person with safe water = all programme spend to date / people with safe water access. It is a rough programme-level ratio, because the spend also funds hygiene, training and other outputs.</t>
  </si>
  <si>
    <t xml:space="preserve">IMPORTANT NOTES</t>
  </si>
  <si>
    <t xml:space="preserve">All data is synthetic and generated for demonstration; no real organisation, donor or beneficiary data is used.</t>
  </si>
  <si>
    <t xml:space="preserve">Straight-line phasing ignores seasonality; a real programme would load its own quarterly work plan.</t>
  </si>
  <si>
    <t xml:space="preserve">Findings update live when assumptions change.</t>
  </si>
  <si>
    <t xml:space="preserve">RECOMMENDATIONS (FRAMEWORK)</t>
  </si>
  <si>
    <t xml:space="preserve">Focus support visits on Off-track counties and indicators before the next donor report.</t>
  </si>
  <si>
    <t xml:space="preserve">Review work plans where spending runs ahead of delivery, and consider reallocating funds from counties that cannot absorb them.</t>
  </si>
  <si>
    <t xml:space="preserve">Add quarterly phasing and disaggregation (gender, age, ward) when real data is available.</t>
  </si>
  <si>
    <t xml:space="preserve">NGO Programme M&amp;E Dashboard</t>
  </si>
  <si>
    <t xml:space="preserve">PEOPLE WITH SAFE WATER ACCESS</t>
  </si>
  <si>
    <t xml:space="preserve">AVG PROGRESS VS TARGET TO DATE</t>
  </si>
  <si>
    <t xml:space="preserve">INDICATORS ON TRACK</t>
  </si>
  <si>
    <t xml:space="preserve">BUDGET ABSORBED (% OF ANNUAL)</t>
  </si>
  <si>
    <t xml:space="preserve">COST PER PERSON WITH SAFE WATER (KES)</t>
  </si>
  <si>
    <t xml:space="preserve">OUTCOME PROGRESS TO TARGET</t>
  </si>
  <si>
    <t xml:space="preserve">Key findings (update automatically)</t>
  </si>
  <si>
    <t xml:space="preserve">1. Indicator progress: actual vs target to date</t>
  </si>
  <si>
    <t xml:space="preserve">Indicator</t>
  </si>
  <si>
    <t xml:space="preserve">Annual target</t>
  </si>
  <si>
    <t xml:space="preserve">Target to date</t>
  </si>
  <si>
    <t xml:space="preserve">Actual to date</t>
  </si>
  <si>
    <t xml:space="preserve">% of target to date</t>
  </si>
  <si>
    <t xml:space="preserve">Status</t>
  </si>
  <si>
    <t xml:space="preserve">Remaining to annual target</t>
  </si>
  <si>
    <t xml:space="preserve">Average across indicators</t>
  </si>
  <si>
    <t xml:space="preserve">2. County heatmap: % of target to date, by indicator</t>
  </si>
  <si>
    <t xml:space="preserve">County</t>
  </si>
  <si>
    <t xml:space="preserve">O1</t>
  </si>
  <si>
    <t xml:space="preserve">O2</t>
  </si>
  <si>
    <t xml:space="preserve">O3</t>
  </si>
  <si>
    <t xml:space="preserve">O4</t>
  </si>
  <si>
    <t xml:space="preserve">O5</t>
  </si>
  <si>
    <t xml:space="preserve">O6</t>
  </si>
  <si>
    <t xml:space="preserve">O7</t>
  </si>
  <si>
    <t xml:space="preserve">O8</t>
  </si>
  <si>
    <t xml:space="preserve">Average</t>
  </si>
  <si>
    <t xml:space="preserve">Budget absorbed</t>
  </si>
  <si>
    <t xml:space="preserve">Spend vs delivery</t>
  </si>
  <si>
    <t xml:space="preserve">All counties</t>
  </si>
  <si>
    <t xml:space="preserve">Indicator codes: O1 = People with access to safe water; O2 = Water points built or rehabilitated; O3 = Households reached with hygiene education; O4 = Community health volunteers trained; O5 = School WASH facilities installed; O6 = Water committees formed and trained; O7 = Households with new handwashing station; O8 = Water quality tests completed</t>
  </si>
  <si>
    <t xml:space="preserve">3. Outcome indicators (household survey, baseline vs midline)</t>
  </si>
  <si>
    <t xml:space="preserve">Outcome</t>
  </si>
  <si>
    <t xml:space="preserve">Baseline</t>
  </si>
  <si>
    <t xml:space="preserve">Midline</t>
  </si>
  <si>
    <t xml:space="preserve">Target</t>
  </si>
  <si>
    <t xml:space="preserve">Progress to target</t>
  </si>
  <si>
    <t xml:space="preserve">Households treating drinking water</t>
  </si>
  <si>
    <t xml:space="preserve">Households with handwashing facility and soap</t>
  </si>
  <si>
    <t xml:space="preserve">Water points functional after 90 days</t>
  </si>
  <si>
    <t xml:space="preserve">4. Cumulative people with safe water access: actual vs plan</t>
  </si>
  <si>
    <t xml:space="preserve">Month</t>
  </si>
  <si>
    <t xml:space="preserve">Monthly actual</t>
  </si>
  <si>
    <t xml:space="preserve">Cumulative actual</t>
  </si>
  <si>
    <t xml:space="preserve">Cumulative plan</t>
  </si>
  <si>
    <t xml:space="preserve">5. Budget absorbed vs delivery, by county</t>
  </si>
  <si>
    <t xml:space="preserve">Time elapsed</t>
  </si>
  <si>
    <t xml:space="preserve">Annual budget (KES)</t>
  </si>
  <si>
    <t xml:space="preserve">Spent to date (KES)</t>
  </si>
  <si>
    <t xml:space="preserve">Avg delivery vs target</t>
  </si>
  <si>
    <t xml:space="preserve">Reading the table: a county that has absorbed much more budget than it has delivered against target needs a work-plan and cash review before more funds are released.</t>
  </si>
  <si>
    <t xml:space="preserve">Assumptions &amp; Parameters</t>
  </si>
  <si>
    <t xml:space="preserve">Blue cells are editable inputs. Everything else recalculates from them.</t>
  </si>
  <si>
    <t xml:space="preserve">Assumption</t>
  </si>
  <si>
    <t xml:space="preserve">Value</t>
  </si>
  <si>
    <t xml:space="preserve">Comment</t>
  </si>
  <si>
    <t xml:space="preserve">As-of date</t>
  </si>
  <si>
    <t xml:space="preserve">Last day of reported data.</t>
  </si>
  <si>
    <t xml:space="preserve">Programme year start</t>
  </si>
  <si>
    <t xml:space="preserve">First day of the programme year.</t>
  </si>
  <si>
    <t xml:space="preserve">Programme year end</t>
  </si>
  <si>
    <t xml:space="preserve">Last day of the programme year.</t>
  </si>
  <si>
    <t xml:space="preserve">Share of year elapsed</t>
  </si>
  <si>
    <t xml:space="preserve">Calculated. Target-to-date = annual target x this share (straight-line phasing).</t>
  </si>
  <si>
    <t xml:space="preserve">On track: at or above</t>
  </si>
  <si>
    <t xml:space="preserve">Share of target-to-date delivered at or above which an indicator is On track.</t>
  </si>
  <si>
    <t xml:space="preserve">Watch: at or above</t>
  </si>
  <si>
    <t xml:space="preserve">Between this and the On-track line is Watch; below is Off track.</t>
  </si>
  <si>
    <t xml:space="preserve">Spend-vs-delivery gap flag</t>
  </si>
  <si>
    <t xml:space="preserve">Flags a county when budget absorbed and delivery differ by more than this many points.</t>
  </si>
  <si>
    <t xml:space="preserve">ID</t>
  </si>
  <si>
    <t xml:space="preserve">Unit</t>
  </si>
  <si>
    <t xml:space="preserve">% of annual target</t>
  </si>
  <si>
    <t xml:space="preserve">Gap to date</t>
  </si>
  <si>
    <t xml:space="preserve">People with access to safe water</t>
  </si>
  <si>
    <t xml:space="preserve">people</t>
  </si>
  <si>
    <t xml:space="preserve">Water points built or rehabilitated</t>
  </si>
  <si>
    <t xml:space="preserve">water points</t>
  </si>
  <si>
    <t xml:space="preserve">Households reached with hygiene education</t>
  </si>
  <si>
    <t xml:space="preserve">households</t>
  </si>
  <si>
    <t xml:space="preserve">Community health volunteers trained</t>
  </si>
  <si>
    <t xml:space="preserve">volunteers</t>
  </si>
  <si>
    <t xml:space="preserve">School WASH facilities installed</t>
  </si>
  <si>
    <t xml:space="preserve">facilities</t>
  </si>
  <si>
    <t xml:space="preserve">Water committees formed and trained</t>
  </si>
  <si>
    <t xml:space="preserve">committees</t>
  </si>
  <si>
    <t xml:space="preserve">Households with new handwashing station</t>
  </si>
  <si>
    <t xml:space="preserve">Water quality tests completed</t>
  </si>
  <si>
    <t xml:space="preserve">tests</t>
  </si>
  <si>
    <t xml:space="preserve">Avg % of target to date</t>
  </si>
  <si>
    <t xml:space="preserve">Absorbed minus delivery</t>
  </si>
  <si>
    <t xml:space="preserve">Kisumu</t>
  </si>
  <si>
    <t xml:space="preserve">Siaya</t>
  </si>
  <si>
    <t xml:space="preserve">Homa Bay</t>
  </si>
  <si>
    <t xml:space="preserve">Migori</t>
  </si>
  <si>
    <t xml:space="preserve">Kakamega</t>
  </si>
  <si>
    <t xml:space="preserve">Bungoma</t>
  </si>
  <si>
    <t xml:space="preserve">OutcomeID</t>
  </si>
  <si>
    <t xml:space="preserve">OC1</t>
  </si>
  <si>
    <t xml:space="preserve">OC2</t>
  </si>
  <si>
    <t xml:space="preserve">OC3</t>
  </si>
  <si>
    <t xml:space="preserve">Quarter</t>
  </si>
  <si>
    <t xml:space="preserve">Budget (KES)</t>
  </si>
  <si>
    <t xml:space="preserve">Spent (KES)</t>
  </si>
  <si>
    <t xml:space="preserve">Q1</t>
  </si>
  <si>
    <t xml:space="preserve">Q2</t>
  </si>
  <si>
    <t xml:space="preserve">Q3</t>
  </si>
  <si>
    <t xml:space="preserve">Q4</t>
  </si>
  <si>
    <t xml:space="preserve">IndicatorID</t>
  </si>
  <si>
    <t xml:space="preserve">Actual</t>
  </si>
</sst>
</file>

<file path=xl/styles.xml><?xml version="1.0" encoding="utf-8"?>
<styleSheet xmlns="http://schemas.openxmlformats.org/spreadsheetml/2006/main">
  <numFmts count="7">
    <numFmt numFmtId="164" formatCode="General"/>
    <numFmt numFmtId="165" formatCode="#,##0"/>
    <numFmt numFmtId="166" formatCode="0%"/>
    <numFmt numFmtId="167" formatCode="mmm\ yyyy"/>
    <numFmt numFmtId="168" formatCode="dd\ mmm\ yyyy"/>
    <numFmt numFmtId="169" formatCode="0.0%"/>
    <numFmt numFmtId="170" formatCode="#,##0;\-#,##0"/>
  </numFmts>
  <fonts count="20">
    <font>
      <sz val="11"/>
      <color theme="1"/>
      <name val="Calibri"/>
      <family val="2"/>
      <charset val="1"/>
    </font>
    <font>
      <sz val="10"/>
      <name val="Arial"/>
      <family val="0"/>
    </font>
    <font>
      <sz val="10"/>
      <name val="Arial"/>
      <family val="0"/>
    </font>
    <font>
      <sz val="10"/>
      <name val="Arial"/>
      <family val="0"/>
    </font>
    <font>
      <b val="true"/>
      <sz val="16"/>
      <color rgb="FF5C1A1B"/>
      <name val="Arial"/>
      <family val="0"/>
      <charset val="1"/>
    </font>
    <font>
      <i val="true"/>
      <sz val="10"/>
      <color rgb="FF6B5D54"/>
      <name val="Arial"/>
      <family val="0"/>
      <charset val="1"/>
    </font>
    <font>
      <b val="true"/>
      <sz val="10"/>
      <color rgb="FFFFFFFF"/>
      <name val="Arial"/>
      <family val="0"/>
      <charset val="1"/>
    </font>
    <font>
      <sz val="10"/>
      <color rgb="FF000000"/>
      <name val="Arial"/>
      <family val="0"/>
      <charset val="1"/>
    </font>
    <font>
      <b val="true"/>
      <sz val="18"/>
      <color rgb="FFFFFFFF"/>
      <name val="Arial"/>
      <family val="0"/>
      <charset val="1"/>
    </font>
    <font>
      <i val="true"/>
      <sz val="9"/>
      <color rgb="FF6B5D54"/>
      <name val="Arial"/>
      <family val="0"/>
      <charset val="1"/>
    </font>
    <font>
      <b val="true"/>
      <sz val="8"/>
      <color rgb="FFFFFFFF"/>
      <name val="Arial"/>
      <family val="0"/>
      <charset val="1"/>
    </font>
    <font>
      <b val="true"/>
      <sz val="11"/>
      <color rgb="FFFFFFFF"/>
      <name val="Arial"/>
      <family val="0"/>
      <charset val="1"/>
    </font>
    <font>
      <b val="true"/>
      <sz val="9"/>
      <color rgb="FFFFFFFF"/>
      <name val="Arial"/>
      <family val="0"/>
      <charset val="1"/>
    </font>
    <font>
      <sz val="9"/>
      <color rgb="FF000000"/>
      <name val="Arial"/>
      <family val="0"/>
      <charset val="1"/>
    </font>
    <font>
      <b val="true"/>
      <sz val="9"/>
      <color rgb="FF000000"/>
      <name val="Arial"/>
      <family val="0"/>
      <charset val="1"/>
    </font>
    <font>
      <i val="true"/>
      <sz val="8"/>
      <color rgb="FF6B5D54"/>
      <name val="Arial"/>
      <family val="0"/>
      <charset val="1"/>
    </font>
    <font>
      <b val="true"/>
      <sz val="18"/>
      <color rgb="FF000000"/>
      <name val="Calibri"/>
      <family val="2"/>
    </font>
    <font>
      <sz val="7.5"/>
      <color rgb="FF000000"/>
      <name val="Calibri"/>
      <family val="2"/>
    </font>
    <font>
      <sz val="10"/>
      <color rgb="FF000000"/>
      <name val="Calibri"/>
      <family val="2"/>
    </font>
    <font>
      <sz val="9"/>
      <color rgb="FF0000FF"/>
      <name val="Arial"/>
      <family val="0"/>
      <charset val="1"/>
    </font>
  </fonts>
  <fills count="6">
    <fill>
      <patternFill patternType="none"/>
    </fill>
    <fill>
      <patternFill patternType="gray125"/>
    </fill>
    <fill>
      <patternFill patternType="solid">
        <fgColor rgb="FF5C1A1B"/>
        <bgColor rgb="FF800000"/>
      </patternFill>
    </fill>
    <fill>
      <patternFill patternType="solid">
        <fgColor rgb="FFC9A66B"/>
        <bgColor rgb="FFF4B6B6"/>
      </patternFill>
    </fill>
    <fill>
      <patternFill patternType="solid">
        <fgColor rgb="FFF6EFE2"/>
        <bgColor rgb="FFFFF2CC"/>
      </patternFill>
    </fill>
    <fill>
      <patternFill patternType="solid">
        <fgColor rgb="FFFFF2CC"/>
        <bgColor rgb="FFF6EFE2"/>
      </patternFill>
    </fill>
  </fills>
  <borders count="2">
    <border diagonalUp="false" diagonalDown="false">
      <left/>
      <right/>
      <top/>
      <bottom/>
      <diagonal/>
    </border>
    <border diagonalUp="false" diagonalDown="false">
      <left style="thin">
        <color rgb="FFD9CFC0"/>
      </left>
      <right style="thin">
        <color rgb="FFD9CFC0"/>
      </right>
      <top style="thin">
        <color rgb="FFD9CFC0"/>
      </top>
      <bottom style="thin">
        <color rgb="FFD9CF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5" fontId="4" fillId="4" borderId="0" xfId="0" applyFont="true" applyBorder="true" applyAlignment="true" applyProtection="false">
      <alignment horizontal="center" vertical="center" textRotation="0" wrapText="false" indent="0" shrinkToFit="false"/>
      <protection locked="true" hidden="false"/>
    </xf>
    <xf numFmtId="166" fontId="4" fillId="4" borderId="0" xfId="0" applyFont="true" applyBorder="true" applyAlignment="true" applyProtection="false">
      <alignment horizontal="center" vertical="center" textRotation="0" wrapText="false" indent="0" shrinkToFit="false"/>
      <protection locked="true" hidden="false"/>
    </xf>
    <xf numFmtId="164" fontId="4" fillId="4" borderId="0"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3" fillId="0" borderId="1" xfId="0" applyFont="true" applyBorder="true" applyAlignment="true" applyProtection="false">
      <alignment horizontal="right" vertical="center" textRotation="0" wrapText="false" indent="0" shrinkToFit="false"/>
      <protection locked="true" hidden="false"/>
    </xf>
    <xf numFmtId="166" fontId="13" fillId="0" borderId="1" xfId="0" applyFont="true" applyBorder="true" applyAlignment="true" applyProtection="false">
      <alignment horizontal="right"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6" fontId="14" fillId="4" borderId="1" xfId="0" applyFont="true" applyBorder="true" applyAlignment="true" applyProtection="false">
      <alignment horizontal="righ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6" fontId="14" fillId="4"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7" fontId="13" fillId="0" borderId="1" xfId="0" applyFont="true" applyBorder="true" applyAlignment="true" applyProtection="false">
      <alignment horizontal="left" vertical="center" textRotation="0" wrapText="false" indent="0" shrinkToFit="false"/>
      <protection locked="true" hidden="false"/>
    </xf>
    <xf numFmtId="165" fontId="14" fillId="4" borderId="1" xfId="0" applyFont="true" applyBorder="true" applyAlignment="true" applyProtection="false">
      <alignment horizontal="right" vertical="center"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8" fontId="19" fillId="5"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9" fontId="13" fillId="0" borderId="1" xfId="0" applyFont="true" applyBorder="true" applyAlignment="true" applyProtection="false">
      <alignment horizontal="right" vertical="center" textRotation="0" wrapText="false" indent="0" shrinkToFit="false"/>
      <protection locked="true" hidden="false"/>
    </xf>
    <xf numFmtId="166" fontId="19" fillId="5" borderId="1" xfId="0" applyFont="true" applyBorder="true" applyAlignment="true" applyProtection="false">
      <alignment horizontal="right" vertical="center"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0B4"/>
        </patternFill>
      </fill>
    </dxf>
    <dxf>
      <fill>
        <patternFill>
          <bgColor rgb="FFFFE699"/>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5C1A1B"/>
      <rgbColor rgb="FF008000"/>
      <rgbColor rgb="FF000080"/>
      <rgbColor rgb="FF808000"/>
      <rgbColor rgb="FF800080"/>
      <rgbColor rgb="FF008080"/>
      <rgbColor rgb="FFD9CFC0"/>
      <rgbColor rgb="FF878787"/>
      <rgbColor rgb="FF9999FF"/>
      <rgbColor rgb="FF993366"/>
      <rgbColor rgb="FFFFF2CC"/>
      <rgbColor rgb="FFF6EFE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6B6"/>
      <rgbColor rgb="FF3366FF"/>
      <rgbColor rgb="FF33CCCC"/>
      <rgbColor rgb="FF99CC00"/>
      <rgbColor rgb="FFFFCC00"/>
      <rgbColor rgb="FFFF9900"/>
      <rgbColor rgb="FFFF6600"/>
      <rgbColor rgb="FF6B5D54"/>
      <rgbColor rgb="FFC9A66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of target to date</a:t>
            </a:r>
          </a:p>
        </c:rich>
      </c:tx>
      <c:overlay val="0"/>
      <c:spPr>
        <a:noFill/>
        <a:ln w="0">
          <a:noFill/>
        </a:ln>
      </c:spPr>
    </c:title>
    <c:autoTitleDeleted val="0"/>
    <c:plotArea>
      <c:barChart>
        <c:barDir val="bar"/>
        <c:grouping val="clustered"/>
        <c:varyColors val="0"/>
        <c:ser>
          <c:idx val="0"/>
          <c:order val="0"/>
          <c:tx>
            <c:strRef>
              <c:f>Dashboard!E18</c:f>
              <c:strCache>
                <c:ptCount val="1"/>
                <c:pt idx="0">
                  <c:v>% of target to date</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Dashboard!$A$19:$A$26</c:f>
              <c:strCache>
                <c:ptCount val="8"/>
                <c:pt idx="0">
                  <c:v>People with access to safe water</c:v>
                </c:pt>
                <c:pt idx="1">
                  <c:v>Water points built or rehabilitated</c:v>
                </c:pt>
                <c:pt idx="2">
                  <c:v>Households reached with hygiene education</c:v>
                </c:pt>
                <c:pt idx="3">
                  <c:v>Community health volunteers trained</c:v>
                </c:pt>
                <c:pt idx="4">
                  <c:v>School WASH facilities installed</c:v>
                </c:pt>
                <c:pt idx="5">
                  <c:v>Water committees formed and trained</c:v>
                </c:pt>
                <c:pt idx="6">
                  <c:v>Households with new handwashing station</c:v>
                </c:pt>
                <c:pt idx="7">
                  <c:v>Water quality tests completed</c:v>
                </c:pt>
              </c:strCache>
            </c:strRef>
          </c:cat>
          <c:val>
            <c:numRef>
              <c:f>Dashboard!$E$19:$E$26</c:f>
              <c:numCache>
                <c:formatCode>0%</c:formatCode>
                <c:ptCount val="8"/>
                <c:pt idx="0">
                  <c:v>0.900266483516483</c:v>
                </c:pt>
                <c:pt idx="1">
                  <c:v>0.701923076923077</c:v>
                </c:pt>
                <c:pt idx="2">
                  <c:v>0.944365079365079</c:v>
                </c:pt>
                <c:pt idx="3">
                  <c:v>0.935897435897436</c:v>
                </c:pt>
                <c:pt idx="4">
                  <c:v>0.389957264957265</c:v>
                </c:pt>
                <c:pt idx="5">
                  <c:v>0.98046398046398</c:v>
                </c:pt>
                <c:pt idx="6">
                  <c:v>0.797889702889703</c:v>
                </c:pt>
                <c:pt idx="7">
                  <c:v>0.988485958485958</c:v>
                </c:pt>
              </c:numCache>
            </c:numRef>
          </c:val>
        </c:ser>
        <c:gapWidth val="150"/>
        <c:overlap val="0"/>
        <c:axId val="76370729"/>
        <c:axId val="37564103"/>
      </c:barChart>
      <c:catAx>
        <c:axId val="763707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750" spc="-1" strike="noStrike">
                <a:solidFill>
                  <a:srgbClr val="000000"/>
                </a:solidFill>
                <a:latin typeface="Calibri"/>
              </a:defRPr>
            </a:pPr>
          </a:p>
        </c:txPr>
        <c:crossAx val="37564103"/>
        <c:crosses val="autoZero"/>
        <c:auto val="1"/>
        <c:lblAlgn val="ctr"/>
        <c:lblOffset val="100"/>
        <c:noMultiLvlLbl val="0"/>
      </c:catAx>
      <c:valAx>
        <c:axId val="3756410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37072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people with safe water</a:t>
            </a:r>
          </a:p>
        </c:rich>
      </c:tx>
      <c:overlay val="0"/>
      <c:spPr>
        <a:noFill/>
        <a:ln w="0">
          <a:noFill/>
        </a:ln>
      </c:spPr>
    </c:title>
    <c:autoTitleDeleted val="0"/>
    <c:plotArea>
      <c:lineChart>
        <c:grouping val="standard"/>
        <c:varyColors val="0"/>
        <c:ser>
          <c:idx val="0"/>
          <c:order val="0"/>
          <c:tx>
            <c:strRef>
              <c:f>Dashboard!C47</c:f>
              <c:strCache>
                <c:ptCount val="1"/>
                <c:pt idx="0">
                  <c:v>Cumulative actual</c:v>
                </c:pt>
              </c:strCache>
            </c:strRef>
          </c:tx>
          <c:spPr>
            <a:solidFill>
              <a:srgbClr val="5c1a1b"/>
            </a:solidFill>
            <a:ln w="28080">
              <a:solidFill>
                <a:srgbClr val="5c1a1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Dashboard!$A$48:$A$56</c:f>
              <c:strCache>
                <c:ptCount val="9"/>
                <c:pt idx="0">
                  <c:v>Jan 2026</c:v>
                </c:pt>
                <c:pt idx="1">
                  <c:v>Feb 2026</c:v>
                </c:pt>
                <c:pt idx="2">
                  <c:v>Mar 2026</c:v>
                </c:pt>
                <c:pt idx="3">
                  <c:v>Apr 2026</c:v>
                </c:pt>
                <c:pt idx="4">
                  <c:v>May 2026</c:v>
                </c:pt>
                <c:pt idx="5">
                  <c:v>Jun 2026</c:v>
                </c:pt>
                <c:pt idx="6">
                  <c:v>Jul 2026</c:v>
                </c:pt>
                <c:pt idx="7">
                  <c:v>Aug 2026</c:v>
                </c:pt>
                <c:pt idx="8">
                  <c:v>Sep 2026</c:v>
                </c:pt>
              </c:strCache>
            </c:strRef>
          </c:cat>
          <c:val>
            <c:numRef>
              <c:f>Dashboard!$C$48:$C$56</c:f>
              <c:numCache>
                <c:formatCode>#,##0</c:formatCode>
                <c:ptCount val="9"/>
                <c:pt idx="0">
                  <c:v>2472</c:v>
                </c:pt>
                <c:pt idx="1">
                  <c:v>5882</c:v>
                </c:pt>
                <c:pt idx="2">
                  <c:v>9983</c:v>
                </c:pt>
                <c:pt idx="3">
                  <c:v>14614</c:v>
                </c:pt>
                <c:pt idx="4">
                  <c:v>19446</c:v>
                </c:pt>
                <c:pt idx="5">
                  <c:v>24626</c:v>
                </c:pt>
                <c:pt idx="6">
                  <c:v>29632</c:v>
                </c:pt>
                <c:pt idx="7">
                  <c:v>34995</c:v>
                </c:pt>
                <c:pt idx="8">
                  <c:v>40401</c:v>
                </c:pt>
              </c:numCache>
            </c:numRef>
          </c:val>
          <c:smooth val="0"/>
        </c:ser>
        <c:ser>
          <c:idx val="1"/>
          <c:order val="1"/>
          <c:tx>
            <c:strRef>
              <c:f>Dashboard!D47</c:f>
              <c:strCache>
                <c:ptCount val="1"/>
                <c:pt idx="0">
                  <c:v>Cumulative plan</c:v>
                </c:pt>
              </c:strCache>
            </c:strRef>
          </c:tx>
          <c:spPr>
            <a:solidFill>
              <a:srgbClr val="c9a66b"/>
            </a:solidFill>
            <a:ln w="28080">
              <a:solidFill>
                <a:srgbClr val="c9a66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Dashboard!$A$48:$A$56</c:f>
              <c:strCache>
                <c:ptCount val="9"/>
                <c:pt idx="0">
                  <c:v>Jan 2026</c:v>
                </c:pt>
                <c:pt idx="1">
                  <c:v>Feb 2026</c:v>
                </c:pt>
                <c:pt idx="2">
                  <c:v>Mar 2026</c:v>
                </c:pt>
                <c:pt idx="3">
                  <c:v>Apr 2026</c:v>
                </c:pt>
                <c:pt idx="4">
                  <c:v>May 2026</c:v>
                </c:pt>
                <c:pt idx="5">
                  <c:v>Jun 2026</c:v>
                </c:pt>
                <c:pt idx="6">
                  <c:v>Jul 2026</c:v>
                </c:pt>
                <c:pt idx="7">
                  <c:v>Aug 2026</c:v>
                </c:pt>
                <c:pt idx="8">
                  <c:v>Sep 2026</c:v>
                </c:pt>
              </c:strCache>
            </c:strRef>
          </c:cat>
          <c:val>
            <c:numRef>
              <c:f>Dashboard!$D$48:$D$56</c:f>
              <c:numCache>
                <c:formatCode>#,##0</c:formatCode>
                <c:ptCount val="9"/>
                <c:pt idx="0">
                  <c:v>5000</c:v>
                </c:pt>
                <c:pt idx="1">
                  <c:v>10000</c:v>
                </c:pt>
                <c:pt idx="2">
                  <c:v>15000</c:v>
                </c:pt>
                <c:pt idx="3">
                  <c:v>20000</c:v>
                </c:pt>
                <c:pt idx="4">
                  <c:v>25000</c:v>
                </c:pt>
                <c:pt idx="5">
                  <c:v>30000</c:v>
                </c:pt>
                <c:pt idx="6">
                  <c:v>35000</c:v>
                </c:pt>
                <c:pt idx="7">
                  <c:v>40000</c:v>
                </c:pt>
                <c:pt idx="8">
                  <c:v>45000</c:v>
                </c:pt>
              </c:numCache>
            </c:numRef>
          </c:val>
          <c:smooth val="0"/>
        </c:ser>
        <c:hiLowLines>
          <c:spPr>
            <a:ln w="0">
              <a:noFill/>
            </a:ln>
          </c:spPr>
        </c:hiLowLines>
        <c:marker val="0"/>
        <c:axId val="35185206"/>
        <c:axId val="1919072"/>
      </c:lineChart>
      <c:catAx>
        <c:axId val="35185206"/>
        <c:scaling>
          <c:orientation val="minMax"/>
        </c:scaling>
        <c:delete val="0"/>
        <c:axPos val="b"/>
        <c:numFmt formatCode="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9072"/>
        <c:crosses val="autoZero"/>
        <c:auto val="1"/>
        <c:lblAlgn val="ctr"/>
        <c:lblOffset val="100"/>
        <c:noMultiLvlLbl val="0"/>
      </c:catAx>
      <c:valAx>
        <c:axId val="191907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18520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Budget absorbed vs delivery by county</a:t>
            </a:r>
          </a:p>
        </c:rich>
      </c:tx>
      <c:overlay val="0"/>
      <c:spPr>
        <a:noFill/>
        <a:ln w="0">
          <a:noFill/>
        </a:ln>
      </c:spPr>
    </c:title>
    <c:autoTitleDeleted val="0"/>
    <c:plotArea>
      <c:barChart>
        <c:barDir val="col"/>
        <c:grouping val="clustered"/>
        <c:varyColors val="0"/>
        <c:ser>
          <c:idx val="0"/>
          <c:order val="0"/>
          <c:tx>
            <c:strRef>
              <c:f>Dashboard!E59</c:f>
              <c:strCache>
                <c:ptCount val="1"/>
                <c:pt idx="0">
                  <c:v>Budget absorbed</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Dashboard!$A$60:$A$65</c:f>
              <c:strCache>
                <c:ptCount val="6"/>
                <c:pt idx="0">
                  <c:v>Kisumu</c:v>
                </c:pt>
                <c:pt idx="1">
                  <c:v>Siaya</c:v>
                </c:pt>
                <c:pt idx="2">
                  <c:v>Homa Bay</c:v>
                </c:pt>
                <c:pt idx="3">
                  <c:v>Migori</c:v>
                </c:pt>
                <c:pt idx="4">
                  <c:v>Kakamega</c:v>
                </c:pt>
                <c:pt idx="5">
                  <c:v>Bungoma</c:v>
                </c:pt>
              </c:strCache>
            </c:strRef>
          </c:cat>
          <c:val>
            <c:numRef>
              <c:f>Dashboard!$E$60:$E$65</c:f>
              <c:numCache>
                <c:formatCode>0%</c:formatCode>
                <c:ptCount val="6"/>
                <c:pt idx="0">
                  <c:v>0.691178571428571</c:v>
                </c:pt>
                <c:pt idx="1">
                  <c:v>0.66315</c:v>
                </c:pt>
                <c:pt idx="2">
                  <c:v>0.456625</c:v>
                </c:pt>
                <c:pt idx="3">
                  <c:v>0.679</c:v>
                </c:pt>
                <c:pt idx="4">
                  <c:v>0.720565217391304</c:v>
                </c:pt>
                <c:pt idx="5">
                  <c:v>0.7219</c:v>
                </c:pt>
              </c:numCache>
            </c:numRef>
          </c:val>
        </c:ser>
        <c:ser>
          <c:idx val="1"/>
          <c:order val="1"/>
          <c:tx>
            <c:strRef>
              <c:f>Dashboard!F59</c:f>
              <c:strCache>
                <c:ptCount val="1"/>
                <c:pt idx="0">
                  <c:v>Avg delivery vs target</c:v>
                </c:pt>
              </c:strCache>
            </c:strRef>
          </c:tx>
          <c:spPr>
            <a:solidFill>
              <a:srgbClr val="c9a66b"/>
            </a:solidFill>
            <a:ln w="9360">
              <a:solidFill>
                <a:srgbClr val="c9a66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Dashboard!$A$60:$A$65</c:f>
              <c:strCache>
                <c:ptCount val="6"/>
                <c:pt idx="0">
                  <c:v>Kisumu</c:v>
                </c:pt>
                <c:pt idx="1">
                  <c:v>Siaya</c:v>
                </c:pt>
                <c:pt idx="2">
                  <c:v>Homa Bay</c:v>
                </c:pt>
                <c:pt idx="3">
                  <c:v>Migori</c:v>
                </c:pt>
                <c:pt idx="4">
                  <c:v>Kakamega</c:v>
                </c:pt>
                <c:pt idx="5">
                  <c:v>Bungoma</c:v>
                </c:pt>
              </c:strCache>
            </c:strRef>
          </c:cat>
          <c:val>
            <c:numRef>
              <c:f>Dashboard!$F$60:$F$65</c:f>
              <c:numCache>
                <c:formatCode>0%</c:formatCode>
                <c:ptCount val="6"/>
                <c:pt idx="0">
                  <c:v>1.00043072089947</c:v>
                </c:pt>
                <c:pt idx="1">
                  <c:v>0.976978240013954</c:v>
                </c:pt>
                <c:pt idx="2">
                  <c:v>0.679551935481423</c:v>
                </c:pt>
                <c:pt idx="3">
                  <c:v>0.809194926546117</c:v>
                </c:pt>
                <c:pt idx="4">
                  <c:v>0.899093775278081</c:v>
                </c:pt>
                <c:pt idx="5">
                  <c:v>0.574787893899616</c:v>
                </c:pt>
              </c:numCache>
            </c:numRef>
          </c:val>
        </c:ser>
        <c:gapWidth val="150"/>
        <c:overlap val="0"/>
        <c:axId val="36302400"/>
        <c:axId val="97659106"/>
      </c:barChart>
      <c:catAx>
        <c:axId val="363024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659106"/>
        <c:crosses val="autoZero"/>
        <c:auto val="1"/>
        <c:lblAlgn val="ctr"/>
        <c:lblOffset val="100"/>
        <c:noMultiLvlLbl val="0"/>
      </c:catAx>
      <c:valAx>
        <c:axId val="9765910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0240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17</xdr:row>
      <xdr:rowOff>0</xdr:rowOff>
    </xdr:from>
    <xdr:to>
      <xdr:col>11</xdr:col>
      <xdr:colOff>1002240</xdr:colOff>
      <xdr:row>27</xdr:row>
      <xdr:rowOff>64080</xdr:rowOff>
    </xdr:to>
    <xdr:graphicFrame>
      <xdr:nvGraphicFramePr>
        <xdr:cNvPr id="0" name="Chart 1"/>
        <xdr:cNvGraphicFramePr/>
      </xdr:nvGraphicFramePr>
      <xdr:xfrm>
        <a:off x="8035200" y="4019400"/>
        <a:ext cx="4103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46</xdr:row>
      <xdr:rowOff>0</xdr:rowOff>
    </xdr:from>
    <xdr:to>
      <xdr:col>11</xdr:col>
      <xdr:colOff>606600</xdr:colOff>
      <xdr:row>56</xdr:row>
      <xdr:rowOff>64080</xdr:rowOff>
    </xdr:to>
    <xdr:graphicFrame>
      <xdr:nvGraphicFramePr>
        <xdr:cNvPr id="1" name="Chart 2"/>
        <xdr:cNvGraphicFramePr/>
      </xdr:nvGraphicFramePr>
      <xdr:xfrm>
        <a:off x="6343560" y="10496520"/>
        <a:ext cx="5399640" cy="21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58</xdr:row>
      <xdr:rowOff>0</xdr:rowOff>
    </xdr:from>
    <xdr:to>
      <xdr:col>11</xdr:col>
      <xdr:colOff>1002240</xdr:colOff>
      <xdr:row>68</xdr:row>
      <xdr:rowOff>64080</xdr:rowOff>
    </xdr:to>
    <xdr:graphicFrame>
      <xdr:nvGraphicFramePr>
        <xdr:cNvPr id="2" name="Chart 3"/>
        <xdr:cNvGraphicFramePr/>
      </xdr:nvGraphicFramePr>
      <xdr:xfrm>
        <a:off x="8035200" y="13011120"/>
        <a:ext cx="4103640" cy="21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 collapsed="false" customWidth="true" hidden="false" outlineLevel="0" max="2" min="2" style="0" width="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row>
    <row r="7" customFormat="false" ht="15" hidden="false" customHeight="false" outlineLevel="0" collapsed="false">
      <c r="A7" s="3" t="s">
        <v>4</v>
      </c>
    </row>
    <row r="8" customFormat="false" ht="15" hidden="false" customHeight="true" outlineLevel="0" collapsed="false">
      <c r="A8" s="4" t="s">
        <v>5</v>
      </c>
    </row>
    <row r="9" customFormat="false" ht="1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t="s">
        <v>9</v>
      </c>
    </row>
    <row r="14" customFormat="false" ht="15" hidden="false" customHeight="false" outlineLevel="0" collapsed="false">
      <c r="A14" s="3" t="s">
        <v>10</v>
      </c>
    </row>
    <row r="15" customFormat="false" ht="15" hidden="false" customHeight="true" outlineLevel="0" collapsed="false">
      <c r="A15" s="4" t="s">
        <v>11</v>
      </c>
    </row>
    <row r="16" customFormat="false" ht="30" hidden="false" customHeight="true" outlineLevel="0" collapsed="false">
      <c r="A16" s="4" t="s">
        <v>12</v>
      </c>
    </row>
    <row r="17" customFormat="false" ht="15" hidden="false" customHeight="true" outlineLevel="0" collapsed="false">
      <c r="A17" s="4" t="s">
        <v>13</v>
      </c>
    </row>
    <row r="18" customFormat="false" ht="15" hidden="false" customHeight="true" outlineLevel="0" collapsed="false">
      <c r="A18" s="4" t="s">
        <v>14</v>
      </c>
    </row>
    <row r="19" customFormat="false" ht="15" hidden="false" customHeight="true" outlineLevel="0" collapsed="false">
      <c r="A19" s="4" t="s">
        <v>15</v>
      </c>
    </row>
    <row r="21" customFormat="false" ht="15" hidden="false" customHeight="false" outlineLevel="0" collapsed="false">
      <c r="A21" s="3" t="s">
        <v>16</v>
      </c>
    </row>
    <row r="22" customFormat="false" ht="30" hidden="false" customHeight="true" outlineLevel="0" collapsed="false">
      <c r="A22" s="4" t="s">
        <v>17</v>
      </c>
    </row>
    <row r="23" customFormat="false" ht="30" hidden="false" customHeight="true" outlineLevel="0" collapsed="false">
      <c r="A23" s="4" t="s">
        <v>18</v>
      </c>
    </row>
    <row r="24" customFormat="false" ht="15" hidden="false" customHeight="true" outlineLevel="0" collapsed="false">
      <c r="A24" s="4" t="s">
        <v>19</v>
      </c>
    </row>
    <row r="25" customFormat="false" ht="30" hidden="false" customHeight="true" outlineLevel="0" collapsed="false">
      <c r="A25" s="4" t="s">
        <v>20</v>
      </c>
    </row>
    <row r="27" customFormat="false" ht="15" hidden="false" customHeight="false" outlineLevel="0" collapsed="false">
      <c r="A27" s="3" t="s">
        <v>21</v>
      </c>
    </row>
    <row r="28" customFormat="false" ht="15" hidden="false" customHeight="true" outlineLevel="0" collapsed="false">
      <c r="A28" s="4" t="s">
        <v>22</v>
      </c>
    </row>
    <row r="29" customFormat="false" ht="15" hidden="false" customHeight="true" outlineLevel="0" collapsed="false">
      <c r="A29" s="4" t="s">
        <v>23</v>
      </c>
    </row>
    <row r="30" customFormat="false" ht="15" hidden="false" customHeight="true" outlineLevel="0" collapsed="false">
      <c r="A30" s="4" t="s">
        <v>24</v>
      </c>
    </row>
    <row r="32" customFormat="false" ht="15" hidden="false" customHeight="false" outlineLevel="0" collapsed="false">
      <c r="A32" s="3" t="s">
        <v>25</v>
      </c>
    </row>
    <row r="33" customFormat="false" ht="15" hidden="false" customHeight="true" outlineLevel="0" collapsed="false">
      <c r="A33" s="4" t="s">
        <v>26</v>
      </c>
    </row>
    <row r="34" customFormat="false" ht="30" hidden="false" customHeight="true" outlineLevel="0" collapsed="false">
      <c r="A34" s="4" t="s">
        <v>27</v>
      </c>
    </row>
    <row r="35" customFormat="false" ht="15" hidden="false" customHeight="true" outlineLevel="0" collapsed="false">
      <c r="A35" s="4"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6" min="2" style="0" width="13"/>
    <col collapsed="false" customWidth="true" hidden="false" outlineLevel="0" max="11" min="7" style="0" width="11"/>
    <col collapsed="false" customWidth="true" hidden="false" outlineLevel="0" max="12" min="12" style="0" width="17"/>
  </cols>
  <sheetData>
    <row r="1" customFormat="false" ht="30" hidden="false" customHeight="true" outlineLevel="0" collapsed="false">
      <c r="A1" s="5" t="s">
        <v>29</v>
      </c>
      <c r="B1" s="6"/>
      <c r="C1" s="6"/>
      <c r="D1" s="6"/>
      <c r="E1" s="6"/>
      <c r="F1" s="6"/>
      <c r="G1" s="6"/>
      <c r="H1" s="6"/>
      <c r="I1" s="6"/>
      <c r="J1" s="6"/>
      <c r="K1" s="6"/>
      <c r="L1" s="6"/>
    </row>
    <row r="2" customFormat="false" ht="15" hidden="false" customHeight="false" outlineLevel="0" collapsed="false">
      <c r="A2" s="7" t="str">
        <f aca="false">"Fictional water, sanitation and hygiene (WASH) programme, Western Kenya  |  Synthetic data  |  Progress as of "&amp;TEXT(Assumptions!B4,"d mmm yyyy")&amp;"  |  Prepared by BZME Insights"</f>
        <v>Fictional water, sanitation and hygiene (WASH) programme, Western Kenya  |  Synthetic data  |  Progress as of 30 Sep 2026  |  Prepared by BZME Insights</v>
      </c>
    </row>
    <row r="4" customFormat="false" ht="19.5" hidden="false" customHeight="true" outlineLevel="0" collapsed="false">
      <c r="A4" s="8" t="s">
        <v>30</v>
      </c>
      <c r="B4" s="8"/>
      <c r="C4" s="8" t="s">
        <v>31</v>
      </c>
      <c r="D4" s="8"/>
      <c r="E4" s="8" t="s">
        <v>32</v>
      </c>
      <c r="F4" s="8"/>
      <c r="G4" s="8" t="s">
        <v>33</v>
      </c>
      <c r="H4" s="8"/>
      <c r="I4" s="8" t="s">
        <v>34</v>
      </c>
      <c r="J4" s="8"/>
      <c r="K4" s="8" t="s">
        <v>35</v>
      </c>
      <c r="L4" s="8"/>
    </row>
    <row r="5" customFormat="false" ht="30" hidden="false" customHeight="true" outlineLevel="0" collapsed="false">
      <c r="A5" s="9" t="n">
        <f aca="false">D19</f>
        <v>40401</v>
      </c>
      <c r="B5" s="9"/>
      <c r="C5" s="10" t="n">
        <f aca="false">E27</f>
        <v>0.829906122812373</v>
      </c>
      <c r="D5" s="10"/>
      <c r="E5" s="11" t="str">
        <f aca="false">COUNTIF(F19:F26,"On track")&amp;" of "&amp;COUNTA(F19:F26)</f>
        <v>5 of 8</v>
      </c>
      <c r="F5" s="11"/>
      <c r="G5" s="10" t="n">
        <f aca="false">D66/C66</f>
        <v>0.65327205882353</v>
      </c>
      <c r="H5" s="10"/>
      <c r="I5" s="9" t="n">
        <f aca="false">IFERROR(SUM(Finance!$D$2:$D$25)/D19,0)</f>
        <v>2199.07923071211</v>
      </c>
      <c r="J5" s="9"/>
      <c r="K5" s="10" t="n">
        <f aca="false">E44</f>
        <v>0.473869582400734</v>
      </c>
      <c r="L5" s="10"/>
    </row>
    <row r="7" customFormat="false" ht="18" hidden="false" customHeight="true" outlineLevel="0" collapsed="false">
      <c r="A7" s="12" t="s">
        <v>36</v>
      </c>
      <c r="B7" s="6"/>
      <c r="C7" s="6"/>
      <c r="D7" s="6"/>
      <c r="E7" s="6"/>
      <c r="F7" s="6"/>
      <c r="G7" s="6"/>
      <c r="H7" s="6"/>
      <c r="I7" s="6"/>
      <c r="J7" s="6"/>
      <c r="K7" s="6"/>
      <c r="L7" s="6"/>
    </row>
    <row r="8" customFormat="false" ht="18" hidden="false" customHeight="true" outlineLevel="0" collapsed="false">
      <c r="A8" s="13" t="str">
        <f aca="false">"1. "&amp;TEXT(Assumptions!B7,"0%")&amp;" of the year has passed and the programme has delivered on average "&amp;TEXT(E27,"0%")&amp;" of its target to date; "&amp;COUNTIF(F19:F26,"On track")&amp;" of "&amp;COUNTA(F19:F26)&amp;" indicators are On track."</f>
        <v>1. 75% of the year has passed and the programme has delivered on average 83% of its target to date; 5 of 8 indicators are On track.</v>
      </c>
      <c r="B8" s="13"/>
      <c r="C8" s="13"/>
      <c r="D8" s="13"/>
      <c r="E8" s="13"/>
      <c r="F8" s="13"/>
      <c r="G8" s="13"/>
      <c r="H8" s="13"/>
      <c r="I8" s="13"/>
      <c r="J8" s="13"/>
      <c r="K8" s="13"/>
      <c r="L8" s="13"/>
    </row>
    <row r="9" customFormat="false" ht="18" hidden="false" customHeight="true" outlineLevel="0" collapsed="false">
      <c r="A9" s="13" t="str">
        <f aca="false">"2. Strongest indicator: "&amp;INDEX(A19:A26,MATCH(MAX(E19:E26),E19:E26,0))&amp;" ("&amp;TEXT(MAX(E19:E26),"0%")&amp;"). Weakest: "&amp;INDEX(A19:A26,MATCH(MIN(E19:E26),E19:E26,0))&amp;" ("&amp;TEXT(MIN(E19:E26),"0%")&amp;")."</f>
        <v>2. Strongest indicator: Water quality tests completed (99%). Weakest: School WASH facilities installed (39%).</v>
      </c>
      <c r="B9" s="13"/>
      <c r="C9" s="13"/>
      <c r="D9" s="13"/>
      <c r="E9" s="13"/>
      <c r="F9" s="13"/>
      <c r="G9" s="13"/>
      <c r="H9" s="13"/>
      <c r="I9" s="13"/>
      <c r="J9" s="13"/>
      <c r="K9" s="13"/>
      <c r="L9" s="13"/>
    </row>
    <row r="10" customFormat="false" ht="18" hidden="false" customHeight="true" outlineLevel="0" collapsed="false">
      <c r="A10" s="13" t="str">
        <f aca="false">"3. Lowest-performing county: "&amp;INDEX(A31:A36,MATCH(MIN(J31:J36),J31:J36,0))&amp;" ("&amp;TEXT(MIN(J31:J36),"0%")&amp;" of target to date); highest: "&amp;INDEX(A31:A36,MATCH(MAX(J31:J36),J31:J36,0))&amp;" ("&amp;TEXT(MAX(J31:J36),"0%")&amp;")."</f>
        <v>3. Lowest-performing county: Bungoma (57% of target to date); highest: Kisumu (100%).</v>
      </c>
      <c r="B10" s="13"/>
      <c r="C10" s="13"/>
      <c r="D10" s="13"/>
      <c r="E10" s="13"/>
      <c r="F10" s="13"/>
      <c r="G10" s="13"/>
      <c r="H10" s="13"/>
      <c r="I10" s="13"/>
      <c r="J10" s="13"/>
      <c r="K10" s="13"/>
      <c r="L10" s="13"/>
    </row>
    <row r="11" customFormat="false" ht="18" hidden="false" customHeight="true" outlineLevel="0" collapsed="false">
      <c r="A11" s="13" t="str">
        <f aca="false">IF(COUNTIF(L31:L36,"Spend &gt; delivery")=0,"4. No county is spending ahead of delivery.","4. "&amp;COUNTIF(L31:L36,"Spend &gt; delivery")&amp;IF(COUNTIF(L31:L36,"Spend &gt; delivery")=1," county is"," counties are")&amp;" spending ahead of delivery: "&amp;INDEX(A31:A36,MATCH("Spend &gt; delivery",L31:L36,0))&amp;IF(COUNTIF(L31:L36,"Spend &gt; delivery")&gt;1," and others","")&amp;". Review its work plan and cash release.")</f>
        <v>4. 1 county is spending ahead of delivery: Bungoma. Review its work plan and cash release.</v>
      </c>
      <c r="B11" s="13"/>
      <c r="C11" s="13"/>
      <c r="D11" s="13"/>
      <c r="E11" s="13"/>
      <c r="F11" s="13"/>
      <c r="G11" s="13"/>
      <c r="H11" s="13"/>
      <c r="I11" s="13"/>
      <c r="J11" s="13"/>
      <c r="K11" s="13"/>
      <c r="L11" s="13"/>
    </row>
    <row r="12" customFormat="false" ht="18" hidden="false" customHeight="true" outlineLevel="0" collapsed="false">
      <c r="A12" s="13" t="str">
        <f aca="false">"5. KES "&amp;TEXT(SUM(Finance!$D$2:$D$25)/1000000,"#,##0.0")&amp;"M spent to date ("&amp;TEXT(D66/C66,"0%")&amp;" of annual budget) at about KES "&amp;TEXT(I5,"#,##0")&amp;" per person with new safe water access."</f>
        <v>5. KES 88.8M spent to date (65% of annual budget) at about KES 2,199 per person with new safe water access.</v>
      </c>
      <c r="B12" s="13"/>
      <c r="C12" s="13"/>
      <c r="D12" s="13"/>
      <c r="E12" s="13"/>
      <c r="F12" s="13"/>
      <c r="G12" s="13"/>
      <c r="H12" s="13"/>
      <c r="I12" s="13"/>
      <c r="J12" s="13"/>
      <c r="K12" s="13"/>
      <c r="L12" s="13"/>
    </row>
    <row r="13" customFormat="false" ht="18" hidden="false" customHeight="true" outlineLevel="0" collapsed="false">
      <c r="A13" s="13" t="str">
        <f aca="false">"6. Largest remaining gap: "&amp;INDEX(A19:A26,MATCH(MAX(G19:G26),G19:G26,0))&amp;" needs "&amp;TEXT(MAX(G19:G26),"#,##0")&amp;" more by year end to hit the annual target."</f>
        <v>6. Largest remaining gap: People with access to safe water needs 19,599 more by year end to hit the annual target.</v>
      </c>
      <c r="B13" s="13"/>
      <c r="C13" s="13"/>
      <c r="D13" s="13"/>
      <c r="E13" s="13"/>
      <c r="F13" s="13"/>
      <c r="G13" s="13"/>
      <c r="H13" s="13"/>
      <c r="I13" s="13"/>
      <c r="J13" s="13"/>
      <c r="K13" s="13"/>
      <c r="L13" s="13"/>
    </row>
    <row r="14" customFormat="false" ht="18" hidden="false" customHeight="true" outlineLevel="0" collapsed="false">
      <c r="A14" s="13" t="str">
        <f aca="false">"7. Outcome survey: "&amp;INDEX(A41:A43,MATCH(MIN(E41:E43),E41:E43,0))&amp;" has the least progress toward target ("&amp;TEXT(MIN(E41:E43),"0%")&amp;" of the baseline-to-target gap closed)."</f>
        <v>7. Outcome survey: Households treating drinking water has the least progress toward target (46% of the baseline-to-target gap closed).</v>
      </c>
      <c r="B14" s="13"/>
      <c r="C14" s="13"/>
      <c r="D14" s="13"/>
      <c r="E14" s="13"/>
      <c r="F14" s="13"/>
      <c r="G14" s="13"/>
      <c r="H14" s="13"/>
      <c r="I14" s="13"/>
      <c r="J14" s="13"/>
      <c r="K14" s="13"/>
      <c r="L14" s="13"/>
    </row>
    <row r="17" customFormat="false" ht="18" hidden="false" customHeight="true" outlineLevel="0" collapsed="false">
      <c r="A17" s="12" t="s">
        <v>37</v>
      </c>
      <c r="B17" s="6"/>
      <c r="C17" s="6"/>
      <c r="D17" s="6"/>
      <c r="E17" s="6"/>
      <c r="F17" s="6"/>
      <c r="G17" s="6"/>
      <c r="H17" s="6"/>
      <c r="I17" s="6"/>
      <c r="J17" s="6"/>
      <c r="K17" s="6"/>
      <c r="L17" s="6"/>
    </row>
    <row r="18" customFormat="false" ht="30" hidden="false" customHeight="true" outlineLevel="0" collapsed="false">
      <c r="A18" s="14" t="s">
        <v>38</v>
      </c>
      <c r="B18" s="14" t="s">
        <v>39</v>
      </c>
      <c r="C18" s="14" t="s">
        <v>40</v>
      </c>
      <c r="D18" s="14" t="s">
        <v>41</v>
      </c>
      <c r="E18" s="14" t="s">
        <v>42</v>
      </c>
      <c r="F18" s="14" t="s">
        <v>43</v>
      </c>
      <c r="G18" s="14" t="s">
        <v>44</v>
      </c>
    </row>
    <row r="19" customFormat="false" ht="15" hidden="false" customHeight="false" outlineLevel="0" collapsed="false">
      <c r="A19" s="15" t="str">
        <f aca="false">Indicators!B2</f>
        <v>People with access to safe water</v>
      </c>
      <c r="B19" s="16" t="n">
        <f aca="false">Indicators!D2</f>
        <v>60000</v>
      </c>
      <c r="C19" s="16" t="n">
        <f aca="false">Indicators!E2</f>
        <v>44876.7123287671</v>
      </c>
      <c r="D19" s="16" t="n">
        <f aca="false">Indicators!F2</f>
        <v>40401</v>
      </c>
      <c r="E19" s="17" t="n">
        <f aca="false">Indicators!G2</f>
        <v>0.900266483516483</v>
      </c>
      <c r="F19" s="18" t="str">
        <f aca="false">Indicators!I2</f>
        <v>On track</v>
      </c>
      <c r="G19" s="16" t="n">
        <f aca="false">MAX(0,B19-D19)</f>
        <v>19599</v>
      </c>
    </row>
    <row r="20" customFormat="false" ht="15" hidden="false" customHeight="false" outlineLevel="0" collapsed="false">
      <c r="A20" s="15" t="str">
        <f aca="false">Indicators!B3</f>
        <v>Water points built or rehabilitated</v>
      </c>
      <c r="B20" s="16" t="n">
        <f aca="false">Indicators!D3</f>
        <v>120</v>
      </c>
      <c r="C20" s="16" t="n">
        <f aca="false">Indicators!E3</f>
        <v>89.7534246575343</v>
      </c>
      <c r="D20" s="16" t="n">
        <f aca="false">Indicators!F3</f>
        <v>63</v>
      </c>
      <c r="E20" s="17" t="n">
        <f aca="false">Indicators!G3</f>
        <v>0.701923076923077</v>
      </c>
      <c r="F20" s="18" t="str">
        <f aca="false">Indicators!I3</f>
        <v>Watch</v>
      </c>
      <c r="G20" s="16" t="n">
        <f aca="false">MAX(0,B20-D20)</f>
        <v>57</v>
      </c>
    </row>
    <row r="21" customFormat="false" ht="15" hidden="false" customHeight="false" outlineLevel="0" collapsed="false">
      <c r="A21" s="15" t="str">
        <f aca="false">Indicators!B4</f>
        <v>Households reached with hygiene education</v>
      </c>
      <c r="B21" s="16" t="n">
        <f aca="false">Indicators!D4</f>
        <v>18000</v>
      </c>
      <c r="C21" s="16" t="n">
        <f aca="false">Indicators!E4</f>
        <v>13463.0136986301</v>
      </c>
      <c r="D21" s="16" t="n">
        <f aca="false">Indicators!F4</f>
        <v>12714</v>
      </c>
      <c r="E21" s="17" t="n">
        <f aca="false">Indicators!G4</f>
        <v>0.944365079365079</v>
      </c>
      <c r="F21" s="18" t="str">
        <f aca="false">Indicators!I4</f>
        <v>On track</v>
      </c>
      <c r="G21" s="16" t="n">
        <f aca="false">MAX(0,B21-D21)</f>
        <v>5286</v>
      </c>
    </row>
    <row r="22" customFormat="false" ht="15" hidden="false" customHeight="false" outlineLevel="0" collapsed="false">
      <c r="A22" s="15" t="str">
        <f aca="false">Indicators!B5</f>
        <v>Community health volunteers trained</v>
      </c>
      <c r="B22" s="16" t="n">
        <f aca="false">Indicators!D5</f>
        <v>360</v>
      </c>
      <c r="C22" s="16" t="n">
        <f aca="false">Indicators!E5</f>
        <v>269.260273972603</v>
      </c>
      <c r="D22" s="16" t="n">
        <f aca="false">Indicators!F5</f>
        <v>252</v>
      </c>
      <c r="E22" s="17" t="n">
        <f aca="false">Indicators!G5</f>
        <v>0.935897435897436</v>
      </c>
      <c r="F22" s="18" t="str">
        <f aca="false">Indicators!I5</f>
        <v>On track</v>
      </c>
      <c r="G22" s="16" t="n">
        <f aca="false">MAX(0,B22-D22)</f>
        <v>108</v>
      </c>
    </row>
    <row r="23" customFormat="false" ht="15" hidden="false" customHeight="false" outlineLevel="0" collapsed="false">
      <c r="A23" s="15" t="str">
        <f aca="false">Indicators!B6</f>
        <v>School WASH facilities installed</v>
      </c>
      <c r="B23" s="16" t="n">
        <f aca="false">Indicators!D6</f>
        <v>48</v>
      </c>
      <c r="C23" s="16" t="n">
        <f aca="false">Indicators!E6</f>
        <v>35.9013698630137</v>
      </c>
      <c r="D23" s="16" t="n">
        <f aca="false">Indicators!F6</f>
        <v>14</v>
      </c>
      <c r="E23" s="17" t="n">
        <f aca="false">Indicators!G6</f>
        <v>0.389957264957265</v>
      </c>
      <c r="F23" s="18" t="str">
        <f aca="false">Indicators!I6</f>
        <v>Off track</v>
      </c>
      <c r="G23" s="16" t="n">
        <f aca="false">MAX(0,B23-D23)</f>
        <v>34</v>
      </c>
    </row>
    <row r="24" customFormat="false" ht="15" hidden="false" customHeight="false" outlineLevel="0" collapsed="false">
      <c r="A24" s="15" t="str">
        <f aca="false">Indicators!B7</f>
        <v>Water committees formed and trained</v>
      </c>
      <c r="B24" s="16" t="n">
        <f aca="false">Indicators!D7</f>
        <v>90</v>
      </c>
      <c r="C24" s="16" t="n">
        <f aca="false">Indicators!E7</f>
        <v>67.3150684931507</v>
      </c>
      <c r="D24" s="16" t="n">
        <f aca="false">Indicators!F7</f>
        <v>66</v>
      </c>
      <c r="E24" s="17" t="n">
        <f aca="false">Indicators!G7</f>
        <v>0.98046398046398</v>
      </c>
      <c r="F24" s="18" t="str">
        <f aca="false">Indicators!I7</f>
        <v>On track</v>
      </c>
      <c r="G24" s="16" t="n">
        <f aca="false">MAX(0,B24-D24)</f>
        <v>24</v>
      </c>
    </row>
    <row r="25" customFormat="false" ht="15" hidden="false" customHeight="false" outlineLevel="0" collapsed="false">
      <c r="A25" s="15" t="str">
        <f aca="false">Indicators!B8</f>
        <v>Households with new handwashing station</v>
      </c>
      <c r="B25" s="16" t="n">
        <f aca="false">Indicators!D8</f>
        <v>9000</v>
      </c>
      <c r="C25" s="16" t="n">
        <f aca="false">Indicators!E8</f>
        <v>6731.50684931507</v>
      </c>
      <c r="D25" s="16" t="n">
        <f aca="false">Indicators!F8</f>
        <v>5371</v>
      </c>
      <c r="E25" s="17" t="n">
        <f aca="false">Indicators!G8</f>
        <v>0.797889702889703</v>
      </c>
      <c r="F25" s="18" t="str">
        <f aca="false">Indicators!I8</f>
        <v>Watch</v>
      </c>
      <c r="G25" s="16" t="n">
        <f aca="false">MAX(0,B25-D25)</f>
        <v>3629</v>
      </c>
    </row>
    <row r="26" customFormat="false" ht="15" hidden="false" customHeight="false" outlineLevel="0" collapsed="false">
      <c r="A26" s="15" t="str">
        <f aca="false">Indicators!B9</f>
        <v>Water quality tests completed</v>
      </c>
      <c r="B26" s="16" t="n">
        <f aca="false">Indicators!D9</f>
        <v>1500</v>
      </c>
      <c r="C26" s="16" t="n">
        <f aca="false">Indicators!E9</f>
        <v>1121.91780821918</v>
      </c>
      <c r="D26" s="16" t="n">
        <f aca="false">Indicators!F9</f>
        <v>1109</v>
      </c>
      <c r="E26" s="17" t="n">
        <f aca="false">Indicators!G9</f>
        <v>0.988485958485958</v>
      </c>
      <c r="F26" s="18" t="str">
        <f aca="false">Indicators!I9</f>
        <v>On track</v>
      </c>
      <c r="G26" s="16" t="n">
        <f aca="false">MAX(0,B26-D26)</f>
        <v>391</v>
      </c>
    </row>
    <row r="27" customFormat="false" ht="15" hidden="false" customHeight="false" outlineLevel="0" collapsed="false">
      <c r="A27" s="19" t="s">
        <v>45</v>
      </c>
      <c r="B27" s="20"/>
      <c r="C27" s="20"/>
      <c r="D27" s="20"/>
      <c r="E27" s="21" t="n">
        <f aca="false">AVERAGE(E19:E26)</f>
        <v>0.829906122812373</v>
      </c>
      <c r="F27" s="20"/>
      <c r="G27" s="20"/>
    </row>
    <row r="29" customFormat="false" ht="18" hidden="false" customHeight="true" outlineLevel="0" collapsed="false">
      <c r="A29" s="12" t="s">
        <v>46</v>
      </c>
      <c r="B29" s="6"/>
      <c r="C29" s="6"/>
      <c r="D29" s="6"/>
      <c r="E29" s="6"/>
      <c r="F29" s="6"/>
      <c r="G29" s="6"/>
      <c r="H29" s="6"/>
      <c r="I29" s="6"/>
      <c r="J29" s="6"/>
      <c r="K29" s="6"/>
      <c r="L29" s="6"/>
    </row>
    <row r="30" customFormat="false" ht="30" hidden="false" customHeight="true" outlineLevel="0" collapsed="false">
      <c r="A30" s="14" t="s">
        <v>47</v>
      </c>
      <c r="B30" s="14" t="s">
        <v>48</v>
      </c>
      <c r="C30" s="14" t="s">
        <v>49</v>
      </c>
      <c r="D30" s="14" t="s">
        <v>50</v>
      </c>
      <c r="E30" s="14" t="s">
        <v>51</v>
      </c>
      <c r="F30" s="14" t="s">
        <v>52</v>
      </c>
      <c r="G30" s="14" t="s">
        <v>53</v>
      </c>
      <c r="H30" s="14" t="s">
        <v>54</v>
      </c>
      <c r="I30" s="14" t="s">
        <v>55</v>
      </c>
      <c r="J30" s="14" t="s">
        <v>56</v>
      </c>
      <c r="K30" s="14" t="s">
        <v>57</v>
      </c>
      <c r="L30" s="14" t="s">
        <v>58</v>
      </c>
    </row>
    <row r="31" customFormat="false" ht="15" hidden="false" customHeight="false" outlineLevel="0" collapsed="false">
      <c r="A31" s="22" t="str">
        <f aca="false">County_Progress!A2</f>
        <v>Kisumu</v>
      </c>
      <c r="B31" s="23" t="n">
        <f aca="false">County_Progress!B2</f>
        <v>1.04140873015873</v>
      </c>
      <c r="C31" s="23" t="n">
        <f aca="false">County_Progress!C2</f>
        <v>0.501373626373626</v>
      </c>
      <c r="D31" s="23" t="n">
        <f aca="false">County_Progress!D2</f>
        <v>1.10450752950753</v>
      </c>
      <c r="E31" s="23" t="n">
        <f aca="false">County_Progress!E2</f>
        <v>1.26271876271876</v>
      </c>
      <c r="F31" s="23" t="n">
        <f aca="false">County_Progress!F2</f>
        <v>0.802197802197802</v>
      </c>
      <c r="G31" s="23" t="n">
        <f aca="false">County_Progress!G2</f>
        <v>1.18844118844119</v>
      </c>
      <c r="H31" s="23" t="n">
        <f aca="false">County_Progress!H2</f>
        <v>0.899501424501424</v>
      </c>
      <c r="I31" s="23" t="n">
        <f aca="false">County_Progress!I2</f>
        <v>1.2032967032967</v>
      </c>
      <c r="J31" s="23" t="n">
        <f aca="false">County_Progress!J2</f>
        <v>1.00043072089947</v>
      </c>
      <c r="K31" s="23" t="n">
        <f aca="false">County_Progress!N2</f>
        <v>0.691178571428571</v>
      </c>
      <c r="L31" s="18" t="str">
        <f aca="false">County_Progress!P2</f>
        <v>Aligned</v>
      </c>
    </row>
    <row r="32" customFormat="false" ht="15" hidden="false" customHeight="false" outlineLevel="0" collapsed="false">
      <c r="A32" s="22" t="str">
        <f aca="false">County_Progress!A3</f>
        <v>Siaya</v>
      </c>
      <c r="B32" s="23" t="n">
        <f aca="false">County_Progress!B3</f>
        <v>0.932629222629223</v>
      </c>
      <c r="C32" s="23" t="n">
        <f aca="false">County_Progress!C3</f>
        <v>1.03988603988604</v>
      </c>
      <c r="D32" s="23" t="n">
        <f aca="false">County_Progress!D3</f>
        <v>1.00621353954687</v>
      </c>
      <c r="E32" s="23" t="n">
        <f aca="false">County_Progress!E3</f>
        <v>1.08940442273776</v>
      </c>
      <c r="F32" s="23" t="n">
        <f aca="false">County_Progress!F3</f>
        <v>0.381998953427525</v>
      </c>
      <c r="G32" s="23" t="n">
        <f aca="false">County_Progress!G3</f>
        <v>1.43249607535322</v>
      </c>
      <c r="H32" s="23" t="n">
        <f aca="false">County_Progress!H3</f>
        <v>0.851716185049518</v>
      </c>
      <c r="I32" s="23" t="n">
        <f aca="false">County_Progress!I3</f>
        <v>1.08148148148148</v>
      </c>
      <c r="J32" s="23" t="n">
        <f aca="false">County_Progress!J3</f>
        <v>0.976978240013954</v>
      </c>
      <c r="K32" s="23" t="n">
        <f aca="false">County_Progress!N3</f>
        <v>0.66315</v>
      </c>
      <c r="L32" s="18" t="str">
        <f aca="false">County_Progress!P3</f>
        <v>Aligned</v>
      </c>
    </row>
    <row r="33" customFormat="false" ht="15" hidden="false" customHeight="false" outlineLevel="0" collapsed="false">
      <c r="A33" s="22" t="str">
        <f aca="false">County_Progress!A4</f>
        <v>Homa Bay</v>
      </c>
      <c r="B33" s="23" t="n">
        <f aca="false">County_Progress!B4</f>
        <v>0.716902387735721</v>
      </c>
      <c r="C33" s="23" t="n">
        <f aca="false">County_Progress!C4</f>
        <v>0.607725607725608</v>
      </c>
      <c r="D33" s="23" t="n">
        <f aca="false">County_Progress!D4</f>
        <v>0.797658617103062</v>
      </c>
      <c r="E33" s="23" t="n">
        <f aca="false">County_Progress!E4</f>
        <v>0.699351930121161</v>
      </c>
      <c r="F33" s="23" t="n">
        <f aca="false">County_Progress!F4</f>
        <v>0.148555148555149</v>
      </c>
      <c r="G33" s="23" t="n">
        <f aca="false">County_Progress!G4</f>
        <v>1.08630952380952</v>
      </c>
      <c r="H33" s="23" t="n">
        <f aca="false">County_Progress!H4</f>
        <v>0.671799394021616</v>
      </c>
      <c r="I33" s="23" t="n">
        <f aca="false">County_Progress!I4</f>
        <v>0.708112874779541</v>
      </c>
      <c r="J33" s="23" t="n">
        <f aca="false">County_Progress!J4</f>
        <v>0.679551935481423</v>
      </c>
      <c r="K33" s="23" t="n">
        <f aca="false">County_Progress!N4</f>
        <v>0.456625</v>
      </c>
      <c r="L33" s="18" t="str">
        <f aca="false">County_Progress!P4</f>
        <v>Aligned</v>
      </c>
    </row>
    <row r="34" customFormat="false" ht="15" hidden="false" customHeight="false" outlineLevel="0" collapsed="false">
      <c r="A34" s="22" t="str">
        <f aca="false">County_Progress!A5</f>
        <v>Migori</v>
      </c>
      <c r="B34" s="23" t="n">
        <f aca="false">County_Progress!B5</f>
        <v>0.928915343915344</v>
      </c>
      <c r="C34" s="23" t="n">
        <f aca="false">County_Progress!C5</f>
        <v>0.891330891330891</v>
      </c>
      <c r="D34" s="23" t="n">
        <f aca="false">County_Progress!D5</f>
        <v>0.897273097273097</v>
      </c>
      <c r="E34" s="23" t="n">
        <f aca="false">County_Progress!E5</f>
        <v>0.718016551349885</v>
      </c>
      <c r="F34" s="23" t="n">
        <f aca="false">County_Progress!F5</f>
        <v>0.572998430141287</v>
      </c>
      <c r="G34" s="23" t="n">
        <f aca="false">County_Progress!G5</f>
        <v>0.668498168498169</v>
      </c>
      <c r="H34" s="23" t="n">
        <f aca="false">County_Progress!H5</f>
        <v>0.816062949396283</v>
      </c>
      <c r="I34" s="23" t="n">
        <f aca="false">County_Progress!I5</f>
        <v>0.98046398046398</v>
      </c>
      <c r="J34" s="23" t="n">
        <f aca="false">County_Progress!J5</f>
        <v>0.809194926546117</v>
      </c>
      <c r="K34" s="23" t="n">
        <f aca="false">County_Progress!N5</f>
        <v>0.679</v>
      </c>
      <c r="L34" s="18" t="str">
        <f aca="false">County_Progress!P5</f>
        <v>Aligned</v>
      </c>
    </row>
    <row r="35" customFormat="false" ht="15" hidden="false" customHeight="false" outlineLevel="0" collapsed="false">
      <c r="A35" s="22" t="str">
        <f aca="false">County_Progress!A6</f>
        <v>Kakamega</v>
      </c>
      <c r="B35" s="23" t="n">
        <f aca="false">County_Progress!B6</f>
        <v>1.07300509947569</v>
      </c>
      <c r="C35" s="23" t="n">
        <f aca="false">County_Progress!C6</f>
        <v>0.802197802197802</v>
      </c>
      <c r="D35" s="23" t="n">
        <f aca="false">County_Progress!D6</f>
        <v>1.12552371375901</v>
      </c>
      <c r="E35" s="23" t="n">
        <f aca="false">County_Progress!E6</f>
        <v>1.31507836425869</v>
      </c>
      <c r="F35" s="23" t="n">
        <f aca="false">County_Progress!F6</f>
        <v>0.167124542124542</v>
      </c>
      <c r="G35" s="23" t="n">
        <f aca="false">County_Progress!G6</f>
        <v>0.623931623931624</v>
      </c>
      <c r="H35" s="23" t="n">
        <f aca="false">County_Progress!H6</f>
        <v>0.932402020637315</v>
      </c>
      <c r="I35" s="23" t="n">
        <f aca="false">County_Progress!I6</f>
        <v>1.15348703583998</v>
      </c>
      <c r="J35" s="23" t="n">
        <f aca="false">County_Progress!J6</f>
        <v>0.899093775278081</v>
      </c>
      <c r="K35" s="23" t="n">
        <f aca="false">County_Progress!N6</f>
        <v>0.720565217391304</v>
      </c>
      <c r="L35" s="18" t="str">
        <f aca="false">County_Progress!P6</f>
        <v>Aligned</v>
      </c>
    </row>
    <row r="36" customFormat="false" ht="15" hidden="false" customHeight="false" outlineLevel="0" collapsed="false">
      <c r="A36" s="22" t="str">
        <f aca="false">County_Progress!A7</f>
        <v>Bungoma</v>
      </c>
      <c r="B36" s="23" t="n">
        <f aca="false">County_Progress!B7</f>
        <v>0.675331705331705</v>
      </c>
      <c r="C36" s="23" t="n">
        <f aca="false">County_Progress!C7</f>
        <v>0.445665445665446</v>
      </c>
      <c r="D36" s="23" t="n">
        <f aca="false">County_Progress!D7</f>
        <v>0.686819970153303</v>
      </c>
      <c r="E36" s="23" t="n">
        <f aca="false">County_Progress!E7</f>
        <v>0.420906254239588</v>
      </c>
      <c r="F36" s="23" t="n">
        <f aca="false">County_Progress!F7</f>
        <v>0.190999476713762</v>
      </c>
      <c r="G36" s="23" t="n">
        <f aca="false">County_Progress!G7</f>
        <v>0.822766976613131</v>
      </c>
      <c r="H36" s="23" t="n">
        <f aca="false">County_Progress!H7</f>
        <v>0.589268755935423</v>
      </c>
      <c r="I36" s="23" t="n">
        <f aca="false">County_Progress!I7</f>
        <v>0.766544566544567</v>
      </c>
      <c r="J36" s="23" t="n">
        <f aca="false">County_Progress!J7</f>
        <v>0.574787893899616</v>
      </c>
      <c r="K36" s="23" t="n">
        <f aca="false">County_Progress!N7</f>
        <v>0.7219</v>
      </c>
      <c r="L36" s="18" t="str">
        <f aca="false">County_Progress!P7</f>
        <v>Spend &gt; delivery</v>
      </c>
    </row>
    <row r="37" customFormat="false" ht="15" hidden="false" customHeight="false" outlineLevel="0" collapsed="false">
      <c r="A37" s="19" t="s">
        <v>59</v>
      </c>
      <c r="B37" s="24" t="n">
        <f aca="false">Indicators!G2</f>
        <v>0.900266483516483</v>
      </c>
      <c r="C37" s="24" t="n">
        <f aca="false">Indicators!G3</f>
        <v>0.701923076923077</v>
      </c>
      <c r="D37" s="24" t="n">
        <f aca="false">Indicators!G4</f>
        <v>0.944365079365079</v>
      </c>
      <c r="E37" s="24" t="n">
        <f aca="false">Indicators!G5</f>
        <v>0.935897435897436</v>
      </c>
      <c r="F37" s="24" t="n">
        <f aca="false">Indicators!G6</f>
        <v>0.389957264957265</v>
      </c>
      <c r="G37" s="24" t="n">
        <f aca="false">Indicators!G7</f>
        <v>0.98046398046398</v>
      </c>
      <c r="H37" s="24" t="n">
        <f aca="false">Indicators!G8</f>
        <v>0.797889702889703</v>
      </c>
      <c r="I37" s="24" t="n">
        <f aca="false">Indicators!G9</f>
        <v>0.988485958485958</v>
      </c>
      <c r="J37" s="24" t="n">
        <f aca="false">AVERAGE(B37:I37)</f>
        <v>0.829906122812373</v>
      </c>
      <c r="K37" s="24" t="n">
        <f aca="false">D66/C66</f>
        <v>0.65327205882353</v>
      </c>
      <c r="L37" s="20"/>
    </row>
    <row r="38" customFormat="false" ht="36" hidden="false" customHeight="true" outlineLevel="0" collapsed="false">
      <c r="A38" s="25" t="s">
        <v>60</v>
      </c>
      <c r="B38" s="25"/>
      <c r="C38" s="25"/>
      <c r="D38" s="25"/>
      <c r="E38" s="25"/>
      <c r="F38" s="25"/>
      <c r="G38" s="25"/>
      <c r="H38" s="25"/>
      <c r="I38" s="25"/>
      <c r="J38" s="25"/>
      <c r="K38" s="25"/>
      <c r="L38" s="25"/>
    </row>
    <row r="39" customFormat="false" ht="18" hidden="false" customHeight="true" outlineLevel="0" collapsed="false">
      <c r="A39" s="12" t="s">
        <v>61</v>
      </c>
      <c r="B39" s="6"/>
      <c r="C39" s="6"/>
      <c r="D39" s="6"/>
      <c r="E39" s="6"/>
      <c r="F39" s="6"/>
      <c r="G39" s="6"/>
      <c r="H39" s="6"/>
      <c r="I39" s="6"/>
      <c r="J39" s="6"/>
      <c r="K39" s="6"/>
      <c r="L39" s="6"/>
    </row>
    <row r="40" customFormat="false" ht="30" hidden="false" customHeight="true" outlineLevel="0" collapsed="false">
      <c r="A40" s="14" t="s">
        <v>62</v>
      </c>
      <c r="B40" s="14" t="s">
        <v>63</v>
      </c>
      <c r="C40" s="14" t="s">
        <v>64</v>
      </c>
      <c r="D40" s="14" t="s">
        <v>65</v>
      </c>
      <c r="E40" s="14" t="s">
        <v>66</v>
      </c>
    </row>
    <row r="41" customFormat="false" ht="15" hidden="false" customHeight="false" outlineLevel="0" collapsed="false">
      <c r="A41" s="15" t="s">
        <v>67</v>
      </c>
      <c r="B41" s="17" t="n">
        <f aca="false">AVERAGEIFS(Survey_Data!$C$2:$C$19,Survey_Data!$B$2:$B$19,"OC1")</f>
        <v>0.285333333333333</v>
      </c>
      <c r="C41" s="17" t="n">
        <f aca="false">AVERAGEIFS(Survey_Data!$D$2:$D$19,Survey_Data!$B$2:$B$19,"OC1")</f>
        <v>0.430833333333333</v>
      </c>
      <c r="D41" s="17" t="n">
        <f aca="false">AVERAGEIFS(Survey_Data!$E$2:$E$19,Survey_Data!$B$2:$B$19,"OC1")</f>
        <v>0.6</v>
      </c>
      <c r="E41" s="17" t="n">
        <f aca="false">IFERROR((C41-B41)/(D41-B41),0)</f>
        <v>0.46239406779661</v>
      </c>
    </row>
    <row r="42" customFormat="false" ht="15" hidden="false" customHeight="false" outlineLevel="0" collapsed="false">
      <c r="A42" s="15" t="s">
        <v>68</v>
      </c>
      <c r="B42" s="17" t="n">
        <f aca="false">AVERAGEIFS(Survey_Data!$C$2:$C$19,Survey_Data!$B$2:$B$19,"OC2")</f>
        <v>0.216833333333333</v>
      </c>
      <c r="C42" s="17" t="n">
        <f aca="false">AVERAGEIFS(Survey_Data!$D$2:$D$19,Survey_Data!$B$2:$B$19,"OC2")</f>
        <v>0.381833333333333</v>
      </c>
      <c r="D42" s="17" t="n">
        <f aca="false">AVERAGEIFS(Survey_Data!$E$2:$E$19,Survey_Data!$B$2:$B$19,"OC2")</f>
        <v>0.55</v>
      </c>
      <c r="E42" s="17" t="n">
        <f aca="false">IFERROR((C42-B42)/(D42-B42),0)</f>
        <v>0.495247623811906</v>
      </c>
    </row>
    <row r="43" customFormat="false" ht="15" hidden="false" customHeight="false" outlineLevel="0" collapsed="false">
      <c r="A43" s="15" t="s">
        <v>69</v>
      </c>
      <c r="B43" s="17" t="n">
        <f aca="false">AVERAGEIFS(Survey_Data!$C$2:$C$19,Survey_Data!$B$2:$B$19,"OC3")</f>
        <v>0.607166666666667</v>
      </c>
      <c r="C43" s="17" t="n">
        <f aca="false">AVERAGEIFS(Survey_Data!$D$2:$D$19,Survey_Data!$B$2:$B$19,"OC3")</f>
        <v>0.719833333333333</v>
      </c>
      <c r="D43" s="17" t="n">
        <f aca="false">AVERAGEIFS(Survey_Data!$E$2:$E$19,Survey_Data!$B$2:$B$19,"OC3")</f>
        <v>0.85</v>
      </c>
      <c r="E43" s="17" t="n">
        <f aca="false">IFERROR((C43-B43)/(D43-B43),0)</f>
        <v>0.463967055593686</v>
      </c>
    </row>
    <row r="44" customFormat="false" ht="15" hidden="false" customHeight="false" outlineLevel="0" collapsed="false">
      <c r="A44" s="19" t="s">
        <v>56</v>
      </c>
      <c r="B44" s="20"/>
      <c r="C44" s="20"/>
      <c r="D44" s="20"/>
      <c r="E44" s="21" t="n">
        <f aca="false">AVERAGE(E41:E43)</f>
        <v>0.473869582400734</v>
      </c>
    </row>
    <row r="46" customFormat="false" ht="18" hidden="false" customHeight="true" outlineLevel="0" collapsed="false">
      <c r="A46" s="12" t="s">
        <v>70</v>
      </c>
      <c r="B46" s="6"/>
      <c r="C46" s="6"/>
      <c r="D46" s="6"/>
      <c r="E46" s="6"/>
      <c r="F46" s="6"/>
      <c r="G46" s="6"/>
      <c r="H46" s="6"/>
      <c r="I46" s="6"/>
      <c r="J46" s="6"/>
      <c r="K46" s="6"/>
      <c r="L46" s="6"/>
    </row>
    <row r="47" customFormat="false" ht="30" hidden="false" customHeight="true" outlineLevel="0" collapsed="false">
      <c r="A47" s="14" t="s">
        <v>71</v>
      </c>
      <c r="B47" s="14" t="s">
        <v>72</v>
      </c>
      <c r="C47" s="14" t="s">
        <v>73</v>
      </c>
      <c r="D47" s="14" t="s">
        <v>74</v>
      </c>
    </row>
    <row r="48" customFormat="false" ht="15" hidden="false" customHeight="false" outlineLevel="0" collapsed="false">
      <c r="A48" s="26" t="n">
        <f aca="false">DATE(2026,1,1)</f>
        <v>46023</v>
      </c>
      <c r="B48" s="16" t="n">
        <f aca="false">SUMIFS(Monthly_Results!$D$2:$D$433,Monthly_Results!$C$2:$C$433,"O1",Monthly_Results!$A$2:$A$433,A48)</f>
        <v>2472</v>
      </c>
      <c r="C48" s="16" t="n">
        <f aca="false">SUM($B$48:B48)</f>
        <v>2472</v>
      </c>
      <c r="D48" s="16" t="n">
        <f aca="false">Indicators!$D$2*1/12</f>
        <v>5000</v>
      </c>
    </row>
    <row r="49" customFormat="false" ht="15" hidden="false" customHeight="false" outlineLevel="0" collapsed="false">
      <c r="A49" s="26" t="n">
        <f aca="false">DATE(2026,2,1)</f>
        <v>46054</v>
      </c>
      <c r="B49" s="16" t="n">
        <f aca="false">SUMIFS(Monthly_Results!$D$2:$D$433,Monthly_Results!$C$2:$C$433,"O1",Monthly_Results!$A$2:$A$433,A49)</f>
        <v>3410</v>
      </c>
      <c r="C49" s="16" t="n">
        <f aca="false">SUM($B$48:B49)</f>
        <v>5882</v>
      </c>
      <c r="D49" s="16" t="n">
        <f aca="false">Indicators!$D$2*2/12</f>
        <v>10000</v>
      </c>
    </row>
    <row r="50" customFormat="false" ht="15" hidden="false" customHeight="false" outlineLevel="0" collapsed="false">
      <c r="A50" s="26" t="n">
        <f aca="false">DATE(2026,3,1)</f>
        <v>46082</v>
      </c>
      <c r="B50" s="16" t="n">
        <f aca="false">SUMIFS(Monthly_Results!$D$2:$D$433,Monthly_Results!$C$2:$C$433,"O1",Monthly_Results!$A$2:$A$433,A50)</f>
        <v>4101</v>
      </c>
      <c r="C50" s="16" t="n">
        <f aca="false">SUM($B$48:B50)</f>
        <v>9983</v>
      </c>
      <c r="D50" s="16" t="n">
        <f aca="false">Indicators!$D$2*3/12</f>
        <v>15000</v>
      </c>
    </row>
    <row r="51" customFormat="false" ht="15" hidden="false" customHeight="false" outlineLevel="0" collapsed="false">
      <c r="A51" s="26" t="n">
        <f aca="false">DATE(2026,4,1)</f>
        <v>46113</v>
      </c>
      <c r="B51" s="16" t="n">
        <f aca="false">SUMIFS(Monthly_Results!$D$2:$D$433,Monthly_Results!$C$2:$C$433,"O1",Monthly_Results!$A$2:$A$433,A51)</f>
        <v>4631</v>
      </c>
      <c r="C51" s="16" t="n">
        <f aca="false">SUM($B$48:B51)</f>
        <v>14614</v>
      </c>
      <c r="D51" s="16" t="n">
        <f aca="false">Indicators!$D$2*4/12</f>
        <v>20000</v>
      </c>
    </row>
    <row r="52" customFormat="false" ht="15" hidden="false" customHeight="false" outlineLevel="0" collapsed="false">
      <c r="A52" s="26" t="n">
        <f aca="false">DATE(2026,5,1)</f>
        <v>46143</v>
      </c>
      <c r="B52" s="16" t="n">
        <f aca="false">SUMIFS(Monthly_Results!$D$2:$D$433,Monthly_Results!$C$2:$C$433,"O1",Monthly_Results!$A$2:$A$433,A52)</f>
        <v>4832</v>
      </c>
      <c r="C52" s="16" t="n">
        <f aca="false">SUM($B$48:B52)</f>
        <v>19446</v>
      </c>
      <c r="D52" s="16" t="n">
        <f aca="false">Indicators!$D$2*5/12</f>
        <v>25000</v>
      </c>
    </row>
    <row r="53" customFormat="false" ht="15" hidden="false" customHeight="false" outlineLevel="0" collapsed="false">
      <c r="A53" s="26" t="n">
        <f aca="false">DATE(2026,6,1)</f>
        <v>46174</v>
      </c>
      <c r="B53" s="16" t="n">
        <f aca="false">SUMIFS(Monthly_Results!$D$2:$D$433,Monthly_Results!$C$2:$C$433,"O1",Monthly_Results!$A$2:$A$433,A53)</f>
        <v>5180</v>
      </c>
      <c r="C53" s="16" t="n">
        <f aca="false">SUM($B$48:B53)</f>
        <v>24626</v>
      </c>
      <c r="D53" s="16" t="n">
        <f aca="false">Indicators!$D$2*6/12</f>
        <v>30000</v>
      </c>
    </row>
    <row r="54" customFormat="false" ht="15" hidden="false" customHeight="false" outlineLevel="0" collapsed="false">
      <c r="A54" s="26" t="n">
        <f aca="false">DATE(2026,7,1)</f>
        <v>46204</v>
      </c>
      <c r="B54" s="16" t="n">
        <f aca="false">SUMIFS(Monthly_Results!$D$2:$D$433,Monthly_Results!$C$2:$C$433,"O1",Monthly_Results!$A$2:$A$433,A54)</f>
        <v>5006</v>
      </c>
      <c r="C54" s="16" t="n">
        <f aca="false">SUM($B$48:B54)</f>
        <v>29632</v>
      </c>
      <c r="D54" s="16" t="n">
        <f aca="false">Indicators!$D$2*7/12</f>
        <v>35000</v>
      </c>
    </row>
    <row r="55" customFormat="false" ht="15" hidden="false" customHeight="false" outlineLevel="0" collapsed="false">
      <c r="A55" s="26" t="n">
        <f aca="false">DATE(2026,8,1)</f>
        <v>46235</v>
      </c>
      <c r="B55" s="16" t="n">
        <f aca="false">SUMIFS(Monthly_Results!$D$2:$D$433,Monthly_Results!$C$2:$C$433,"O1",Monthly_Results!$A$2:$A$433,A55)</f>
        <v>5363</v>
      </c>
      <c r="C55" s="16" t="n">
        <f aca="false">SUM($B$48:B55)</f>
        <v>34995</v>
      </c>
      <c r="D55" s="16" t="n">
        <f aca="false">Indicators!$D$2*8/12</f>
        <v>40000</v>
      </c>
    </row>
    <row r="56" customFormat="false" ht="15" hidden="false" customHeight="false" outlineLevel="0" collapsed="false">
      <c r="A56" s="26" t="n">
        <f aca="false">DATE(2026,9,1)</f>
        <v>46266</v>
      </c>
      <c r="B56" s="16" t="n">
        <f aca="false">SUMIFS(Monthly_Results!$D$2:$D$433,Monthly_Results!$C$2:$C$433,"O1",Monthly_Results!$A$2:$A$433,A56)</f>
        <v>5406</v>
      </c>
      <c r="C56" s="16" t="n">
        <f aca="false">SUM($B$48:B56)</f>
        <v>40401</v>
      </c>
      <c r="D56" s="16" t="n">
        <f aca="false">Indicators!$D$2*9/12</f>
        <v>45000</v>
      </c>
    </row>
    <row r="58" customFormat="false" ht="18" hidden="false" customHeight="true" outlineLevel="0" collapsed="false">
      <c r="A58" s="12" t="s">
        <v>75</v>
      </c>
      <c r="B58" s="6"/>
      <c r="C58" s="6"/>
      <c r="D58" s="6"/>
      <c r="E58" s="6"/>
      <c r="F58" s="6"/>
      <c r="G58" s="6"/>
      <c r="H58" s="6"/>
      <c r="I58" s="6"/>
      <c r="J58" s="6"/>
      <c r="K58" s="6"/>
      <c r="L58" s="6"/>
    </row>
    <row r="59" customFormat="false" ht="30" hidden="false" customHeight="true" outlineLevel="0" collapsed="false">
      <c r="A59" s="14" t="s">
        <v>47</v>
      </c>
      <c r="B59" s="14" t="s">
        <v>76</v>
      </c>
      <c r="C59" s="14" t="s">
        <v>77</v>
      </c>
      <c r="D59" s="14" t="s">
        <v>78</v>
      </c>
      <c r="E59" s="14" t="s">
        <v>57</v>
      </c>
      <c r="F59" s="14" t="s">
        <v>79</v>
      </c>
    </row>
    <row r="60" customFormat="false" ht="15" hidden="false" customHeight="false" outlineLevel="0" collapsed="false">
      <c r="A60" s="22" t="str">
        <f aca="false">County_Progress!A2</f>
        <v>Kisumu</v>
      </c>
      <c r="B60" s="17" t="n">
        <f aca="false">Assumptions!$B$7</f>
        <v>0.747945205479452</v>
      </c>
      <c r="C60" s="16" t="n">
        <f aca="false">County_Progress!L2</f>
        <v>28000000</v>
      </c>
      <c r="D60" s="16" t="n">
        <f aca="false">County_Progress!M2</f>
        <v>19353000</v>
      </c>
      <c r="E60" s="17" t="n">
        <f aca="false">County_Progress!N2</f>
        <v>0.691178571428571</v>
      </c>
      <c r="F60" s="17" t="n">
        <f aca="false">County_Progress!J2</f>
        <v>1.00043072089947</v>
      </c>
    </row>
    <row r="61" customFormat="false" ht="15" hidden="false" customHeight="false" outlineLevel="0" collapsed="false">
      <c r="A61" s="22" t="str">
        <f aca="false">County_Progress!A3</f>
        <v>Siaya</v>
      </c>
      <c r="B61" s="17" t="n">
        <f aca="false">Assumptions!$B$7</f>
        <v>0.747945205479452</v>
      </c>
      <c r="C61" s="16" t="n">
        <f aca="false">County_Progress!L3</f>
        <v>20000000</v>
      </c>
      <c r="D61" s="16" t="n">
        <f aca="false">County_Progress!M3</f>
        <v>13263000</v>
      </c>
      <c r="E61" s="17" t="n">
        <f aca="false">County_Progress!N3</f>
        <v>0.66315</v>
      </c>
      <c r="F61" s="17" t="n">
        <f aca="false">County_Progress!J3</f>
        <v>0.976978240013954</v>
      </c>
    </row>
    <row r="62" customFormat="false" ht="15" hidden="false" customHeight="false" outlineLevel="0" collapsed="false">
      <c r="A62" s="22" t="str">
        <f aca="false">County_Progress!A4</f>
        <v>Homa Bay</v>
      </c>
      <c r="B62" s="17" t="n">
        <f aca="false">Assumptions!$B$7</f>
        <v>0.747945205479452</v>
      </c>
      <c r="C62" s="16" t="n">
        <f aca="false">County_Progress!L4</f>
        <v>24000000</v>
      </c>
      <c r="D62" s="16" t="n">
        <f aca="false">County_Progress!M4</f>
        <v>10959000</v>
      </c>
      <c r="E62" s="17" t="n">
        <f aca="false">County_Progress!N4</f>
        <v>0.456625</v>
      </c>
      <c r="F62" s="17" t="n">
        <f aca="false">County_Progress!J4</f>
        <v>0.679551935481423</v>
      </c>
    </row>
    <row r="63" customFormat="false" ht="15" hidden="false" customHeight="false" outlineLevel="0" collapsed="false">
      <c r="A63" s="22" t="str">
        <f aca="false">County_Progress!A5</f>
        <v>Migori</v>
      </c>
      <c r="B63" s="17" t="n">
        <f aca="false">Assumptions!$B$7</f>
        <v>0.747945205479452</v>
      </c>
      <c r="C63" s="16" t="n">
        <f aca="false">County_Progress!L5</f>
        <v>21000000</v>
      </c>
      <c r="D63" s="16" t="n">
        <f aca="false">County_Progress!M5</f>
        <v>14259000</v>
      </c>
      <c r="E63" s="17" t="n">
        <f aca="false">County_Progress!N5</f>
        <v>0.679</v>
      </c>
      <c r="F63" s="17" t="n">
        <f aca="false">County_Progress!J5</f>
        <v>0.809194926546117</v>
      </c>
    </row>
    <row r="64" customFormat="false" ht="15" hidden="false" customHeight="false" outlineLevel="0" collapsed="false">
      <c r="A64" s="22" t="str">
        <f aca="false">County_Progress!A6</f>
        <v>Kakamega</v>
      </c>
      <c r="B64" s="17" t="n">
        <f aca="false">Assumptions!$B$7</f>
        <v>0.747945205479452</v>
      </c>
      <c r="C64" s="16" t="n">
        <f aca="false">County_Progress!L6</f>
        <v>23000000</v>
      </c>
      <c r="D64" s="16" t="n">
        <f aca="false">County_Progress!M6</f>
        <v>16573000</v>
      </c>
      <c r="E64" s="17" t="n">
        <f aca="false">County_Progress!N6</f>
        <v>0.720565217391304</v>
      </c>
      <c r="F64" s="17" t="n">
        <f aca="false">County_Progress!J6</f>
        <v>0.899093775278081</v>
      </c>
    </row>
    <row r="65" customFormat="false" ht="15" hidden="false" customHeight="false" outlineLevel="0" collapsed="false">
      <c r="A65" s="22" t="str">
        <f aca="false">County_Progress!A7</f>
        <v>Bungoma</v>
      </c>
      <c r="B65" s="17" t="n">
        <f aca="false">Assumptions!$B$7</f>
        <v>0.747945205479452</v>
      </c>
      <c r="C65" s="16" t="n">
        <f aca="false">County_Progress!L7</f>
        <v>20000000</v>
      </c>
      <c r="D65" s="16" t="n">
        <f aca="false">County_Progress!M7</f>
        <v>14438000</v>
      </c>
      <c r="E65" s="17" t="n">
        <f aca="false">County_Progress!N7</f>
        <v>0.7219</v>
      </c>
      <c r="F65" s="17" t="n">
        <f aca="false">County_Progress!J7</f>
        <v>0.574787893899616</v>
      </c>
    </row>
    <row r="66" customFormat="false" ht="15" hidden="false" customHeight="false" outlineLevel="0" collapsed="false">
      <c r="A66" s="19" t="s">
        <v>59</v>
      </c>
      <c r="B66" s="21" t="n">
        <f aca="false">Assumptions!$B$7</f>
        <v>0.747945205479452</v>
      </c>
      <c r="C66" s="27" t="n">
        <f aca="false">SUM(C60:C65)</f>
        <v>136000000</v>
      </c>
      <c r="D66" s="27" t="n">
        <f aca="false">SUM(D60:D65)</f>
        <v>88845000</v>
      </c>
      <c r="E66" s="21" t="n">
        <f aca="false">IFERROR(D66/C66,0)</f>
        <v>0.65327205882353</v>
      </c>
      <c r="F66" s="21" t="n">
        <f aca="false">E27</f>
        <v>0.829906122812373</v>
      </c>
    </row>
    <row r="67" customFormat="false" ht="15" hidden="false" customHeight="false" outlineLevel="0" collapsed="false">
      <c r="A67" s="28" t="s">
        <v>80</v>
      </c>
      <c r="B67" s="28"/>
      <c r="C67" s="28"/>
      <c r="D67" s="28"/>
      <c r="E67" s="28"/>
      <c r="F67" s="28"/>
      <c r="G67" s="28"/>
      <c r="H67" s="28"/>
      <c r="I67" s="28"/>
      <c r="J67" s="28"/>
      <c r="K67" s="28"/>
      <c r="L67" s="28"/>
    </row>
  </sheetData>
  <mergeCells count="21">
    <mergeCell ref="A4:B4"/>
    <mergeCell ref="C4:D4"/>
    <mergeCell ref="E4:F4"/>
    <mergeCell ref="G4:H4"/>
    <mergeCell ref="I4:J4"/>
    <mergeCell ref="K4:L4"/>
    <mergeCell ref="A5:B5"/>
    <mergeCell ref="C5:D5"/>
    <mergeCell ref="E5:F5"/>
    <mergeCell ref="G5:H5"/>
    <mergeCell ref="I5:J5"/>
    <mergeCell ref="K5:L5"/>
    <mergeCell ref="A8:L8"/>
    <mergeCell ref="A9:L9"/>
    <mergeCell ref="A10:L10"/>
    <mergeCell ref="A11:L11"/>
    <mergeCell ref="A12:L12"/>
    <mergeCell ref="A13:L13"/>
    <mergeCell ref="A14:L14"/>
    <mergeCell ref="A38:L38"/>
    <mergeCell ref="A67:L67"/>
  </mergeCells>
  <conditionalFormatting sqref="F19:F26">
    <cfRule type="expression" priority="2" aboveAverage="0" equalAverage="0" bottom="0" percent="0" rank="0" text="" dxfId="0">
      <formula>F19="On track"</formula>
    </cfRule>
    <cfRule type="expression" priority="3" aboveAverage="0" equalAverage="0" bottom="0" percent="0" rank="0" text="" dxfId="1">
      <formula>F19="Watch"</formula>
    </cfRule>
    <cfRule type="expression" priority="4" aboveAverage="0" equalAverage="0" bottom="0" percent="0" rank="0" text="" dxfId="2">
      <formula>F19="Off track"</formula>
    </cfRule>
  </conditionalFormatting>
  <conditionalFormatting sqref="E19:E26">
    <cfRule type="expression" priority="5" aboveAverage="0" equalAverage="0" bottom="0" percent="0" rank="0" text="" dxfId="0">
      <formula>E19&gt;=Assumptions!$B$8</formula>
    </cfRule>
    <cfRule type="expression" priority="6" aboveAverage="0" equalAverage="0" bottom="0" percent="0" rank="0" text="" dxfId="1">
      <formula>AND(E19&lt;Assumptions!$B$8,E19&gt;=Assumptions!$B$9)</formula>
    </cfRule>
    <cfRule type="expression" priority="7" aboveAverage="0" equalAverage="0" bottom="0" percent="0" rank="0" text="" dxfId="2">
      <formula>E19&lt;Assumptions!$B$9</formula>
    </cfRule>
  </conditionalFormatting>
  <conditionalFormatting sqref="B31:J37">
    <cfRule type="expression" priority="8" aboveAverage="0" equalAverage="0" bottom="0" percent="0" rank="0" text="" dxfId="0">
      <formula>B31&gt;=Assumptions!$B$8</formula>
    </cfRule>
    <cfRule type="expression" priority="9" aboveAverage="0" equalAverage="0" bottom="0" percent="0" rank="0" text="" dxfId="1">
      <formula>AND(B31&lt;Assumptions!$B$8,B31&gt;=Assumptions!$B$9)</formula>
    </cfRule>
    <cfRule type="expression" priority="10" aboveAverage="0" equalAverage="0" bottom="0" percent="0" rank="0" text="" dxfId="2">
      <formula>B31&lt;Assumptions!$B$9</formula>
    </cfRule>
  </conditionalFormatting>
  <printOptions headings="false" gridLines="false" gridLinesSet="true" horizontalCentered="false" verticalCentered="false"/>
  <pageMargins left="0.3" right="0.3"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90"/>
  </cols>
  <sheetData>
    <row r="1" customFormat="false" ht="19.7" hidden="false" customHeight="false" outlineLevel="0" collapsed="false">
      <c r="A1" s="1" t="s">
        <v>81</v>
      </c>
    </row>
    <row r="2" customFormat="false" ht="15" hidden="false" customHeight="false" outlineLevel="0" collapsed="false">
      <c r="A2" s="7" t="s">
        <v>82</v>
      </c>
    </row>
    <row r="3" customFormat="false" ht="15" hidden="false" customHeight="false" outlineLevel="0" collapsed="false">
      <c r="A3" s="14" t="s">
        <v>83</v>
      </c>
      <c r="B3" s="14" t="s">
        <v>84</v>
      </c>
      <c r="C3" s="14" t="s">
        <v>85</v>
      </c>
    </row>
    <row r="4" customFormat="false" ht="15" hidden="false" customHeight="false" outlineLevel="0" collapsed="false">
      <c r="A4" s="22" t="s">
        <v>86</v>
      </c>
      <c r="B4" s="29" t="n">
        <v>46295</v>
      </c>
      <c r="C4" s="30" t="s">
        <v>87</v>
      </c>
    </row>
    <row r="5" customFormat="false" ht="15" hidden="false" customHeight="false" outlineLevel="0" collapsed="false">
      <c r="A5" s="22" t="s">
        <v>88</v>
      </c>
      <c r="B5" s="29" t="n">
        <v>46023</v>
      </c>
      <c r="C5" s="30" t="s">
        <v>89</v>
      </c>
    </row>
    <row r="6" customFormat="false" ht="15" hidden="false" customHeight="false" outlineLevel="0" collapsed="false">
      <c r="A6" s="22" t="s">
        <v>90</v>
      </c>
      <c r="B6" s="29" t="n">
        <v>46387</v>
      </c>
      <c r="C6" s="30" t="s">
        <v>91</v>
      </c>
    </row>
    <row r="7" customFormat="false" ht="15" hidden="false" customHeight="false" outlineLevel="0" collapsed="false">
      <c r="A7" s="22" t="s">
        <v>92</v>
      </c>
      <c r="B7" s="31" t="n">
        <f aca="false">(B4-B5+1)/(B6-B5+1)</f>
        <v>0.747945205479452</v>
      </c>
      <c r="C7" s="30" t="s">
        <v>93</v>
      </c>
    </row>
    <row r="8" customFormat="false" ht="15" hidden="false" customHeight="false" outlineLevel="0" collapsed="false">
      <c r="A8" s="22" t="s">
        <v>94</v>
      </c>
      <c r="B8" s="32" t="n">
        <v>0.9</v>
      </c>
      <c r="C8" s="30" t="s">
        <v>95</v>
      </c>
    </row>
    <row r="9" customFormat="false" ht="15" hidden="false" customHeight="false" outlineLevel="0" collapsed="false">
      <c r="A9" s="22" t="s">
        <v>96</v>
      </c>
      <c r="B9" s="32" t="n">
        <v>0.7</v>
      </c>
      <c r="C9" s="30" t="s">
        <v>97</v>
      </c>
    </row>
    <row r="10" customFormat="false" ht="15" hidden="false" customHeight="false" outlineLevel="0" collapsed="false">
      <c r="A10" s="22" t="s">
        <v>98</v>
      </c>
      <c r="B10" s="32" t="n">
        <v>0.15</v>
      </c>
      <c r="C10" s="30"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8" min="3" style="0" width="14"/>
    <col collapsed="false" customWidth="true" hidden="false" outlineLevel="0" max="10" min="9" style="0" width="12"/>
  </cols>
  <sheetData>
    <row r="1" customFormat="false" ht="27.75" hidden="false" customHeight="true" outlineLevel="0" collapsed="false">
      <c r="A1" s="33" t="s">
        <v>100</v>
      </c>
      <c r="B1" s="33" t="s">
        <v>38</v>
      </c>
      <c r="C1" s="33" t="s">
        <v>101</v>
      </c>
      <c r="D1" s="33" t="s">
        <v>39</v>
      </c>
      <c r="E1" s="33" t="s">
        <v>40</v>
      </c>
      <c r="F1" s="33" t="s">
        <v>41</v>
      </c>
      <c r="G1" s="33" t="s">
        <v>42</v>
      </c>
      <c r="H1" s="33" t="s">
        <v>102</v>
      </c>
      <c r="I1" s="33" t="s">
        <v>43</v>
      </c>
      <c r="J1" s="33" t="s">
        <v>103</v>
      </c>
    </row>
    <row r="2" customFormat="false" ht="15" hidden="false" customHeight="false" outlineLevel="0" collapsed="false">
      <c r="A2" s="34" t="s">
        <v>48</v>
      </c>
      <c r="B2" s="34" t="s">
        <v>104</v>
      </c>
      <c r="C2" s="34" t="s">
        <v>105</v>
      </c>
      <c r="D2" s="35" t="n">
        <f aca="false">SUMIFS(County_Targets!$C$2:$C$49,County_Targets!$A$2:$A$49,A2)</f>
        <v>60000</v>
      </c>
      <c r="E2" s="35" t="n">
        <f aca="false">D2*Assumptions!$B$7</f>
        <v>44876.7123287671</v>
      </c>
      <c r="F2" s="35" t="n">
        <f aca="false">SUMIFS(Monthly_Results!$D$2:$D$433,Monthly_Results!$C$2:$C$433,A2,Monthly_Results!$A$2:$A$433,"&lt;="&amp;Assumptions!$B$4)</f>
        <v>40401</v>
      </c>
      <c r="G2" s="36" t="n">
        <f aca="false">IFERROR(F2/E2,0)</f>
        <v>0.900266483516483</v>
      </c>
      <c r="H2" s="36" t="n">
        <f aca="false">IFERROR(F2/D2,0)</f>
        <v>0.67335</v>
      </c>
      <c r="I2" s="34" t="str">
        <f aca="false">IF(G2&gt;=Assumptions!$B$8,"On track",IF(G2&gt;=Assumptions!$B$9,"Watch","Off track"))</f>
        <v>On track</v>
      </c>
      <c r="J2" s="35" t="n">
        <f aca="false">F2-E2</f>
        <v>-4475.71232876713</v>
      </c>
    </row>
    <row r="3" customFormat="false" ht="15" hidden="false" customHeight="false" outlineLevel="0" collapsed="false">
      <c r="A3" s="34" t="s">
        <v>49</v>
      </c>
      <c r="B3" s="34" t="s">
        <v>106</v>
      </c>
      <c r="C3" s="34" t="s">
        <v>107</v>
      </c>
      <c r="D3" s="35" t="n">
        <f aca="false">SUMIFS(County_Targets!$C$2:$C$49,County_Targets!$A$2:$A$49,A3)</f>
        <v>120</v>
      </c>
      <c r="E3" s="35" t="n">
        <f aca="false">D3*Assumptions!$B$7</f>
        <v>89.7534246575343</v>
      </c>
      <c r="F3" s="35" t="n">
        <f aca="false">SUMIFS(Monthly_Results!$D$2:$D$433,Monthly_Results!$C$2:$C$433,A3,Monthly_Results!$A$2:$A$433,"&lt;="&amp;Assumptions!$B$4)</f>
        <v>63</v>
      </c>
      <c r="G3" s="36" t="n">
        <f aca="false">IFERROR(F3/E3,0)</f>
        <v>0.701923076923077</v>
      </c>
      <c r="H3" s="36" t="n">
        <f aca="false">IFERROR(F3/D3,0)</f>
        <v>0.525</v>
      </c>
      <c r="I3" s="34" t="str">
        <f aca="false">IF(G3&gt;=Assumptions!$B$8,"On track",IF(G3&gt;=Assumptions!$B$9,"Watch","Off track"))</f>
        <v>Watch</v>
      </c>
      <c r="J3" s="35" t="n">
        <f aca="false">F3-E3</f>
        <v>-26.7534246575343</v>
      </c>
    </row>
    <row r="4" customFormat="false" ht="15" hidden="false" customHeight="false" outlineLevel="0" collapsed="false">
      <c r="A4" s="34" t="s">
        <v>50</v>
      </c>
      <c r="B4" s="34" t="s">
        <v>108</v>
      </c>
      <c r="C4" s="34" t="s">
        <v>109</v>
      </c>
      <c r="D4" s="35" t="n">
        <f aca="false">SUMIFS(County_Targets!$C$2:$C$49,County_Targets!$A$2:$A$49,A4)</f>
        <v>18000</v>
      </c>
      <c r="E4" s="35" t="n">
        <f aca="false">D4*Assumptions!$B$7</f>
        <v>13463.0136986301</v>
      </c>
      <c r="F4" s="35" t="n">
        <f aca="false">SUMIFS(Monthly_Results!$D$2:$D$433,Monthly_Results!$C$2:$C$433,A4,Monthly_Results!$A$2:$A$433,"&lt;="&amp;Assumptions!$B$4)</f>
        <v>12714</v>
      </c>
      <c r="G4" s="36" t="n">
        <f aca="false">IFERROR(F4/E4,0)</f>
        <v>0.944365079365079</v>
      </c>
      <c r="H4" s="36" t="n">
        <f aca="false">IFERROR(F4/D4,0)</f>
        <v>0.706333333333333</v>
      </c>
      <c r="I4" s="34" t="str">
        <f aca="false">IF(G4&gt;=Assumptions!$B$8,"On track",IF(G4&gt;=Assumptions!$B$9,"Watch","Off track"))</f>
        <v>On track</v>
      </c>
      <c r="J4" s="35" t="n">
        <f aca="false">F4-E4</f>
        <v>-749.013698630137</v>
      </c>
    </row>
    <row r="5" customFormat="false" ht="15" hidden="false" customHeight="false" outlineLevel="0" collapsed="false">
      <c r="A5" s="34" t="s">
        <v>51</v>
      </c>
      <c r="B5" s="34" t="s">
        <v>110</v>
      </c>
      <c r="C5" s="34" t="s">
        <v>111</v>
      </c>
      <c r="D5" s="35" t="n">
        <f aca="false">SUMIFS(County_Targets!$C$2:$C$49,County_Targets!$A$2:$A$49,A5)</f>
        <v>360</v>
      </c>
      <c r="E5" s="35" t="n">
        <f aca="false">D5*Assumptions!$B$7</f>
        <v>269.260273972603</v>
      </c>
      <c r="F5" s="35" t="n">
        <f aca="false">SUMIFS(Monthly_Results!$D$2:$D$433,Monthly_Results!$C$2:$C$433,A5,Monthly_Results!$A$2:$A$433,"&lt;="&amp;Assumptions!$B$4)</f>
        <v>252</v>
      </c>
      <c r="G5" s="36" t="n">
        <f aca="false">IFERROR(F5/E5,0)</f>
        <v>0.935897435897436</v>
      </c>
      <c r="H5" s="36" t="n">
        <f aca="false">IFERROR(F5/D5,0)</f>
        <v>0.7</v>
      </c>
      <c r="I5" s="34" t="str">
        <f aca="false">IF(G5&gt;=Assumptions!$B$8,"On track",IF(G5&gt;=Assumptions!$B$9,"Watch","Off track"))</f>
        <v>On track</v>
      </c>
      <c r="J5" s="35" t="n">
        <f aca="false">F5-E5</f>
        <v>-17.2602739726028</v>
      </c>
    </row>
    <row r="6" customFormat="false" ht="15" hidden="false" customHeight="false" outlineLevel="0" collapsed="false">
      <c r="A6" s="34" t="s">
        <v>52</v>
      </c>
      <c r="B6" s="34" t="s">
        <v>112</v>
      </c>
      <c r="C6" s="34" t="s">
        <v>113</v>
      </c>
      <c r="D6" s="35" t="n">
        <f aca="false">SUMIFS(County_Targets!$C$2:$C$49,County_Targets!$A$2:$A$49,A6)</f>
        <v>48</v>
      </c>
      <c r="E6" s="35" t="n">
        <f aca="false">D6*Assumptions!$B$7</f>
        <v>35.9013698630137</v>
      </c>
      <c r="F6" s="35" t="n">
        <f aca="false">SUMIFS(Monthly_Results!$D$2:$D$433,Monthly_Results!$C$2:$C$433,A6,Monthly_Results!$A$2:$A$433,"&lt;="&amp;Assumptions!$B$4)</f>
        <v>14</v>
      </c>
      <c r="G6" s="36" t="n">
        <f aca="false">IFERROR(F6/E6,0)</f>
        <v>0.389957264957265</v>
      </c>
      <c r="H6" s="36" t="n">
        <f aca="false">IFERROR(F6/D6,0)</f>
        <v>0.291666666666667</v>
      </c>
      <c r="I6" s="34" t="str">
        <f aca="false">IF(G6&gt;=Assumptions!$B$8,"On track",IF(G6&gt;=Assumptions!$B$9,"Watch","Off track"))</f>
        <v>Off track</v>
      </c>
      <c r="J6" s="35" t="n">
        <f aca="false">F6-E6</f>
        <v>-21.9013698630137</v>
      </c>
    </row>
    <row r="7" customFormat="false" ht="15" hidden="false" customHeight="false" outlineLevel="0" collapsed="false">
      <c r="A7" s="34" t="s">
        <v>53</v>
      </c>
      <c r="B7" s="34" t="s">
        <v>114</v>
      </c>
      <c r="C7" s="34" t="s">
        <v>115</v>
      </c>
      <c r="D7" s="35" t="n">
        <f aca="false">SUMIFS(County_Targets!$C$2:$C$49,County_Targets!$A$2:$A$49,A7)</f>
        <v>90</v>
      </c>
      <c r="E7" s="35" t="n">
        <f aca="false">D7*Assumptions!$B$7</f>
        <v>67.3150684931507</v>
      </c>
      <c r="F7" s="35" t="n">
        <f aca="false">SUMIFS(Monthly_Results!$D$2:$D$433,Monthly_Results!$C$2:$C$433,A7,Monthly_Results!$A$2:$A$433,"&lt;="&amp;Assumptions!$B$4)</f>
        <v>66</v>
      </c>
      <c r="G7" s="36" t="n">
        <f aca="false">IFERROR(F7/E7,0)</f>
        <v>0.98046398046398</v>
      </c>
      <c r="H7" s="36" t="n">
        <f aca="false">IFERROR(F7/D7,0)</f>
        <v>0.733333333333333</v>
      </c>
      <c r="I7" s="34" t="str">
        <f aca="false">IF(G7&gt;=Assumptions!$B$8,"On track",IF(G7&gt;=Assumptions!$B$9,"Watch","Off track"))</f>
        <v>On track</v>
      </c>
      <c r="J7" s="35" t="n">
        <f aca="false">F7-E7</f>
        <v>-1.31506849315069</v>
      </c>
    </row>
    <row r="8" customFormat="false" ht="15" hidden="false" customHeight="false" outlineLevel="0" collapsed="false">
      <c r="A8" s="34" t="s">
        <v>54</v>
      </c>
      <c r="B8" s="34" t="s">
        <v>116</v>
      </c>
      <c r="C8" s="34" t="s">
        <v>109</v>
      </c>
      <c r="D8" s="35" t="n">
        <f aca="false">SUMIFS(County_Targets!$C$2:$C$49,County_Targets!$A$2:$A$49,A8)</f>
        <v>9000</v>
      </c>
      <c r="E8" s="35" t="n">
        <f aca="false">D8*Assumptions!$B$7</f>
        <v>6731.50684931507</v>
      </c>
      <c r="F8" s="35" t="n">
        <f aca="false">SUMIFS(Monthly_Results!$D$2:$D$433,Monthly_Results!$C$2:$C$433,A8,Monthly_Results!$A$2:$A$433,"&lt;="&amp;Assumptions!$B$4)</f>
        <v>5371</v>
      </c>
      <c r="G8" s="36" t="n">
        <f aca="false">IFERROR(F8/E8,0)</f>
        <v>0.797889702889703</v>
      </c>
      <c r="H8" s="36" t="n">
        <f aca="false">IFERROR(F8/D8,0)</f>
        <v>0.596777777777778</v>
      </c>
      <c r="I8" s="34" t="str">
        <f aca="false">IF(G8&gt;=Assumptions!$B$8,"On track",IF(G8&gt;=Assumptions!$B$9,"Watch","Off track"))</f>
        <v>Watch</v>
      </c>
      <c r="J8" s="35" t="n">
        <f aca="false">F8-E8</f>
        <v>-1360.50684931507</v>
      </c>
    </row>
    <row r="9" customFormat="false" ht="15" hidden="false" customHeight="false" outlineLevel="0" collapsed="false">
      <c r="A9" s="34" t="s">
        <v>55</v>
      </c>
      <c r="B9" s="34" t="s">
        <v>117</v>
      </c>
      <c r="C9" s="34" t="s">
        <v>118</v>
      </c>
      <c r="D9" s="35" t="n">
        <f aca="false">SUMIFS(County_Targets!$C$2:$C$49,County_Targets!$A$2:$A$49,A9)</f>
        <v>1500</v>
      </c>
      <c r="E9" s="35" t="n">
        <f aca="false">D9*Assumptions!$B$7</f>
        <v>1121.91780821918</v>
      </c>
      <c r="F9" s="35" t="n">
        <f aca="false">SUMIFS(Monthly_Results!$D$2:$D$433,Monthly_Results!$C$2:$C$433,A9,Monthly_Results!$A$2:$A$433,"&lt;="&amp;Assumptions!$B$4)</f>
        <v>1109</v>
      </c>
      <c r="G9" s="36" t="n">
        <f aca="false">IFERROR(F9/E9,0)</f>
        <v>0.988485958485958</v>
      </c>
      <c r="H9" s="36" t="n">
        <f aca="false">IFERROR(F9/D9,0)</f>
        <v>0.739333333333333</v>
      </c>
      <c r="I9" s="34" t="str">
        <f aca="false">IF(G9&gt;=Assumptions!$B$8,"On track",IF(G9&gt;=Assumptions!$B$9,"Watch","Off track"))</f>
        <v>On track</v>
      </c>
      <c r="J9" s="35" t="n">
        <f aca="false">F9-E9</f>
        <v>-12.9178082191781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9" min="2" style="0" width="9"/>
    <col collapsed="false" customWidth="true" hidden="false" outlineLevel="0" max="10" min="10" style="0" width="14"/>
    <col collapsed="false" customWidth="true" hidden="false" outlineLevel="0" max="11" min="11" style="0" width="11"/>
    <col collapsed="false" customWidth="true" hidden="false" outlineLevel="0" max="13" min="12" style="0" width="16"/>
    <col collapsed="false" customWidth="true" hidden="false" outlineLevel="0" max="14" min="14" style="0" width="12"/>
    <col collapsed="false" customWidth="true" hidden="false" outlineLevel="0" max="15" min="15" style="0" width="14"/>
    <col collapsed="false" customWidth="true" hidden="false" outlineLevel="0" max="16" min="16" style="0" width="18"/>
  </cols>
  <sheetData>
    <row r="1" customFormat="false" ht="30" hidden="false" customHeight="true" outlineLevel="0" collapsed="false">
      <c r="A1" s="33" t="s">
        <v>47</v>
      </c>
      <c r="B1" s="33" t="s">
        <v>48</v>
      </c>
      <c r="C1" s="33" t="s">
        <v>49</v>
      </c>
      <c r="D1" s="33" t="s">
        <v>50</v>
      </c>
      <c r="E1" s="33" t="s">
        <v>51</v>
      </c>
      <c r="F1" s="33" t="s">
        <v>52</v>
      </c>
      <c r="G1" s="33" t="s">
        <v>53</v>
      </c>
      <c r="H1" s="33" t="s">
        <v>54</v>
      </c>
      <c r="I1" s="33" t="s">
        <v>55</v>
      </c>
      <c r="J1" s="33" t="s">
        <v>119</v>
      </c>
      <c r="K1" s="33" t="s">
        <v>43</v>
      </c>
      <c r="L1" s="33" t="s">
        <v>77</v>
      </c>
      <c r="M1" s="33" t="s">
        <v>78</v>
      </c>
      <c r="N1" s="33" t="s">
        <v>57</v>
      </c>
      <c r="O1" s="33" t="s">
        <v>120</v>
      </c>
      <c r="P1" s="33" t="s">
        <v>58</v>
      </c>
    </row>
    <row r="2" customFormat="false" ht="15" hidden="false" customHeight="false" outlineLevel="0" collapsed="false">
      <c r="A2" s="34" t="s">
        <v>121</v>
      </c>
      <c r="B2" s="37" t="n">
        <f aca="false">IFERROR(SUMIFS(Monthly_Results!$D$2:$D$433,Monthly_Results!$B$2:$B$433,$A2,Monthly_Results!$C$2:$C$433,B$1,Monthly_Results!$A$2:$A$433,"&lt;="&amp;Assumptions!$B$4)/(SUMIFS(County_Targets!$C$2:$C$49,County_Targets!$B$2:$B$49,$A2,County_Targets!$A$2:$A$49,B$1)*Assumptions!$B$7),0)</f>
        <v>1.04140873015873</v>
      </c>
      <c r="C2" s="37" t="n">
        <f aca="false">IFERROR(SUMIFS(Monthly_Results!$D$2:$D$433,Monthly_Results!$B$2:$B$433,$A2,Monthly_Results!$C$2:$C$433,C$1,Monthly_Results!$A$2:$A$433,"&lt;="&amp;Assumptions!$B$4)/(SUMIFS(County_Targets!$C$2:$C$49,County_Targets!$B$2:$B$49,$A2,County_Targets!$A$2:$A$49,C$1)*Assumptions!$B$7),0)</f>
        <v>0.501373626373626</v>
      </c>
      <c r="D2" s="37" t="n">
        <f aca="false">IFERROR(SUMIFS(Monthly_Results!$D$2:$D$433,Monthly_Results!$B$2:$B$433,$A2,Monthly_Results!$C$2:$C$433,D$1,Monthly_Results!$A$2:$A$433,"&lt;="&amp;Assumptions!$B$4)/(SUMIFS(County_Targets!$C$2:$C$49,County_Targets!$B$2:$B$49,$A2,County_Targets!$A$2:$A$49,D$1)*Assumptions!$B$7),0)</f>
        <v>1.10450752950753</v>
      </c>
      <c r="E2" s="37" t="n">
        <f aca="false">IFERROR(SUMIFS(Monthly_Results!$D$2:$D$433,Monthly_Results!$B$2:$B$433,$A2,Monthly_Results!$C$2:$C$433,E$1,Monthly_Results!$A$2:$A$433,"&lt;="&amp;Assumptions!$B$4)/(SUMIFS(County_Targets!$C$2:$C$49,County_Targets!$B$2:$B$49,$A2,County_Targets!$A$2:$A$49,E$1)*Assumptions!$B$7),0)</f>
        <v>1.26271876271876</v>
      </c>
      <c r="F2" s="37" t="n">
        <f aca="false">IFERROR(SUMIFS(Monthly_Results!$D$2:$D$433,Monthly_Results!$B$2:$B$433,$A2,Monthly_Results!$C$2:$C$433,F$1,Monthly_Results!$A$2:$A$433,"&lt;="&amp;Assumptions!$B$4)/(SUMIFS(County_Targets!$C$2:$C$49,County_Targets!$B$2:$B$49,$A2,County_Targets!$A$2:$A$49,F$1)*Assumptions!$B$7),0)</f>
        <v>0.802197802197802</v>
      </c>
      <c r="G2" s="37" t="n">
        <f aca="false">IFERROR(SUMIFS(Monthly_Results!$D$2:$D$433,Monthly_Results!$B$2:$B$433,$A2,Monthly_Results!$C$2:$C$433,G$1,Monthly_Results!$A$2:$A$433,"&lt;="&amp;Assumptions!$B$4)/(SUMIFS(County_Targets!$C$2:$C$49,County_Targets!$B$2:$B$49,$A2,County_Targets!$A$2:$A$49,G$1)*Assumptions!$B$7),0)</f>
        <v>1.18844118844119</v>
      </c>
      <c r="H2" s="37" t="n">
        <f aca="false">IFERROR(SUMIFS(Monthly_Results!$D$2:$D$433,Monthly_Results!$B$2:$B$433,$A2,Monthly_Results!$C$2:$C$433,H$1,Monthly_Results!$A$2:$A$433,"&lt;="&amp;Assumptions!$B$4)/(SUMIFS(County_Targets!$C$2:$C$49,County_Targets!$B$2:$B$49,$A2,County_Targets!$A$2:$A$49,H$1)*Assumptions!$B$7),0)</f>
        <v>0.899501424501424</v>
      </c>
      <c r="I2" s="37" t="n">
        <f aca="false">IFERROR(SUMIFS(Monthly_Results!$D$2:$D$433,Monthly_Results!$B$2:$B$433,$A2,Monthly_Results!$C$2:$C$433,I$1,Monthly_Results!$A$2:$A$433,"&lt;="&amp;Assumptions!$B$4)/(SUMIFS(County_Targets!$C$2:$C$49,County_Targets!$B$2:$B$49,$A2,County_Targets!$A$2:$A$49,I$1)*Assumptions!$B$7),0)</f>
        <v>1.2032967032967</v>
      </c>
      <c r="J2" s="37" t="n">
        <f aca="false">AVERAGE(B2:I2)</f>
        <v>1.00043072089947</v>
      </c>
      <c r="K2" s="34" t="str">
        <f aca="false">IF(J2&gt;=Assumptions!$B$8,"On track",IF(J2&gt;=Assumptions!$B$9,"Watch","Off track"))</f>
        <v>On track</v>
      </c>
      <c r="L2" s="38" t="n">
        <f aca="false">SUMIFS(Finance!$C$2:$C$25,Finance!$A$2:$A$25,A2)</f>
        <v>28000000</v>
      </c>
      <c r="M2" s="38" t="n">
        <f aca="false">SUMIFS(Finance!$D$2:$D$25,Finance!$A$2:$A$25,A2)</f>
        <v>19353000</v>
      </c>
      <c r="N2" s="37" t="n">
        <f aca="false">IFERROR(M2/L2,0)</f>
        <v>0.691178571428571</v>
      </c>
      <c r="O2" s="37" t="n">
        <f aca="false">N2/Assumptions!$B$7-J2</f>
        <v>-0.0763275026891099</v>
      </c>
      <c r="P2" s="34" t="str">
        <f aca="false">IF(O2&gt;Assumptions!$B$10,"Spend &gt; delivery",IF(O2&lt;-Assumptions!$B$10,"Delivery &gt; spend","Aligned"))</f>
        <v>Aligned</v>
      </c>
    </row>
    <row r="3" customFormat="false" ht="15" hidden="false" customHeight="false" outlineLevel="0" collapsed="false">
      <c r="A3" s="34" t="s">
        <v>122</v>
      </c>
      <c r="B3" s="37" t="n">
        <f aca="false">IFERROR(SUMIFS(Monthly_Results!$D$2:$D$433,Monthly_Results!$B$2:$B$433,$A3,Monthly_Results!$C$2:$C$433,B$1,Monthly_Results!$A$2:$A$433,"&lt;="&amp;Assumptions!$B$4)/(SUMIFS(County_Targets!$C$2:$C$49,County_Targets!$B$2:$B$49,$A3,County_Targets!$A$2:$A$49,B$1)*Assumptions!$B$7),0)</f>
        <v>0.932629222629223</v>
      </c>
      <c r="C3" s="37" t="n">
        <f aca="false">IFERROR(SUMIFS(Monthly_Results!$D$2:$D$433,Monthly_Results!$B$2:$B$433,$A3,Monthly_Results!$C$2:$C$433,C$1,Monthly_Results!$A$2:$A$433,"&lt;="&amp;Assumptions!$B$4)/(SUMIFS(County_Targets!$C$2:$C$49,County_Targets!$B$2:$B$49,$A3,County_Targets!$A$2:$A$49,C$1)*Assumptions!$B$7),0)</f>
        <v>1.03988603988604</v>
      </c>
      <c r="D3" s="37" t="n">
        <f aca="false">IFERROR(SUMIFS(Monthly_Results!$D$2:$D$433,Monthly_Results!$B$2:$B$433,$A3,Monthly_Results!$C$2:$C$433,D$1,Monthly_Results!$A$2:$A$433,"&lt;="&amp;Assumptions!$B$4)/(SUMIFS(County_Targets!$C$2:$C$49,County_Targets!$B$2:$B$49,$A3,County_Targets!$A$2:$A$49,D$1)*Assumptions!$B$7),0)</f>
        <v>1.00621353954687</v>
      </c>
      <c r="E3" s="37" t="n">
        <f aca="false">IFERROR(SUMIFS(Monthly_Results!$D$2:$D$433,Monthly_Results!$B$2:$B$433,$A3,Monthly_Results!$C$2:$C$433,E$1,Monthly_Results!$A$2:$A$433,"&lt;="&amp;Assumptions!$B$4)/(SUMIFS(County_Targets!$C$2:$C$49,County_Targets!$B$2:$B$49,$A3,County_Targets!$A$2:$A$49,E$1)*Assumptions!$B$7),0)</f>
        <v>1.08940442273776</v>
      </c>
      <c r="F3" s="37" t="n">
        <f aca="false">IFERROR(SUMIFS(Monthly_Results!$D$2:$D$433,Monthly_Results!$B$2:$B$433,$A3,Monthly_Results!$C$2:$C$433,F$1,Monthly_Results!$A$2:$A$433,"&lt;="&amp;Assumptions!$B$4)/(SUMIFS(County_Targets!$C$2:$C$49,County_Targets!$B$2:$B$49,$A3,County_Targets!$A$2:$A$49,F$1)*Assumptions!$B$7),0)</f>
        <v>0.381998953427525</v>
      </c>
      <c r="G3" s="37" t="n">
        <f aca="false">IFERROR(SUMIFS(Monthly_Results!$D$2:$D$433,Monthly_Results!$B$2:$B$433,$A3,Monthly_Results!$C$2:$C$433,G$1,Monthly_Results!$A$2:$A$433,"&lt;="&amp;Assumptions!$B$4)/(SUMIFS(County_Targets!$C$2:$C$49,County_Targets!$B$2:$B$49,$A3,County_Targets!$A$2:$A$49,G$1)*Assumptions!$B$7),0)</f>
        <v>1.43249607535322</v>
      </c>
      <c r="H3" s="37" t="n">
        <f aca="false">IFERROR(SUMIFS(Monthly_Results!$D$2:$D$433,Monthly_Results!$B$2:$B$433,$A3,Monthly_Results!$C$2:$C$433,H$1,Monthly_Results!$A$2:$A$433,"&lt;="&amp;Assumptions!$B$4)/(SUMIFS(County_Targets!$C$2:$C$49,County_Targets!$B$2:$B$49,$A3,County_Targets!$A$2:$A$49,H$1)*Assumptions!$B$7),0)</f>
        <v>0.851716185049518</v>
      </c>
      <c r="I3" s="37" t="n">
        <f aca="false">IFERROR(SUMIFS(Monthly_Results!$D$2:$D$433,Monthly_Results!$B$2:$B$433,$A3,Monthly_Results!$C$2:$C$433,I$1,Monthly_Results!$A$2:$A$433,"&lt;="&amp;Assumptions!$B$4)/(SUMIFS(County_Targets!$C$2:$C$49,County_Targets!$B$2:$B$49,$A3,County_Targets!$A$2:$A$49,I$1)*Assumptions!$B$7),0)</f>
        <v>1.08148148148148</v>
      </c>
      <c r="J3" s="37" t="n">
        <f aca="false">AVERAGE(B3:I3)</f>
        <v>0.976978240013954</v>
      </c>
      <c r="K3" s="34" t="str">
        <f aca="false">IF(J3&gt;=Assumptions!$B$8,"On track",IF(J3&gt;=Assumptions!$B$9,"Watch","Off track"))</f>
        <v>On track</v>
      </c>
      <c r="L3" s="38" t="n">
        <f aca="false">SUMIFS(Finance!$C$2:$C$25,Finance!$A$2:$A$25,A3)</f>
        <v>20000000</v>
      </c>
      <c r="M3" s="38" t="n">
        <f aca="false">SUMIFS(Finance!$D$2:$D$25,Finance!$A$2:$A$25,A3)</f>
        <v>13263000</v>
      </c>
      <c r="N3" s="37" t="n">
        <f aca="false">IFERROR(M3/L3,0)</f>
        <v>0.66315</v>
      </c>
      <c r="O3" s="37" t="n">
        <f aca="false">N3/Assumptions!$B$7-J3</f>
        <v>-0.0903491191348335</v>
      </c>
      <c r="P3" s="34" t="str">
        <f aca="false">IF(O3&gt;Assumptions!$B$10,"Spend &gt; delivery",IF(O3&lt;-Assumptions!$B$10,"Delivery &gt; spend","Aligned"))</f>
        <v>Aligned</v>
      </c>
    </row>
    <row r="4" customFormat="false" ht="15" hidden="false" customHeight="false" outlineLevel="0" collapsed="false">
      <c r="A4" s="34" t="s">
        <v>123</v>
      </c>
      <c r="B4" s="37" t="n">
        <f aca="false">IFERROR(SUMIFS(Monthly_Results!$D$2:$D$433,Monthly_Results!$B$2:$B$433,$A4,Monthly_Results!$C$2:$C$433,B$1,Monthly_Results!$A$2:$A$433,"&lt;="&amp;Assumptions!$B$4)/(SUMIFS(County_Targets!$C$2:$C$49,County_Targets!$B$2:$B$49,$A4,County_Targets!$A$2:$A$49,B$1)*Assumptions!$B$7),0)</f>
        <v>0.716902387735721</v>
      </c>
      <c r="C4" s="37" t="n">
        <f aca="false">IFERROR(SUMIFS(Monthly_Results!$D$2:$D$433,Monthly_Results!$B$2:$B$433,$A4,Monthly_Results!$C$2:$C$433,C$1,Monthly_Results!$A$2:$A$433,"&lt;="&amp;Assumptions!$B$4)/(SUMIFS(County_Targets!$C$2:$C$49,County_Targets!$B$2:$B$49,$A4,County_Targets!$A$2:$A$49,C$1)*Assumptions!$B$7),0)</f>
        <v>0.607725607725608</v>
      </c>
      <c r="D4" s="37" t="n">
        <f aca="false">IFERROR(SUMIFS(Monthly_Results!$D$2:$D$433,Monthly_Results!$B$2:$B$433,$A4,Monthly_Results!$C$2:$C$433,D$1,Monthly_Results!$A$2:$A$433,"&lt;="&amp;Assumptions!$B$4)/(SUMIFS(County_Targets!$C$2:$C$49,County_Targets!$B$2:$B$49,$A4,County_Targets!$A$2:$A$49,D$1)*Assumptions!$B$7),0)</f>
        <v>0.797658617103062</v>
      </c>
      <c r="E4" s="37" t="n">
        <f aca="false">IFERROR(SUMIFS(Monthly_Results!$D$2:$D$433,Monthly_Results!$B$2:$B$433,$A4,Monthly_Results!$C$2:$C$433,E$1,Monthly_Results!$A$2:$A$433,"&lt;="&amp;Assumptions!$B$4)/(SUMIFS(County_Targets!$C$2:$C$49,County_Targets!$B$2:$B$49,$A4,County_Targets!$A$2:$A$49,E$1)*Assumptions!$B$7),0)</f>
        <v>0.699351930121161</v>
      </c>
      <c r="F4" s="37" t="n">
        <f aca="false">IFERROR(SUMIFS(Monthly_Results!$D$2:$D$433,Monthly_Results!$B$2:$B$433,$A4,Monthly_Results!$C$2:$C$433,F$1,Monthly_Results!$A$2:$A$433,"&lt;="&amp;Assumptions!$B$4)/(SUMIFS(County_Targets!$C$2:$C$49,County_Targets!$B$2:$B$49,$A4,County_Targets!$A$2:$A$49,F$1)*Assumptions!$B$7),0)</f>
        <v>0.148555148555149</v>
      </c>
      <c r="G4" s="37" t="n">
        <f aca="false">IFERROR(SUMIFS(Monthly_Results!$D$2:$D$433,Monthly_Results!$B$2:$B$433,$A4,Monthly_Results!$C$2:$C$433,G$1,Monthly_Results!$A$2:$A$433,"&lt;="&amp;Assumptions!$B$4)/(SUMIFS(County_Targets!$C$2:$C$49,County_Targets!$B$2:$B$49,$A4,County_Targets!$A$2:$A$49,G$1)*Assumptions!$B$7),0)</f>
        <v>1.08630952380952</v>
      </c>
      <c r="H4" s="37" t="n">
        <f aca="false">IFERROR(SUMIFS(Monthly_Results!$D$2:$D$433,Monthly_Results!$B$2:$B$433,$A4,Monthly_Results!$C$2:$C$433,H$1,Monthly_Results!$A$2:$A$433,"&lt;="&amp;Assumptions!$B$4)/(SUMIFS(County_Targets!$C$2:$C$49,County_Targets!$B$2:$B$49,$A4,County_Targets!$A$2:$A$49,H$1)*Assumptions!$B$7),0)</f>
        <v>0.671799394021616</v>
      </c>
      <c r="I4" s="37" t="n">
        <f aca="false">IFERROR(SUMIFS(Monthly_Results!$D$2:$D$433,Monthly_Results!$B$2:$B$433,$A4,Monthly_Results!$C$2:$C$433,I$1,Monthly_Results!$A$2:$A$433,"&lt;="&amp;Assumptions!$B$4)/(SUMIFS(County_Targets!$C$2:$C$49,County_Targets!$B$2:$B$49,$A4,County_Targets!$A$2:$A$49,I$1)*Assumptions!$B$7),0)</f>
        <v>0.708112874779541</v>
      </c>
      <c r="J4" s="37" t="n">
        <f aca="false">AVERAGE(B4:I4)</f>
        <v>0.679551935481423</v>
      </c>
      <c r="K4" s="34" t="str">
        <f aca="false">IF(J4&gt;=Assumptions!$B$8,"On track",IF(J4&gt;=Assumptions!$B$9,"Watch","Off track"))</f>
        <v>Off track</v>
      </c>
      <c r="L4" s="38" t="n">
        <f aca="false">SUMIFS(Finance!$C$2:$C$25,Finance!$A$2:$A$25,A4)</f>
        <v>24000000</v>
      </c>
      <c r="M4" s="38" t="n">
        <f aca="false">SUMIFS(Finance!$D$2:$D$25,Finance!$A$2:$A$25,A4)</f>
        <v>10959000</v>
      </c>
      <c r="N4" s="37" t="n">
        <f aca="false">IFERROR(M4/L4,0)</f>
        <v>0.456625</v>
      </c>
      <c r="O4" s="37" t="n">
        <f aca="false">N4/Assumptions!$B$7-J4</f>
        <v>-0.0690459831004703</v>
      </c>
      <c r="P4" s="34" t="str">
        <f aca="false">IF(O4&gt;Assumptions!$B$10,"Spend &gt; delivery",IF(O4&lt;-Assumptions!$B$10,"Delivery &gt; spend","Aligned"))</f>
        <v>Aligned</v>
      </c>
    </row>
    <row r="5" customFormat="false" ht="15" hidden="false" customHeight="false" outlineLevel="0" collapsed="false">
      <c r="A5" s="34" t="s">
        <v>124</v>
      </c>
      <c r="B5" s="37" t="n">
        <f aca="false">IFERROR(SUMIFS(Monthly_Results!$D$2:$D$433,Monthly_Results!$B$2:$B$433,$A5,Monthly_Results!$C$2:$C$433,B$1,Monthly_Results!$A$2:$A$433,"&lt;="&amp;Assumptions!$B$4)/(SUMIFS(County_Targets!$C$2:$C$49,County_Targets!$B$2:$B$49,$A5,County_Targets!$A$2:$A$49,B$1)*Assumptions!$B$7),0)</f>
        <v>0.928915343915344</v>
      </c>
      <c r="C5" s="37" t="n">
        <f aca="false">IFERROR(SUMIFS(Monthly_Results!$D$2:$D$433,Monthly_Results!$B$2:$B$433,$A5,Monthly_Results!$C$2:$C$433,C$1,Monthly_Results!$A$2:$A$433,"&lt;="&amp;Assumptions!$B$4)/(SUMIFS(County_Targets!$C$2:$C$49,County_Targets!$B$2:$B$49,$A5,County_Targets!$A$2:$A$49,C$1)*Assumptions!$B$7),0)</f>
        <v>0.891330891330891</v>
      </c>
      <c r="D5" s="37" t="n">
        <f aca="false">IFERROR(SUMIFS(Monthly_Results!$D$2:$D$433,Monthly_Results!$B$2:$B$433,$A5,Monthly_Results!$C$2:$C$433,D$1,Monthly_Results!$A$2:$A$433,"&lt;="&amp;Assumptions!$B$4)/(SUMIFS(County_Targets!$C$2:$C$49,County_Targets!$B$2:$B$49,$A5,County_Targets!$A$2:$A$49,D$1)*Assumptions!$B$7),0)</f>
        <v>0.897273097273097</v>
      </c>
      <c r="E5" s="37" t="n">
        <f aca="false">IFERROR(SUMIFS(Monthly_Results!$D$2:$D$433,Monthly_Results!$B$2:$B$433,$A5,Monthly_Results!$C$2:$C$433,E$1,Monthly_Results!$A$2:$A$433,"&lt;="&amp;Assumptions!$B$4)/(SUMIFS(County_Targets!$C$2:$C$49,County_Targets!$B$2:$B$49,$A5,County_Targets!$A$2:$A$49,E$1)*Assumptions!$B$7),0)</f>
        <v>0.718016551349885</v>
      </c>
      <c r="F5" s="37" t="n">
        <f aca="false">IFERROR(SUMIFS(Monthly_Results!$D$2:$D$433,Monthly_Results!$B$2:$B$433,$A5,Monthly_Results!$C$2:$C$433,F$1,Monthly_Results!$A$2:$A$433,"&lt;="&amp;Assumptions!$B$4)/(SUMIFS(County_Targets!$C$2:$C$49,County_Targets!$B$2:$B$49,$A5,County_Targets!$A$2:$A$49,F$1)*Assumptions!$B$7),0)</f>
        <v>0.572998430141287</v>
      </c>
      <c r="G5" s="37" t="n">
        <f aca="false">IFERROR(SUMIFS(Monthly_Results!$D$2:$D$433,Monthly_Results!$B$2:$B$433,$A5,Monthly_Results!$C$2:$C$433,G$1,Monthly_Results!$A$2:$A$433,"&lt;="&amp;Assumptions!$B$4)/(SUMIFS(County_Targets!$C$2:$C$49,County_Targets!$B$2:$B$49,$A5,County_Targets!$A$2:$A$49,G$1)*Assumptions!$B$7),0)</f>
        <v>0.668498168498169</v>
      </c>
      <c r="H5" s="37" t="n">
        <f aca="false">IFERROR(SUMIFS(Monthly_Results!$D$2:$D$433,Monthly_Results!$B$2:$B$433,$A5,Monthly_Results!$C$2:$C$433,H$1,Monthly_Results!$A$2:$A$433,"&lt;="&amp;Assumptions!$B$4)/(SUMIFS(County_Targets!$C$2:$C$49,County_Targets!$B$2:$B$49,$A5,County_Targets!$A$2:$A$49,H$1)*Assumptions!$B$7),0)</f>
        <v>0.816062949396283</v>
      </c>
      <c r="I5" s="37" t="n">
        <f aca="false">IFERROR(SUMIFS(Monthly_Results!$D$2:$D$433,Monthly_Results!$B$2:$B$433,$A5,Monthly_Results!$C$2:$C$433,I$1,Monthly_Results!$A$2:$A$433,"&lt;="&amp;Assumptions!$B$4)/(SUMIFS(County_Targets!$C$2:$C$49,County_Targets!$B$2:$B$49,$A5,County_Targets!$A$2:$A$49,I$1)*Assumptions!$B$7),0)</f>
        <v>0.98046398046398</v>
      </c>
      <c r="J5" s="37" t="n">
        <f aca="false">AVERAGE(B5:I5)</f>
        <v>0.809194926546117</v>
      </c>
      <c r="K5" s="34" t="str">
        <f aca="false">IF(J5&gt;=Assumptions!$B$8,"On track",IF(J5&gt;=Assumptions!$B$9,"Watch","Off track"))</f>
        <v>Watch</v>
      </c>
      <c r="L5" s="38" t="n">
        <f aca="false">SUMIFS(Finance!$C$2:$C$25,Finance!$A$2:$A$25,A5)</f>
        <v>21000000</v>
      </c>
      <c r="M5" s="38" t="n">
        <f aca="false">SUMIFS(Finance!$D$2:$D$25,Finance!$A$2:$A$25,A5)</f>
        <v>14259000</v>
      </c>
      <c r="N5" s="37" t="n">
        <f aca="false">IFERROR(M5/L5,0)</f>
        <v>0.679</v>
      </c>
      <c r="O5" s="37" t="n">
        <f aca="false">N5/Assumptions!$B$7-J5</f>
        <v>0.0986255862743958</v>
      </c>
      <c r="P5" s="34" t="str">
        <f aca="false">IF(O5&gt;Assumptions!$B$10,"Spend &gt; delivery",IF(O5&lt;-Assumptions!$B$10,"Delivery &gt; spend","Aligned"))</f>
        <v>Aligned</v>
      </c>
    </row>
    <row r="6" customFormat="false" ht="15" hidden="false" customHeight="false" outlineLevel="0" collapsed="false">
      <c r="A6" s="34" t="s">
        <v>125</v>
      </c>
      <c r="B6" s="37" t="n">
        <f aca="false">IFERROR(SUMIFS(Monthly_Results!$D$2:$D$433,Monthly_Results!$B$2:$B$433,$A6,Monthly_Results!$C$2:$C$433,B$1,Monthly_Results!$A$2:$A$433,"&lt;="&amp;Assumptions!$B$4)/(SUMIFS(County_Targets!$C$2:$C$49,County_Targets!$B$2:$B$49,$A6,County_Targets!$A$2:$A$49,B$1)*Assumptions!$B$7),0)</f>
        <v>1.07300509947569</v>
      </c>
      <c r="C6" s="37" t="n">
        <f aca="false">IFERROR(SUMIFS(Monthly_Results!$D$2:$D$433,Monthly_Results!$B$2:$B$433,$A6,Monthly_Results!$C$2:$C$433,C$1,Monthly_Results!$A$2:$A$433,"&lt;="&amp;Assumptions!$B$4)/(SUMIFS(County_Targets!$C$2:$C$49,County_Targets!$B$2:$B$49,$A6,County_Targets!$A$2:$A$49,C$1)*Assumptions!$B$7),0)</f>
        <v>0.802197802197802</v>
      </c>
      <c r="D6" s="37" t="n">
        <f aca="false">IFERROR(SUMIFS(Monthly_Results!$D$2:$D$433,Monthly_Results!$B$2:$B$433,$A6,Monthly_Results!$C$2:$C$433,D$1,Monthly_Results!$A$2:$A$433,"&lt;="&amp;Assumptions!$B$4)/(SUMIFS(County_Targets!$C$2:$C$49,County_Targets!$B$2:$B$49,$A6,County_Targets!$A$2:$A$49,D$1)*Assumptions!$B$7),0)</f>
        <v>1.12552371375901</v>
      </c>
      <c r="E6" s="37" t="n">
        <f aca="false">IFERROR(SUMIFS(Monthly_Results!$D$2:$D$433,Monthly_Results!$B$2:$B$433,$A6,Monthly_Results!$C$2:$C$433,E$1,Monthly_Results!$A$2:$A$433,"&lt;="&amp;Assumptions!$B$4)/(SUMIFS(County_Targets!$C$2:$C$49,County_Targets!$B$2:$B$49,$A6,County_Targets!$A$2:$A$49,E$1)*Assumptions!$B$7),0)</f>
        <v>1.31507836425869</v>
      </c>
      <c r="F6" s="37" t="n">
        <f aca="false">IFERROR(SUMIFS(Monthly_Results!$D$2:$D$433,Monthly_Results!$B$2:$B$433,$A6,Monthly_Results!$C$2:$C$433,F$1,Monthly_Results!$A$2:$A$433,"&lt;="&amp;Assumptions!$B$4)/(SUMIFS(County_Targets!$C$2:$C$49,County_Targets!$B$2:$B$49,$A6,County_Targets!$A$2:$A$49,F$1)*Assumptions!$B$7),0)</f>
        <v>0.167124542124542</v>
      </c>
      <c r="G6" s="37" t="n">
        <f aca="false">IFERROR(SUMIFS(Monthly_Results!$D$2:$D$433,Monthly_Results!$B$2:$B$433,$A6,Monthly_Results!$C$2:$C$433,G$1,Monthly_Results!$A$2:$A$433,"&lt;="&amp;Assumptions!$B$4)/(SUMIFS(County_Targets!$C$2:$C$49,County_Targets!$B$2:$B$49,$A6,County_Targets!$A$2:$A$49,G$1)*Assumptions!$B$7),0)</f>
        <v>0.623931623931624</v>
      </c>
      <c r="H6" s="37" t="n">
        <f aca="false">IFERROR(SUMIFS(Monthly_Results!$D$2:$D$433,Monthly_Results!$B$2:$B$433,$A6,Monthly_Results!$C$2:$C$433,H$1,Monthly_Results!$A$2:$A$433,"&lt;="&amp;Assumptions!$B$4)/(SUMIFS(County_Targets!$C$2:$C$49,County_Targets!$B$2:$B$49,$A6,County_Targets!$A$2:$A$49,H$1)*Assumptions!$B$7),0)</f>
        <v>0.932402020637315</v>
      </c>
      <c r="I6" s="37" t="n">
        <f aca="false">IFERROR(SUMIFS(Monthly_Results!$D$2:$D$433,Monthly_Results!$B$2:$B$433,$A6,Monthly_Results!$C$2:$C$433,I$1,Monthly_Results!$A$2:$A$433,"&lt;="&amp;Assumptions!$B$4)/(SUMIFS(County_Targets!$C$2:$C$49,County_Targets!$B$2:$B$49,$A6,County_Targets!$A$2:$A$49,I$1)*Assumptions!$B$7),0)</f>
        <v>1.15348703583998</v>
      </c>
      <c r="J6" s="37" t="n">
        <f aca="false">AVERAGE(B6:I6)</f>
        <v>0.899093775278081</v>
      </c>
      <c r="K6" s="34" t="str">
        <f aca="false">IF(J6&gt;=Assumptions!$B$8,"On track",IF(J6&gt;=Assumptions!$B$9,"Watch","Off track"))</f>
        <v>Watch</v>
      </c>
      <c r="L6" s="38" t="n">
        <f aca="false">SUMIFS(Finance!$C$2:$C$25,Finance!$A$2:$A$25,A6)</f>
        <v>23000000</v>
      </c>
      <c r="M6" s="38" t="n">
        <f aca="false">SUMIFS(Finance!$D$2:$D$25,Finance!$A$2:$A$25,A6)</f>
        <v>16573000</v>
      </c>
      <c r="N6" s="37" t="n">
        <f aca="false">IFERROR(M6/L6,0)</f>
        <v>0.720565217391304</v>
      </c>
      <c r="O6" s="37" t="n">
        <f aca="false">N6/Assumptions!$B$7-J6</f>
        <v>0.0642992809410622</v>
      </c>
      <c r="P6" s="34" t="str">
        <f aca="false">IF(O6&gt;Assumptions!$B$10,"Spend &gt; delivery",IF(O6&lt;-Assumptions!$B$10,"Delivery &gt; spend","Aligned"))</f>
        <v>Aligned</v>
      </c>
    </row>
    <row r="7" customFormat="false" ht="15" hidden="false" customHeight="false" outlineLevel="0" collapsed="false">
      <c r="A7" s="34" t="s">
        <v>126</v>
      </c>
      <c r="B7" s="37" t="n">
        <f aca="false">IFERROR(SUMIFS(Monthly_Results!$D$2:$D$433,Monthly_Results!$B$2:$B$433,$A7,Monthly_Results!$C$2:$C$433,B$1,Monthly_Results!$A$2:$A$433,"&lt;="&amp;Assumptions!$B$4)/(SUMIFS(County_Targets!$C$2:$C$49,County_Targets!$B$2:$B$49,$A7,County_Targets!$A$2:$A$49,B$1)*Assumptions!$B$7),0)</f>
        <v>0.675331705331705</v>
      </c>
      <c r="C7" s="37" t="n">
        <f aca="false">IFERROR(SUMIFS(Monthly_Results!$D$2:$D$433,Monthly_Results!$B$2:$B$433,$A7,Monthly_Results!$C$2:$C$433,C$1,Monthly_Results!$A$2:$A$433,"&lt;="&amp;Assumptions!$B$4)/(SUMIFS(County_Targets!$C$2:$C$49,County_Targets!$B$2:$B$49,$A7,County_Targets!$A$2:$A$49,C$1)*Assumptions!$B$7),0)</f>
        <v>0.445665445665446</v>
      </c>
      <c r="D7" s="37" t="n">
        <f aca="false">IFERROR(SUMIFS(Monthly_Results!$D$2:$D$433,Monthly_Results!$B$2:$B$433,$A7,Monthly_Results!$C$2:$C$433,D$1,Monthly_Results!$A$2:$A$433,"&lt;="&amp;Assumptions!$B$4)/(SUMIFS(County_Targets!$C$2:$C$49,County_Targets!$B$2:$B$49,$A7,County_Targets!$A$2:$A$49,D$1)*Assumptions!$B$7),0)</f>
        <v>0.686819970153303</v>
      </c>
      <c r="E7" s="37" t="n">
        <f aca="false">IFERROR(SUMIFS(Monthly_Results!$D$2:$D$433,Monthly_Results!$B$2:$B$433,$A7,Monthly_Results!$C$2:$C$433,E$1,Monthly_Results!$A$2:$A$433,"&lt;="&amp;Assumptions!$B$4)/(SUMIFS(County_Targets!$C$2:$C$49,County_Targets!$B$2:$B$49,$A7,County_Targets!$A$2:$A$49,E$1)*Assumptions!$B$7),0)</f>
        <v>0.420906254239588</v>
      </c>
      <c r="F7" s="37" t="n">
        <f aca="false">IFERROR(SUMIFS(Monthly_Results!$D$2:$D$433,Monthly_Results!$B$2:$B$433,$A7,Monthly_Results!$C$2:$C$433,F$1,Monthly_Results!$A$2:$A$433,"&lt;="&amp;Assumptions!$B$4)/(SUMIFS(County_Targets!$C$2:$C$49,County_Targets!$B$2:$B$49,$A7,County_Targets!$A$2:$A$49,F$1)*Assumptions!$B$7),0)</f>
        <v>0.190999476713762</v>
      </c>
      <c r="G7" s="37" t="n">
        <f aca="false">IFERROR(SUMIFS(Monthly_Results!$D$2:$D$433,Monthly_Results!$B$2:$B$433,$A7,Monthly_Results!$C$2:$C$433,G$1,Monthly_Results!$A$2:$A$433,"&lt;="&amp;Assumptions!$B$4)/(SUMIFS(County_Targets!$C$2:$C$49,County_Targets!$B$2:$B$49,$A7,County_Targets!$A$2:$A$49,G$1)*Assumptions!$B$7),0)</f>
        <v>0.822766976613131</v>
      </c>
      <c r="H7" s="37" t="n">
        <f aca="false">IFERROR(SUMIFS(Monthly_Results!$D$2:$D$433,Monthly_Results!$B$2:$B$433,$A7,Monthly_Results!$C$2:$C$433,H$1,Monthly_Results!$A$2:$A$433,"&lt;="&amp;Assumptions!$B$4)/(SUMIFS(County_Targets!$C$2:$C$49,County_Targets!$B$2:$B$49,$A7,County_Targets!$A$2:$A$49,H$1)*Assumptions!$B$7),0)</f>
        <v>0.589268755935423</v>
      </c>
      <c r="I7" s="37" t="n">
        <f aca="false">IFERROR(SUMIFS(Monthly_Results!$D$2:$D$433,Monthly_Results!$B$2:$B$433,$A7,Monthly_Results!$C$2:$C$433,I$1,Monthly_Results!$A$2:$A$433,"&lt;="&amp;Assumptions!$B$4)/(SUMIFS(County_Targets!$C$2:$C$49,County_Targets!$B$2:$B$49,$A7,County_Targets!$A$2:$A$49,I$1)*Assumptions!$B$7),0)</f>
        <v>0.766544566544567</v>
      </c>
      <c r="J7" s="37" t="n">
        <f aca="false">AVERAGE(B7:I7)</f>
        <v>0.574787893899616</v>
      </c>
      <c r="K7" s="34" t="str">
        <f aca="false">IF(J7&gt;=Assumptions!$B$8,"On track",IF(J7&gt;=Assumptions!$B$9,"Watch","Off track"))</f>
        <v>Off track</v>
      </c>
      <c r="L7" s="38" t="n">
        <f aca="false">SUMIFS(Finance!$C$2:$C$25,Finance!$A$2:$A$25,A7)</f>
        <v>20000000</v>
      </c>
      <c r="M7" s="38" t="n">
        <f aca="false">SUMIFS(Finance!$D$2:$D$25,Finance!$A$2:$A$25,A7)</f>
        <v>14438000</v>
      </c>
      <c r="N7" s="37" t="n">
        <f aca="false">IFERROR(M7/L7,0)</f>
        <v>0.7219</v>
      </c>
      <c r="O7" s="37" t="n">
        <f aca="false">N7/Assumptions!$B$7-J7</f>
        <v>0.39038976177804</v>
      </c>
      <c r="P7" s="34" t="str">
        <f aca="false">IF(O7&gt;Assumptions!$B$10,"Spend &gt; delivery",IF(O7&lt;-Assumptions!$B$10,"Delivery &gt; spend","Aligned"))</f>
        <v>Spend &gt; delivery</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12"/>
  </cols>
  <sheetData>
    <row r="1" customFormat="false" ht="27.75" hidden="false" customHeight="true" outlineLevel="0" collapsed="false">
      <c r="A1" s="33" t="s">
        <v>47</v>
      </c>
      <c r="B1" s="33" t="s">
        <v>127</v>
      </c>
      <c r="C1" s="33" t="s">
        <v>63</v>
      </c>
      <c r="D1" s="33" t="s">
        <v>64</v>
      </c>
      <c r="E1" s="33" t="s">
        <v>65</v>
      </c>
    </row>
    <row r="2" customFormat="false" ht="15" hidden="false" customHeight="false" outlineLevel="0" collapsed="false">
      <c r="A2" s="34" t="s">
        <v>121</v>
      </c>
      <c r="B2" s="34" t="s">
        <v>128</v>
      </c>
      <c r="C2" s="36" t="n">
        <v>0.281</v>
      </c>
      <c r="D2" s="36" t="n">
        <v>0.451</v>
      </c>
      <c r="E2" s="36" t="n">
        <v>0.6</v>
      </c>
    </row>
    <row r="3" customFormat="false" ht="15" hidden="false" customHeight="false" outlineLevel="0" collapsed="false">
      <c r="A3" s="34" t="s">
        <v>121</v>
      </c>
      <c r="B3" s="34" t="s">
        <v>129</v>
      </c>
      <c r="C3" s="36" t="n">
        <v>0.243</v>
      </c>
      <c r="D3" s="36" t="n">
        <v>0.408</v>
      </c>
      <c r="E3" s="36" t="n">
        <v>0.55</v>
      </c>
    </row>
    <row r="4" customFormat="false" ht="15" hidden="false" customHeight="false" outlineLevel="0" collapsed="false">
      <c r="A4" s="34" t="s">
        <v>121</v>
      </c>
      <c r="B4" s="34" t="s">
        <v>130</v>
      </c>
      <c r="C4" s="36" t="n">
        <v>0.61</v>
      </c>
      <c r="D4" s="36" t="n">
        <v>0.724</v>
      </c>
      <c r="E4" s="36" t="n">
        <v>0.85</v>
      </c>
    </row>
    <row r="5" customFormat="false" ht="15" hidden="false" customHeight="false" outlineLevel="0" collapsed="false">
      <c r="A5" s="34" t="s">
        <v>122</v>
      </c>
      <c r="B5" s="34" t="s">
        <v>128</v>
      </c>
      <c r="C5" s="36" t="n">
        <v>0.28</v>
      </c>
      <c r="D5" s="36" t="n">
        <v>0.431</v>
      </c>
      <c r="E5" s="36" t="n">
        <v>0.6</v>
      </c>
    </row>
    <row r="6" customFormat="false" ht="15" hidden="false" customHeight="false" outlineLevel="0" collapsed="false">
      <c r="A6" s="34" t="s">
        <v>122</v>
      </c>
      <c r="B6" s="34" t="s">
        <v>129</v>
      </c>
      <c r="C6" s="36" t="n">
        <v>0.197</v>
      </c>
      <c r="D6" s="36" t="n">
        <v>0.367</v>
      </c>
      <c r="E6" s="36" t="n">
        <v>0.55</v>
      </c>
    </row>
    <row r="7" customFormat="false" ht="15" hidden="false" customHeight="false" outlineLevel="0" collapsed="false">
      <c r="A7" s="34" t="s">
        <v>122</v>
      </c>
      <c r="B7" s="34" t="s">
        <v>130</v>
      </c>
      <c r="C7" s="36" t="n">
        <v>0.63</v>
      </c>
      <c r="D7" s="36" t="n">
        <v>0.745</v>
      </c>
      <c r="E7" s="36" t="n">
        <v>0.85</v>
      </c>
    </row>
    <row r="8" customFormat="false" ht="15" hidden="false" customHeight="false" outlineLevel="0" collapsed="false">
      <c r="A8" s="34" t="s">
        <v>123</v>
      </c>
      <c r="B8" s="34" t="s">
        <v>128</v>
      </c>
      <c r="C8" s="36" t="n">
        <v>0.314</v>
      </c>
      <c r="D8" s="36" t="n">
        <v>0.398</v>
      </c>
      <c r="E8" s="36" t="n">
        <v>0.6</v>
      </c>
    </row>
    <row r="9" customFormat="false" ht="15" hidden="false" customHeight="false" outlineLevel="0" collapsed="false">
      <c r="A9" s="34" t="s">
        <v>123</v>
      </c>
      <c r="B9" s="34" t="s">
        <v>129</v>
      </c>
      <c r="C9" s="36" t="n">
        <v>0.221</v>
      </c>
      <c r="D9" s="36" t="n">
        <v>0.375</v>
      </c>
      <c r="E9" s="36" t="n">
        <v>0.55</v>
      </c>
    </row>
    <row r="10" customFormat="false" ht="15" hidden="false" customHeight="false" outlineLevel="0" collapsed="false">
      <c r="A10" s="34" t="s">
        <v>123</v>
      </c>
      <c r="B10" s="34" t="s">
        <v>130</v>
      </c>
      <c r="C10" s="36" t="n">
        <v>0.589</v>
      </c>
      <c r="D10" s="36" t="n">
        <v>0.67</v>
      </c>
      <c r="E10" s="36" t="n">
        <v>0.85</v>
      </c>
    </row>
    <row r="11" customFormat="false" ht="15" hidden="false" customHeight="false" outlineLevel="0" collapsed="false">
      <c r="A11" s="34" t="s">
        <v>124</v>
      </c>
      <c r="B11" s="34" t="s">
        <v>128</v>
      </c>
      <c r="C11" s="36" t="n">
        <v>0.265</v>
      </c>
      <c r="D11" s="36" t="n">
        <v>0.431</v>
      </c>
      <c r="E11" s="36" t="n">
        <v>0.6</v>
      </c>
    </row>
    <row r="12" customFormat="false" ht="15" hidden="false" customHeight="false" outlineLevel="0" collapsed="false">
      <c r="A12" s="34" t="s">
        <v>124</v>
      </c>
      <c r="B12" s="34" t="s">
        <v>129</v>
      </c>
      <c r="C12" s="36" t="n">
        <v>0.223</v>
      </c>
      <c r="D12" s="36" t="n">
        <v>0.402</v>
      </c>
      <c r="E12" s="36" t="n">
        <v>0.55</v>
      </c>
    </row>
    <row r="13" customFormat="false" ht="15" hidden="false" customHeight="false" outlineLevel="0" collapsed="false">
      <c r="A13" s="34" t="s">
        <v>124</v>
      </c>
      <c r="B13" s="34" t="s">
        <v>130</v>
      </c>
      <c r="C13" s="36" t="n">
        <v>0.567</v>
      </c>
      <c r="D13" s="36" t="n">
        <v>0.693</v>
      </c>
      <c r="E13" s="36" t="n">
        <v>0.85</v>
      </c>
    </row>
    <row r="14" customFormat="false" ht="15" hidden="false" customHeight="false" outlineLevel="0" collapsed="false">
      <c r="A14" s="34" t="s">
        <v>125</v>
      </c>
      <c r="B14" s="34" t="s">
        <v>128</v>
      </c>
      <c r="C14" s="36" t="n">
        <v>0.284</v>
      </c>
      <c r="D14" s="36" t="n">
        <v>0.466</v>
      </c>
      <c r="E14" s="36" t="n">
        <v>0.6</v>
      </c>
    </row>
    <row r="15" customFormat="false" ht="15" hidden="false" customHeight="false" outlineLevel="0" collapsed="false">
      <c r="A15" s="34" t="s">
        <v>125</v>
      </c>
      <c r="B15" s="34" t="s">
        <v>129</v>
      </c>
      <c r="C15" s="36" t="n">
        <v>0.194</v>
      </c>
      <c r="D15" s="36" t="n">
        <v>0.417</v>
      </c>
      <c r="E15" s="36" t="n">
        <v>0.55</v>
      </c>
    </row>
    <row r="16" customFormat="false" ht="15" hidden="false" customHeight="false" outlineLevel="0" collapsed="false">
      <c r="A16" s="34" t="s">
        <v>125</v>
      </c>
      <c r="B16" s="34" t="s">
        <v>130</v>
      </c>
      <c r="C16" s="36" t="n">
        <v>0.614</v>
      </c>
      <c r="D16" s="36" t="n">
        <v>0.774</v>
      </c>
      <c r="E16" s="36" t="n">
        <v>0.85</v>
      </c>
    </row>
    <row r="17" customFormat="false" ht="15" hidden="false" customHeight="false" outlineLevel="0" collapsed="false">
      <c r="A17" s="34" t="s">
        <v>126</v>
      </c>
      <c r="B17" s="34" t="s">
        <v>128</v>
      </c>
      <c r="C17" s="36" t="n">
        <v>0.288</v>
      </c>
      <c r="D17" s="36" t="n">
        <v>0.408</v>
      </c>
      <c r="E17" s="36" t="n">
        <v>0.6</v>
      </c>
    </row>
    <row r="18" customFormat="false" ht="15" hidden="false" customHeight="false" outlineLevel="0" collapsed="false">
      <c r="A18" s="34" t="s">
        <v>126</v>
      </c>
      <c r="B18" s="34" t="s">
        <v>129</v>
      </c>
      <c r="C18" s="36" t="n">
        <v>0.223</v>
      </c>
      <c r="D18" s="36" t="n">
        <v>0.322</v>
      </c>
      <c r="E18" s="36" t="n">
        <v>0.55</v>
      </c>
    </row>
    <row r="19" customFormat="false" ht="15" hidden="false" customHeight="false" outlineLevel="0" collapsed="false">
      <c r="A19" s="34" t="s">
        <v>126</v>
      </c>
      <c r="B19" s="34" t="s">
        <v>130</v>
      </c>
      <c r="C19" s="36" t="n">
        <v>0.633</v>
      </c>
      <c r="D19" s="36" t="n">
        <v>0.713</v>
      </c>
      <c r="E19" s="36" t="n">
        <v>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4" min="3" style="0" width="16"/>
  </cols>
  <sheetData>
    <row r="1" customFormat="false" ht="27.75" hidden="false" customHeight="true" outlineLevel="0" collapsed="false">
      <c r="A1" s="33" t="s">
        <v>47</v>
      </c>
      <c r="B1" s="33" t="s">
        <v>131</v>
      </c>
      <c r="C1" s="33" t="s">
        <v>132</v>
      </c>
      <c r="D1" s="33" t="s">
        <v>133</v>
      </c>
    </row>
    <row r="2" customFormat="false" ht="15" hidden="false" customHeight="false" outlineLevel="0" collapsed="false">
      <c r="A2" s="34" t="s">
        <v>121</v>
      </c>
      <c r="B2" s="34" t="s">
        <v>134</v>
      </c>
      <c r="C2" s="38" t="n">
        <v>7000000</v>
      </c>
      <c r="D2" s="38" t="n">
        <v>6763000</v>
      </c>
    </row>
    <row r="3" customFormat="false" ht="15" hidden="false" customHeight="false" outlineLevel="0" collapsed="false">
      <c r="A3" s="34" t="s">
        <v>121</v>
      </c>
      <c r="B3" s="34" t="s">
        <v>135</v>
      </c>
      <c r="C3" s="38" t="n">
        <v>7000000</v>
      </c>
      <c r="D3" s="38" t="n">
        <v>6331000</v>
      </c>
    </row>
    <row r="4" customFormat="false" ht="15" hidden="false" customHeight="false" outlineLevel="0" collapsed="false">
      <c r="A4" s="34" t="s">
        <v>121</v>
      </c>
      <c r="B4" s="34" t="s">
        <v>136</v>
      </c>
      <c r="C4" s="38" t="n">
        <v>7000000</v>
      </c>
      <c r="D4" s="38" t="n">
        <v>6259000</v>
      </c>
    </row>
    <row r="5" customFormat="false" ht="15" hidden="false" customHeight="false" outlineLevel="0" collapsed="false">
      <c r="A5" s="34" t="s">
        <v>121</v>
      </c>
      <c r="B5" s="34" t="s">
        <v>137</v>
      </c>
      <c r="C5" s="38" t="n">
        <v>7000000</v>
      </c>
      <c r="D5" s="38" t="n">
        <v>0</v>
      </c>
    </row>
    <row r="6" customFormat="false" ht="15" hidden="false" customHeight="false" outlineLevel="0" collapsed="false">
      <c r="A6" s="34" t="s">
        <v>122</v>
      </c>
      <c r="B6" s="34" t="s">
        <v>134</v>
      </c>
      <c r="C6" s="38" t="n">
        <v>5000000</v>
      </c>
      <c r="D6" s="38" t="n">
        <v>4373000</v>
      </c>
    </row>
    <row r="7" customFormat="false" ht="15" hidden="false" customHeight="false" outlineLevel="0" collapsed="false">
      <c r="A7" s="34" t="s">
        <v>122</v>
      </c>
      <c r="B7" s="34" t="s">
        <v>135</v>
      </c>
      <c r="C7" s="38" t="n">
        <v>5000000</v>
      </c>
      <c r="D7" s="38" t="n">
        <v>4322000</v>
      </c>
    </row>
    <row r="8" customFormat="false" ht="15" hidden="false" customHeight="false" outlineLevel="0" collapsed="false">
      <c r="A8" s="34" t="s">
        <v>122</v>
      </c>
      <c r="B8" s="34" t="s">
        <v>136</v>
      </c>
      <c r="C8" s="38" t="n">
        <v>5000000</v>
      </c>
      <c r="D8" s="38" t="n">
        <v>4568000</v>
      </c>
    </row>
    <row r="9" customFormat="false" ht="15" hidden="false" customHeight="false" outlineLevel="0" collapsed="false">
      <c r="A9" s="34" t="s">
        <v>122</v>
      </c>
      <c r="B9" s="34" t="s">
        <v>137</v>
      </c>
      <c r="C9" s="38" t="n">
        <v>5000000</v>
      </c>
      <c r="D9" s="38" t="n">
        <v>0</v>
      </c>
    </row>
    <row r="10" customFormat="false" ht="15" hidden="false" customHeight="false" outlineLevel="0" collapsed="false">
      <c r="A10" s="34" t="s">
        <v>123</v>
      </c>
      <c r="B10" s="34" t="s">
        <v>134</v>
      </c>
      <c r="C10" s="38" t="n">
        <v>6000000</v>
      </c>
      <c r="D10" s="38" t="n">
        <v>3544000</v>
      </c>
    </row>
    <row r="11" customFormat="false" ht="15" hidden="false" customHeight="false" outlineLevel="0" collapsed="false">
      <c r="A11" s="34" t="s">
        <v>123</v>
      </c>
      <c r="B11" s="34" t="s">
        <v>135</v>
      </c>
      <c r="C11" s="38" t="n">
        <v>6000000</v>
      </c>
      <c r="D11" s="38" t="n">
        <v>3548000</v>
      </c>
    </row>
    <row r="12" customFormat="false" ht="15" hidden="false" customHeight="false" outlineLevel="0" collapsed="false">
      <c r="A12" s="34" t="s">
        <v>123</v>
      </c>
      <c r="B12" s="34" t="s">
        <v>136</v>
      </c>
      <c r="C12" s="38" t="n">
        <v>6000000</v>
      </c>
      <c r="D12" s="38" t="n">
        <v>3867000</v>
      </c>
    </row>
    <row r="13" customFormat="false" ht="15" hidden="false" customHeight="false" outlineLevel="0" collapsed="false">
      <c r="A13" s="34" t="s">
        <v>123</v>
      </c>
      <c r="B13" s="34" t="s">
        <v>137</v>
      </c>
      <c r="C13" s="38" t="n">
        <v>6000000</v>
      </c>
      <c r="D13" s="38" t="n">
        <v>0</v>
      </c>
    </row>
    <row r="14" customFormat="false" ht="15" hidden="false" customHeight="false" outlineLevel="0" collapsed="false">
      <c r="A14" s="34" t="s">
        <v>124</v>
      </c>
      <c r="B14" s="34" t="s">
        <v>134</v>
      </c>
      <c r="C14" s="38" t="n">
        <v>5250000</v>
      </c>
      <c r="D14" s="38" t="n">
        <v>4961000</v>
      </c>
    </row>
    <row r="15" customFormat="false" ht="15" hidden="false" customHeight="false" outlineLevel="0" collapsed="false">
      <c r="A15" s="34" t="s">
        <v>124</v>
      </c>
      <c r="B15" s="34" t="s">
        <v>135</v>
      </c>
      <c r="C15" s="38" t="n">
        <v>5250000</v>
      </c>
      <c r="D15" s="38" t="n">
        <v>4615000</v>
      </c>
    </row>
    <row r="16" customFormat="false" ht="15" hidden="false" customHeight="false" outlineLevel="0" collapsed="false">
      <c r="A16" s="34" t="s">
        <v>124</v>
      </c>
      <c r="B16" s="34" t="s">
        <v>136</v>
      </c>
      <c r="C16" s="38" t="n">
        <v>5250000</v>
      </c>
      <c r="D16" s="38" t="n">
        <v>4683000</v>
      </c>
    </row>
    <row r="17" customFormat="false" ht="15" hidden="false" customHeight="false" outlineLevel="0" collapsed="false">
      <c r="A17" s="34" t="s">
        <v>124</v>
      </c>
      <c r="B17" s="34" t="s">
        <v>137</v>
      </c>
      <c r="C17" s="38" t="n">
        <v>5250000</v>
      </c>
      <c r="D17" s="38" t="n">
        <v>0</v>
      </c>
    </row>
    <row r="18" customFormat="false" ht="15" hidden="false" customHeight="false" outlineLevel="0" collapsed="false">
      <c r="A18" s="34" t="s">
        <v>125</v>
      </c>
      <c r="B18" s="34" t="s">
        <v>134</v>
      </c>
      <c r="C18" s="38" t="n">
        <v>5750000</v>
      </c>
      <c r="D18" s="38" t="n">
        <v>5511000</v>
      </c>
    </row>
    <row r="19" customFormat="false" ht="15" hidden="false" customHeight="false" outlineLevel="0" collapsed="false">
      <c r="A19" s="34" t="s">
        <v>125</v>
      </c>
      <c r="B19" s="34" t="s">
        <v>135</v>
      </c>
      <c r="C19" s="38" t="n">
        <v>5750000</v>
      </c>
      <c r="D19" s="38" t="n">
        <v>5611000</v>
      </c>
    </row>
    <row r="20" customFormat="false" ht="15" hidden="false" customHeight="false" outlineLevel="0" collapsed="false">
      <c r="A20" s="34" t="s">
        <v>125</v>
      </c>
      <c r="B20" s="34" t="s">
        <v>136</v>
      </c>
      <c r="C20" s="38" t="n">
        <v>5750000</v>
      </c>
      <c r="D20" s="38" t="n">
        <v>5451000</v>
      </c>
    </row>
    <row r="21" customFormat="false" ht="15" hidden="false" customHeight="false" outlineLevel="0" collapsed="false">
      <c r="A21" s="34" t="s">
        <v>125</v>
      </c>
      <c r="B21" s="34" t="s">
        <v>137</v>
      </c>
      <c r="C21" s="38" t="n">
        <v>5750000</v>
      </c>
      <c r="D21" s="38" t="n">
        <v>0</v>
      </c>
    </row>
    <row r="22" customFormat="false" ht="15" hidden="false" customHeight="false" outlineLevel="0" collapsed="false">
      <c r="A22" s="34" t="s">
        <v>126</v>
      </c>
      <c r="B22" s="34" t="s">
        <v>134</v>
      </c>
      <c r="C22" s="38" t="n">
        <v>5000000</v>
      </c>
      <c r="D22" s="38" t="n">
        <v>5110000</v>
      </c>
    </row>
    <row r="23" customFormat="false" ht="15" hidden="false" customHeight="false" outlineLevel="0" collapsed="false">
      <c r="A23" s="34" t="s">
        <v>126</v>
      </c>
      <c r="B23" s="34" t="s">
        <v>135</v>
      </c>
      <c r="C23" s="38" t="n">
        <v>5000000</v>
      </c>
      <c r="D23" s="38" t="n">
        <v>4708000</v>
      </c>
    </row>
    <row r="24" customFormat="false" ht="15" hidden="false" customHeight="false" outlineLevel="0" collapsed="false">
      <c r="A24" s="34" t="s">
        <v>126</v>
      </c>
      <c r="B24" s="34" t="s">
        <v>136</v>
      </c>
      <c r="C24" s="38" t="n">
        <v>5000000</v>
      </c>
      <c r="D24" s="38" t="n">
        <v>4620000</v>
      </c>
    </row>
    <row r="25" customFormat="false" ht="15" hidden="false" customHeight="false" outlineLevel="0" collapsed="false">
      <c r="A25" s="34" t="s">
        <v>126</v>
      </c>
      <c r="B25" s="34" t="s">
        <v>137</v>
      </c>
      <c r="C25" s="38" t="n">
        <v>5000000</v>
      </c>
      <c r="D25" s="3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s>
  <sheetData>
    <row r="1" customFormat="false" ht="27.75" hidden="false" customHeight="true" outlineLevel="0" collapsed="false">
      <c r="A1" s="33" t="s">
        <v>138</v>
      </c>
      <c r="B1" s="33" t="s">
        <v>47</v>
      </c>
      <c r="C1" s="33" t="s">
        <v>39</v>
      </c>
    </row>
    <row r="2" customFormat="false" ht="15" hidden="false" customHeight="false" outlineLevel="0" collapsed="false">
      <c r="A2" s="34" t="s">
        <v>48</v>
      </c>
      <c r="B2" s="34" t="s">
        <v>121</v>
      </c>
      <c r="C2" s="38" t="n">
        <v>12000</v>
      </c>
    </row>
    <row r="3" customFormat="false" ht="15" hidden="false" customHeight="false" outlineLevel="0" collapsed="false">
      <c r="A3" s="34" t="s">
        <v>48</v>
      </c>
      <c r="B3" s="34" t="s">
        <v>122</v>
      </c>
      <c r="C3" s="38" t="n">
        <v>9000</v>
      </c>
    </row>
    <row r="4" customFormat="false" ht="15" hidden="false" customHeight="false" outlineLevel="0" collapsed="false">
      <c r="A4" s="34" t="s">
        <v>48</v>
      </c>
      <c r="B4" s="34" t="s">
        <v>123</v>
      </c>
      <c r="C4" s="38" t="n">
        <v>10800</v>
      </c>
    </row>
    <row r="5" customFormat="false" ht="15" hidden="false" customHeight="false" outlineLevel="0" collapsed="false">
      <c r="A5" s="34" t="s">
        <v>48</v>
      </c>
      <c r="B5" s="34" t="s">
        <v>124</v>
      </c>
      <c r="C5" s="38" t="n">
        <v>9000</v>
      </c>
    </row>
    <row r="6" customFormat="false" ht="15" hidden="false" customHeight="false" outlineLevel="0" collapsed="false">
      <c r="A6" s="34" t="s">
        <v>48</v>
      </c>
      <c r="B6" s="34" t="s">
        <v>125</v>
      </c>
      <c r="C6" s="38" t="n">
        <v>10200</v>
      </c>
    </row>
    <row r="7" customFormat="false" ht="15" hidden="false" customHeight="false" outlineLevel="0" collapsed="false">
      <c r="A7" s="34" t="s">
        <v>48</v>
      </c>
      <c r="B7" s="34" t="s">
        <v>126</v>
      </c>
      <c r="C7" s="38" t="n">
        <v>9000</v>
      </c>
    </row>
    <row r="8" customFormat="false" ht="15" hidden="false" customHeight="false" outlineLevel="0" collapsed="false">
      <c r="A8" s="34" t="s">
        <v>49</v>
      </c>
      <c r="B8" s="34" t="s">
        <v>121</v>
      </c>
      <c r="C8" s="38" t="n">
        <v>24</v>
      </c>
    </row>
    <row r="9" customFormat="false" ht="15" hidden="false" customHeight="false" outlineLevel="0" collapsed="false">
      <c r="A9" s="34" t="s">
        <v>49</v>
      </c>
      <c r="B9" s="34" t="s">
        <v>122</v>
      </c>
      <c r="C9" s="38" t="n">
        <v>18</v>
      </c>
    </row>
    <row r="10" customFormat="false" ht="15" hidden="false" customHeight="false" outlineLevel="0" collapsed="false">
      <c r="A10" s="34" t="s">
        <v>49</v>
      </c>
      <c r="B10" s="34" t="s">
        <v>123</v>
      </c>
      <c r="C10" s="38" t="n">
        <v>22</v>
      </c>
    </row>
    <row r="11" customFormat="false" ht="15" hidden="false" customHeight="false" outlineLevel="0" collapsed="false">
      <c r="A11" s="34" t="s">
        <v>49</v>
      </c>
      <c r="B11" s="34" t="s">
        <v>124</v>
      </c>
      <c r="C11" s="38" t="n">
        <v>18</v>
      </c>
    </row>
    <row r="12" customFormat="false" ht="15" hidden="false" customHeight="false" outlineLevel="0" collapsed="false">
      <c r="A12" s="34" t="s">
        <v>49</v>
      </c>
      <c r="B12" s="34" t="s">
        <v>125</v>
      </c>
      <c r="C12" s="38" t="n">
        <v>20</v>
      </c>
    </row>
    <row r="13" customFormat="false" ht="15" hidden="false" customHeight="false" outlineLevel="0" collapsed="false">
      <c r="A13" s="34" t="s">
        <v>49</v>
      </c>
      <c r="B13" s="34" t="s">
        <v>126</v>
      </c>
      <c r="C13" s="38" t="n">
        <v>18</v>
      </c>
    </row>
    <row r="14" customFormat="false" ht="15" hidden="false" customHeight="false" outlineLevel="0" collapsed="false">
      <c r="A14" s="34" t="s">
        <v>50</v>
      </c>
      <c r="B14" s="34" t="s">
        <v>121</v>
      </c>
      <c r="C14" s="38" t="n">
        <v>3600</v>
      </c>
    </row>
    <row r="15" customFormat="false" ht="15" hidden="false" customHeight="false" outlineLevel="0" collapsed="false">
      <c r="A15" s="34" t="s">
        <v>50</v>
      </c>
      <c r="B15" s="34" t="s">
        <v>122</v>
      </c>
      <c r="C15" s="38" t="n">
        <v>2700</v>
      </c>
    </row>
    <row r="16" customFormat="false" ht="15" hidden="false" customHeight="false" outlineLevel="0" collapsed="false">
      <c r="A16" s="34" t="s">
        <v>50</v>
      </c>
      <c r="B16" s="34" t="s">
        <v>123</v>
      </c>
      <c r="C16" s="38" t="n">
        <v>3240</v>
      </c>
    </row>
    <row r="17" customFormat="false" ht="15" hidden="false" customHeight="false" outlineLevel="0" collapsed="false">
      <c r="A17" s="34" t="s">
        <v>50</v>
      </c>
      <c r="B17" s="34" t="s">
        <v>124</v>
      </c>
      <c r="C17" s="38" t="n">
        <v>2700</v>
      </c>
    </row>
    <row r="18" customFormat="false" ht="15" hidden="false" customHeight="false" outlineLevel="0" collapsed="false">
      <c r="A18" s="34" t="s">
        <v>50</v>
      </c>
      <c r="B18" s="34" t="s">
        <v>125</v>
      </c>
      <c r="C18" s="38" t="n">
        <v>3060</v>
      </c>
    </row>
    <row r="19" customFormat="false" ht="15" hidden="false" customHeight="false" outlineLevel="0" collapsed="false">
      <c r="A19" s="34" t="s">
        <v>50</v>
      </c>
      <c r="B19" s="34" t="s">
        <v>126</v>
      </c>
      <c r="C19" s="38" t="n">
        <v>2700</v>
      </c>
    </row>
    <row r="20" customFormat="false" ht="15" hidden="false" customHeight="false" outlineLevel="0" collapsed="false">
      <c r="A20" s="34" t="s">
        <v>51</v>
      </c>
      <c r="B20" s="34" t="s">
        <v>121</v>
      </c>
      <c r="C20" s="38" t="n">
        <v>72</v>
      </c>
    </row>
    <row r="21" customFormat="false" ht="15" hidden="false" customHeight="false" outlineLevel="0" collapsed="false">
      <c r="A21" s="34" t="s">
        <v>51</v>
      </c>
      <c r="B21" s="34" t="s">
        <v>122</v>
      </c>
      <c r="C21" s="38" t="n">
        <v>54</v>
      </c>
    </row>
    <row r="22" customFormat="false" ht="15" hidden="false" customHeight="false" outlineLevel="0" collapsed="false">
      <c r="A22" s="34" t="s">
        <v>51</v>
      </c>
      <c r="B22" s="34" t="s">
        <v>123</v>
      </c>
      <c r="C22" s="38" t="n">
        <v>65</v>
      </c>
    </row>
    <row r="23" customFormat="false" ht="15" hidden="false" customHeight="false" outlineLevel="0" collapsed="false">
      <c r="A23" s="34" t="s">
        <v>51</v>
      </c>
      <c r="B23" s="34" t="s">
        <v>124</v>
      </c>
      <c r="C23" s="38" t="n">
        <v>54</v>
      </c>
    </row>
    <row r="24" customFormat="false" ht="15" hidden="false" customHeight="false" outlineLevel="0" collapsed="false">
      <c r="A24" s="34" t="s">
        <v>51</v>
      </c>
      <c r="B24" s="34" t="s">
        <v>125</v>
      </c>
      <c r="C24" s="38" t="n">
        <v>61</v>
      </c>
    </row>
    <row r="25" customFormat="false" ht="15" hidden="false" customHeight="false" outlineLevel="0" collapsed="false">
      <c r="A25" s="34" t="s">
        <v>51</v>
      </c>
      <c r="B25" s="34" t="s">
        <v>126</v>
      </c>
      <c r="C25" s="38" t="n">
        <v>54</v>
      </c>
    </row>
    <row r="26" customFormat="false" ht="15" hidden="false" customHeight="false" outlineLevel="0" collapsed="false">
      <c r="A26" s="34" t="s">
        <v>52</v>
      </c>
      <c r="B26" s="34" t="s">
        <v>121</v>
      </c>
      <c r="C26" s="38" t="n">
        <v>10</v>
      </c>
    </row>
    <row r="27" customFormat="false" ht="15" hidden="false" customHeight="false" outlineLevel="0" collapsed="false">
      <c r="A27" s="34" t="s">
        <v>52</v>
      </c>
      <c r="B27" s="34" t="s">
        <v>122</v>
      </c>
      <c r="C27" s="38" t="n">
        <v>7</v>
      </c>
    </row>
    <row r="28" customFormat="false" ht="15" hidden="false" customHeight="false" outlineLevel="0" collapsed="false">
      <c r="A28" s="34" t="s">
        <v>52</v>
      </c>
      <c r="B28" s="34" t="s">
        <v>123</v>
      </c>
      <c r="C28" s="38" t="n">
        <v>9</v>
      </c>
    </row>
    <row r="29" customFormat="false" ht="15" hidden="false" customHeight="false" outlineLevel="0" collapsed="false">
      <c r="A29" s="34" t="s">
        <v>52</v>
      </c>
      <c r="B29" s="34" t="s">
        <v>124</v>
      </c>
      <c r="C29" s="38" t="n">
        <v>7</v>
      </c>
    </row>
    <row r="30" customFormat="false" ht="15" hidden="false" customHeight="false" outlineLevel="0" collapsed="false">
      <c r="A30" s="34" t="s">
        <v>52</v>
      </c>
      <c r="B30" s="34" t="s">
        <v>125</v>
      </c>
      <c r="C30" s="38" t="n">
        <v>8</v>
      </c>
    </row>
    <row r="31" customFormat="false" ht="15" hidden="false" customHeight="false" outlineLevel="0" collapsed="false">
      <c r="A31" s="34" t="s">
        <v>52</v>
      </c>
      <c r="B31" s="34" t="s">
        <v>126</v>
      </c>
      <c r="C31" s="38" t="n">
        <v>7</v>
      </c>
    </row>
    <row r="32" customFormat="false" ht="15" hidden="false" customHeight="false" outlineLevel="0" collapsed="false">
      <c r="A32" s="34" t="s">
        <v>53</v>
      </c>
      <c r="B32" s="34" t="s">
        <v>121</v>
      </c>
      <c r="C32" s="38" t="n">
        <v>18</v>
      </c>
    </row>
    <row r="33" customFormat="false" ht="15" hidden="false" customHeight="false" outlineLevel="0" collapsed="false">
      <c r="A33" s="34" t="s">
        <v>53</v>
      </c>
      <c r="B33" s="34" t="s">
        <v>122</v>
      </c>
      <c r="C33" s="38" t="n">
        <v>14</v>
      </c>
    </row>
    <row r="34" customFormat="false" ht="15" hidden="false" customHeight="false" outlineLevel="0" collapsed="false">
      <c r="A34" s="34" t="s">
        <v>53</v>
      </c>
      <c r="B34" s="34" t="s">
        <v>123</v>
      </c>
      <c r="C34" s="38" t="n">
        <v>16</v>
      </c>
    </row>
    <row r="35" customFormat="false" ht="15" hidden="false" customHeight="false" outlineLevel="0" collapsed="false">
      <c r="A35" s="34" t="s">
        <v>53</v>
      </c>
      <c r="B35" s="34" t="s">
        <v>124</v>
      </c>
      <c r="C35" s="38" t="n">
        <v>14</v>
      </c>
    </row>
    <row r="36" customFormat="false" ht="15" hidden="false" customHeight="false" outlineLevel="0" collapsed="false">
      <c r="A36" s="34" t="s">
        <v>53</v>
      </c>
      <c r="B36" s="34" t="s">
        <v>125</v>
      </c>
      <c r="C36" s="38" t="n">
        <v>15</v>
      </c>
    </row>
    <row r="37" customFormat="false" ht="15" hidden="false" customHeight="false" outlineLevel="0" collapsed="false">
      <c r="A37" s="34" t="s">
        <v>53</v>
      </c>
      <c r="B37" s="34" t="s">
        <v>126</v>
      </c>
      <c r="C37" s="38" t="n">
        <v>13</v>
      </c>
    </row>
    <row r="38" customFormat="false" ht="15" hidden="false" customHeight="false" outlineLevel="0" collapsed="false">
      <c r="A38" s="34" t="s">
        <v>54</v>
      </c>
      <c r="B38" s="34" t="s">
        <v>121</v>
      </c>
      <c r="C38" s="38" t="n">
        <v>1800</v>
      </c>
    </row>
    <row r="39" customFormat="false" ht="15" hidden="false" customHeight="false" outlineLevel="0" collapsed="false">
      <c r="A39" s="34" t="s">
        <v>54</v>
      </c>
      <c r="B39" s="34" t="s">
        <v>122</v>
      </c>
      <c r="C39" s="38" t="n">
        <v>1350</v>
      </c>
    </row>
    <row r="40" customFormat="false" ht="15" hidden="false" customHeight="false" outlineLevel="0" collapsed="false">
      <c r="A40" s="34" t="s">
        <v>54</v>
      </c>
      <c r="B40" s="34" t="s">
        <v>123</v>
      </c>
      <c r="C40" s="38" t="n">
        <v>1620</v>
      </c>
    </row>
    <row r="41" customFormat="false" ht="15" hidden="false" customHeight="false" outlineLevel="0" collapsed="false">
      <c r="A41" s="34" t="s">
        <v>54</v>
      </c>
      <c r="B41" s="34" t="s">
        <v>124</v>
      </c>
      <c r="C41" s="38" t="n">
        <v>1350</v>
      </c>
    </row>
    <row r="42" customFormat="false" ht="15" hidden="false" customHeight="false" outlineLevel="0" collapsed="false">
      <c r="A42" s="34" t="s">
        <v>54</v>
      </c>
      <c r="B42" s="34" t="s">
        <v>125</v>
      </c>
      <c r="C42" s="38" t="n">
        <v>1530</v>
      </c>
    </row>
    <row r="43" customFormat="false" ht="15" hidden="false" customHeight="false" outlineLevel="0" collapsed="false">
      <c r="A43" s="34" t="s">
        <v>54</v>
      </c>
      <c r="B43" s="34" t="s">
        <v>126</v>
      </c>
      <c r="C43" s="38" t="n">
        <v>1350</v>
      </c>
    </row>
    <row r="44" customFormat="false" ht="15" hidden="false" customHeight="false" outlineLevel="0" collapsed="false">
      <c r="A44" s="34" t="s">
        <v>55</v>
      </c>
      <c r="B44" s="34" t="s">
        <v>121</v>
      </c>
      <c r="C44" s="38" t="n">
        <v>300</v>
      </c>
    </row>
    <row r="45" customFormat="false" ht="15" hidden="false" customHeight="false" outlineLevel="0" collapsed="false">
      <c r="A45" s="34" t="s">
        <v>55</v>
      </c>
      <c r="B45" s="34" t="s">
        <v>122</v>
      </c>
      <c r="C45" s="38" t="n">
        <v>225</v>
      </c>
    </row>
    <row r="46" customFormat="false" ht="15" hidden="false" customHeight="false" outlineLevel="0" collapsed="false">
      <c r="A46" s="34" t="s">
        <v>55</v>
      </c>
      <c r="B46" s="34" t="s">
        <v>123</v>
      </c>
      <c r="C46" s="38" t="n">
        <v>270</v>
      </c>
    </row>
    <row r="47" customFormat="false" ht="15" hidden="false" customHeight="false" outlineLevel="0" collapsed="false">
      <c r="A47" s="34" t="s">
        <v>55</v>
      </c>
      <c r="B47" s="34" t="s">
        <v>124</v>
      </c>
      <c r="C47" s="38" t="n">
        <v>225</v>
      </c>
    </row>
    <row r="48" customFormat="false" ht="15" hidden="false" customHeight="false" outlineLevel="0" collapsed="false">
      <c r="A48" s="34" t="s">
        <v>55</v>
      </c>
      <c r="B48" s="34" t="s">
        <v>125</v>
      </c>
      <c r="C48" s="38" t="n">
        <v>255</v>
      </c>
    </row>
    <row r="49" customFormat="false" ht="15" hidden="false" customHeight="false" outlineLevel="0" collapsed="false">
      <c r="A49" s="34" t="s">
        <v>55</v>
      </c>
      <c r="B49" s="34" t="s">
        <v>126</v>
      </c>
      <c r="C49" s="38" t="n">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2"/>
    <col collapsed="false" customWidth="true" hidden="false" outlineLevel="0" max="4" min="4" style="0" width="10"/>
  </cols>
  <sheetData>
    <row r="1" customFormat="false" ht="27.75" hidden="false" customHeight="true" outlineLevel="0" collapsed="false">
      <c r="A1" s="33" t="s">
        <v>71</v>
      </c>
      <c r="B1" s="33" t="s">
        <v>47</v>
      </c>
      <c r="C1" s="33" t="s">
        <v>138</v>
      </c>
      <c r="D1" s="33" t="s">
        <v>139</v>
      </c>
    </row>
    <row r="2" customFormat="false" ht="15" hidden="false" customHeight="false" outlineLevel="0" collapsed="false">
      <c r="A2" s="39" t="n">
        <v>46023</v>
      </c>
      <c r="B2" s="34" t="s">
        <v>121</v>
      </c>
      <c r="C2" s="34" t="s">
        <v>48</v>
      </c>
      <c r="D2" s="38" t="n">
        <v>589</v>
      </c>
    </row>
    <row r="3" customFormat="false" ht="15" hidden="false" customHeight="false" outlineLevel="0" collapsed="false">
      <c r="A3" s="39" t="n">
        <v>46054</v>
      </c>
      <c r="B3" s="34" t="s">
        <v>121</v>
      </c>
      <c r="C3" s="34" t="s">
        <v>48</v>
      </c>
      <c r="D3" s="38" t="n">
        <v>824</v>
      </c>
    </row>
    <row r="4" customFormat="false" ht="15" hidden="false" customHeight="false" outlineLevel="0" collapsed="false">
      <c r="A4" s="39" t="n">
        <v>46082</v>
      </c>
      <c r="B4" s="34" t="s">
        <v>121</v>
      </c>
      <c r="C4" s="34" t="s">
        <v>48</v>
      </c>
      <c r="D4" s="38" t="n">
        <v>948</v>
      </c>
    </row>
    <row r="5" customFormat="false" ht="15" hidden="false" customHeight="false" outlineLevel="0" collapsed="false">
      <c r="A5" s="39" t="n">
        <v>46113</v>
      </c>
      <c r="B5" s="34" t="s">
        <v>121</v>
      </c>
      <c r="C5" s="34" t="s">
        <v>48</v>
      </c>
      <c r="D5" s="38" t="n">
        <v>1050</v>
      </c>
    </row>
    <row r="6" customFormat="false" ht="15" hidden="false" customHeight="false" outlineLevel="0" collapsed="false">
      <c r="A6" s="39" t="n">
        <v>46143</v>
      </c>
      <c r="B6" s="34" t="s">
        <v>121</v>
      </c>
      <c r="C6" s="34" t="s">
        <v>48</v>
      </c>
      <c r="D6" s="38" t="n">
        <v>1094</v>
      </c>
    </row>
    <row r="7" customFormat="false" ht="15" hidden="false" customHeight="false" outlineLevel="0" collapsed="false">
      <c r="A7" s="39" t="n">
        <v>46174</v>
      </c>
      <c r="B7" s="34" t="s">
        <v>121</v>
      </c>
      <c r="C7" s="34" t="s">
        <v>48</v>
      </c>
      <c r="D7" s="38" t="n">
        <v>1189</v>
      </c>
    </row>
    <row r="8" customFormat="false" ht="15" hidden="false" customHeight="false" outlineLevel="0" collapsed="false">
      <c r="A8" s="39" t="n">
        <v>46204</v>
      </c>
      <c r="B8" s="34" t="s">
        <v>121</v>
      </c>
      <c r="C8" s="34" t="s">
        <v>48</v>
      </c>
      <c r="D8" s="38" t="n">
        <v>1148</v>
      </c>
    </row>
    <row r="9" customFormat="false" ht="15" hidden="false" customHeight="false" outlineLevel="0" collapsed="false">
      <c r="A9" s="39" t="n">
        <v>46235</v>
      </c>
      <c r="B9" s="34" t="s">
        <v>121</v>
      </c>
      <c r="C9" s="34" t="s">
        <v>48</v>
      </c>
      <c r="D9" s="38" t="n">
        <v>1207</v>
      </c>
    </row>
    <row r="10" customFormat="false" ht="15" hidden="false" customHeight="false" outlineLevel="0" collapsed="false">
      <c r="A10" s="39" t="n">
        <v>46266</v>
      </c>
      <c r="B10" s="34" t="s">
        <v>121</v>
      </c>
      <c r="C10" s="34" t="s">
        <v>48</v>
      </c>
      <c r="D10" s="38" t="n">
        <v>1298</v>
      </c>
    </row>
    <row r="11" customFormat="false" ht="15" hidden="false" customHeight="false" outlineLevel="0" collapsed="false">
      <c r="A11" s="39" t="n">
        <v>46023</v>
      </c>
      <c r="B11" s="34" t="s">
        <v>121</v>
      </c>
      <c r="C11" s="34" t="s">
        <v>49</v>
      </c>
      <c r="D11" s="38" t="n">
        <v>1</v>
      </c>
    </row>
    <row r="12" customFormat="false" ht="15" hidden="false" customHeight="false" outlineLevel="0" collapsed="false">
      <c r="A12" s="39" t="n">
        <v>46054</v>
      </c>
      <c r="B12" s="34" t="s">
        <v>121</v>
      </c>
      <c r="C12" s="34" t="s">
        <v>49</v>
      </c>
      <c r="D12" s="38" t="n">
        <v>2</v>
      </c>
    </row>
    <row r="13" customFormat="false" ht="15" hidden="false" customHeight="false" outlineLevel="0" collapsed="false">
      <c r="A13" s="39" t="n">
        <v>46082</v>
      </c>
      <c r="B13" s="34" t="s">
        <v>121</v>
      </c>
      <c r="C13" s="34" t="s">
        <v>49</v>
      </c>
      <c r="D13" s="38" t="n">
        <v>0</v>
      </c>
    </row>
    <row r="14" customFormat="false" ht="15" hidden="false" customHeight="false" outlineLevel="0" collapsed="false">
      <c r="A14" s="39" t="n">
        <v>46113</v>
      </c>
      <c r="B14" s="34" t="s">
        <v>121</v>
      </c>
      <c r="C14" s="34" t="s">
        <v>49</v>
      </c>
      <c r="D14" s="38" t="n">
        <v>1</v>
      </c>
    </row>
    <row r="15" customFormat="false" ht="15" hidden="false" customHeight="false" outlineLevel="0" collapsed="false">
      <c r="A15" s="39" t="n">
        <v>46143</v>
      </c>
      <c r="B15" s="34" t="s">
        <v>121</v>
      </c>
      <c r="C15" s="34" t="s">
        <v>49</v>
      </c>
      <c r="D15" s="38" t="n">
        <v>1</v>
      </c>
    </row>
    <row r="16" customFormat="false" ht="15" hidden="false" customHeight="false" outlineLevel="0" collapsed="false">
      <c r="A16" s="39" t="n">
        <v>46174</v>
      </c>
      <c r="B16" s="34" t="s">
        <v>121</v>
      </c>
      <c r="C16" s="34" t="s">
        <v>49</v>
      </c>
      <c r="D16" s="38" t="n">
        <v>1</v>
      </c>
    </row>
    <row r="17" customFormat="false" ht="15" hidden="false" customHeight="false" outlineLevel="0" collapsed="false">
      <c r="A17" s="39" t="n">
        <v>46204</v>
      </c>
      <c r="B17" s="34" t="s">
        <v>121</v>
      </c>
      <c r="C17" s="34" t="s">
        <v>49</v>
      </c>
      <c r="D17" s="38" t="n">
        <v>1</v>
      </c>
    </row>
    <row r="18" customFormat="false" ht="15" hidden="false" customHeight="false" outlineLevel="0" collapsed="false">
      <c r="A18" s="39" t="n">
        <v>46235</v>
      </c>
      <c r="B18" s="34" t="s">
        <v>121</v>
      </c>
      <c r="C18" s="34" t="s">
        <v>49</v>
      </c>
      <c r="D18" s="38" t="n">
        <v>0</v>
      </c>
    </row>
    <row r="19" customFormat="false" ht="15" hidden="false" customHeight="false" outlineLevel="0" collapsed="false">
      <c r="A19" s="39" t="n">
        <v>46266</v>
      </c>
      <c r="B19" s="34" t="s">
        <v>121</v>
      </c>
      <c r="C19" s="34" t="s">
        <v>49</v>
      </c>
      <c r="D19" s="38" t="n">
        <v>2</v>
      </c>
    </row>
    <row r="20" customFormat="false" ht="15" hidden="false" customHeight="false" outlineLevel="0" collapsed="false">
      <c r="A20" s="39" t="n">
        <v>46023</v>
      </c>
      <c r="B20" s="34" t="s">
        <v>121</v>
      </c>
      <c r="C20" s="34" t="s">
        <v>50</v>
      </c>
      <c r="D20" s="38" t="n">
        <v>174</v>
      </c>
    </row>
    <row r="21" customFormat="false" ht="15" hidden="false" customHeight="false" outlineLevel="0" collapsed="false">
      <c r="A21" s="39" t="n">
        <v>46054</v>
      </c>
      <c r="B21" s="34" t="s">
        <v>121</v>
      </c>
      <c r="C21" s="34" t="s">
        <v>50</v>
      </c>
      <c r="D21" s="38" t="n">
        <v>276</v>
      </c>
    </row>
    <row r="22" customFormat="false" ht="15" hidden="false" customHeight="false" outlineLevel="0" collapsed="false">
      <c r="A22" s="39" t="n">
        <v>46082</v>
      </c>
      <c r="B22" s="34" t="s">
        <v>121</v>
      </c>
      <c r="C22" s="34" t="s">
        <v>50</v>
      </c>
      <c r="D22" s="38" t="n">
        <v>302</v>
      </c>
    </row>
    <row r="23" customFormat="false" ht="15" hidden="false" customHeight="false" outlineLevel="0" collapsed="false">
      <c r="A23" s="39" t="n">
        <v>46113</v>
      </c>
      <c r="B23" s="34" t="s">
        <v>121</v>
      </c>
      <c r="C23" s="34" t="s">
        <v>50</v>
      </c>
      <c r="D23" s="38" t="n">
        <v>306</v>
      </c>
    </row>
    <row r="24" customFormat="false" ht="15" hidden="false" customHeight="false" outlineLevel="0" collapsed="false">
      <c r="A24" s="39" t="n">
        <v>46143</v>
      </c>
      <c r="B24" s="34" t="s">
        <v>121</v>
      </c>
      <c r="C24" s="34" t="s">
        <v>50</v>
      </c>
      <c r="D24" s="38" t="n">
        <v>335</v>
      </c>
    </row>
    <row r="25" customFormat="false" ht="15" hidden="false" customHeight="false" outlineLevel="0" collapsed="false">
      <c r="A25" s="39" t="n">
        <v>46174</v>
      </c>
      <c r="B25" s="34" t="s">
        <v>121</v>
      </c>
      <c r="C25" s="34" t="s">
        <v>50</v>
      </c>
      <c r="D25" s="38" t="n">
        <v>394</v>
      </c>
    </row>
    <row r="26" customFormat="false" ht="15" hidden="false" customHeight="false" outlineLevel="0" collapsed="false">
      <c r="A26" s="39" t="n">
        <v>46204</v>
      </c>
      <c r="B26" s="34" t="s">
        <v>121</v>
      </c>
      <c r="C26" s="34" t="s">
        <v>50</v>
      </c>
      <c r="D26" s="38" t="n">
        <v>398</v>
      </c>
    </row>
    <row r="27" customFormat="false" ht="15" hidden="false" customHeight="false" outlineLevel="0" collapsed="false">
      <c r="A27" s="39" t="n">
        <v>46235</v>
      </c>
      <c r="B27" s="34" t="s">
        <v>121</v>
      </c>
      <c r="C27" s="34" t="s">
        <v>50</v>
      </c>
      <c r="D27" s="38" t="n">
        <v>411</v>
      </c>
    </row>
    <row r="28" customFormat="false" ht="15" hidden="false" customHeight="false" outlineLevel="0" collapsed="false">
      <c r="A28" s="39" t="n">
        <v>46266</v>
      </c>
      <c r="B28" s="34" t="s">
        <v>121</v>
      </c>
      <c r="C28" s="34" t="s">
        <v>50</v>
      </c>
      <c r="D28" s="38" t="n">
        <v>378</v>
      </c>
    </row>
    <row r="29" customFormat="false" ht="15" hidden="false" customHeight="false" outlineLevel="0" collapsed="false">
      <c r="A29" s="39" t="n">
        <v>46023</v>
      </c>
      <c r="B29" s="34" t="s">
        <v>121</v>
      </c>
      <c r="C29" s="34" t="s">
        <v>51</v>
      </c>
      <c r="D29" s="38" t="n">
        <v>6</v>
      </c>
    </row>
    <row r="30" customFormat="false" ht="15" hidden="false" customHeight="false" outlineLevel="0" collapsed="false">
      <c r="A30" s="39" t="n">
        <v>46054</v>
      </c>
      <c r="B30" s="34" t="s">
        <v>121</v>
      </c>
      <c r="C30" s="34" t="s">
        <v>51</v>
      </c>
      <c r="D30" s="38" t="n">
        <v>7</v>
      </c>
    </row>
    <row r="31" customFormat="false" ht="15" hidden="false" customHeight="false" outlineLevel="0" collapsed="false">
      <c r="A31" s="39" t="n">
        <v>46082</v>
      </c>
      <c r="B31" s="34" t="s">
        <v>121</v>
      </c>
      <c r="C31" s="34" t="s">
        <v>51</v>
      </c>
      <c r="D31" s="38" t="n">
        <v>5</v>
      </c>
    </row>
    <row r="32" customFormat="false" ht="15" hidden="false" customHeight="false" outlineLevel="0" collapsed="false">
      <c r="A32" s="39" t="n">
        <v>46113</v>
      </c>
      <c r="B32" s="34" t="s">
        <v>121</v>
      </c>
      <c r="C32" s="34" t="s">
        <v>51</v>
      </c>
      <c r="D32" s="38" t="n">
        <v>6</v>
      </c>
    </row>
    <row r="33" customFormat="false" ht="15" hidden="false" customHeight="false" outlineLevel="0" collapsed="false">
      <c r="A33" s="39" t="n">
        <v>46143</v>
      </c>
      <c r="B33" s="34" t="s">
        <v>121</v>
      </c>
      <c r="C33" s="34" t="s">
        <v>51</v>
      </c>
      <c r="D33" s="38" t="n">
        <v>8</v>
      </c>
    </row>
    <row r="34" customFormat="false" ht="15" hidden="false" customHeight="false" outlineLevel="0" collapsed="false">
      <c r="A34" s="39" t="n">
        <v>46174</v>
      </c>
      <c r="B34" s="34" t="s">
        <v>121</v>
      </c>
      <c r="C34" s="34" t="s">
        <v>51</v>
      </c>
      <c r="D34" s="38" t="n">
        <v>11</v>
      </c>
    </row>
    <row r="35" customFormat="false" ht="15" hidden="false" customHeight="false" outlineLevel="0" collapsed="false">
      <c r="A35" s="39" t="n">
        <v>46204</v>
      </c>
      <c r="B35" s="34" t="s">
        <v>121</v>
      </c>
      <c r="C35" s="34" t="s">
        <v>51</v>
      </c>
      <c r="D35" s="38" t="n">
        <v>3</v>
      </c>
    </row>
    <row r="36" customFormat="false" ht="15" hidden="false" customHeight="false" outlineLevel="0" collapsed="false">
      <c r="A36" s="39" t="n">
        <v>46235</v>
      </c>
      <c r="B36" s="34" t="s">
        <v>121</v>
      </c>
      <c r="C36" s="34" t="s">
        <v>51</v>
      </c>
      <c r="D36" s="38" t="n">
        <v>10</v>
      </c>
    </row>
    <row r="37" customFormat="false" ht="15" hidden="false" customHeight="false" outlineLevel="0" collapsed="false">
      <c r="A37" s="39" t="n">
        <v>46266</v>
      </c>
      <c r="B37" s="34" t="s">
        <v>121</v>
      </c>
      <c r="C37" s="34" t="s">
        <v>51</v>
      </c>
      <c r="D37" s="38" t="n">
        <v>12</v>
      </c>
    </row>
    <row r="38" customFormat="false" ht="15" hidden="false" customHeight="false" outlineLevel="0" collapsed="false">
      <c r="A38" s="39" t="n">
        <v>46023</v>
      </c>
      <c r="B38" s="34" t="s">
        <v>121</v>
      </c>
      <c r="C38" s="34" t="s">
        <v>52</v>
      </c>
      <c r="D38" s="38" t="n">
        <v>1</v>
      </c>
    </row>
    <row r="39" customFormat="false" ht="15" hidden="false" customHeight="false" outlineLevel="0" collapsed="false">
      <c r="A39" s="39" t="n">
        <v>46054</v>
      </c>
      <c r="B39" s="34" t="s">
        <v>121</v>
      </c>
      <c r="C39" s="34" t="s">
        <v>52</v>
      </c>
      <c r="D39" s="38" t="n">
        <v>0</v>
      </c>
    </row>
    <row r="40" customFormat="false" ht="15" hidden="false" customHeight="false" outlineLevel="0" collapsed="false">
      <c r="A40" s="39" t="n">
        <v>46082</v>
      </c>
      <c r="B40" s="34" t="s">
        <v>121</v>
      </c>
      <c r="C40" s="34" t="s">
        <v>52</v>
      </c>
      <c r="D40" s="38" t="n">
        <v>0</v>
      </c>
    </row>
    <row r="41" customFormat="false" ht="15" hidden="false" customHeight="false" outlineLevel="0" collapsed="false">
      <c r="A41" s="39" t="n">
        <v>46113</v>
      </c>
      <c r="B41" s="34" t="s">
        <v>121</v>
      </c>
      <c r="C41" s="34" t="s">
        <v>52</v>
      </c>
      <c r="D41" s="38" t="n">
        <v>0</v>
      </c>
    </row>
    <row r="42" customFormat="false" ht="15" hidden="false" customHeight="false" outlineLevel="0" collapsed="false">
      <c r="A42" s="39" t="n">
        <v>46143</v>
      </c>
      <c r="B42" s="34" t="s">
        <v>121</v>
      </c>
      <c r="C42" s="34" t="s">
        <v>52</v>
      </c>
      <c r="D42" s="38" t="n">
        <v>3</v>
      </c>
    </row>
    <row r="43" customFormat="false" ht="15" hidden="false" customHeight="false" outlineLevel="0" collapsed="false">
      <c r="A43" s="39" t="n">
        <v>46174</v>
      </c>
      <c r="B43" s="34" t="s">
        <v>121</v>
      </c>
      <c r="C43" s="34" t="s">
        <v>52</v>
      </c>
      <c r="D43" s="38" t="n">
        <v>0</v>
      </c>
    </row>
    <row r="44" customFormat="false" ht="15" hidden="false" customHeight="false" outlineLevel="0" collapsed="false">
      <c r="A44" s="39" t="n">
        <v>46204</v>
      </c>
      <c r="B44" s="34" t="s">
        <v>121</v>
      </c>
      <c r="C44" s="34" t="s">
        <v>52</v>
      </c>
      <c r="D44" s="38" t="n">
        <v>2</v>
      </c>
    </row>
    <row r="45" customFormat="false" ht="15" hidden="false" customHeight="false" outlineLevel="0" collapsed="false">
      <c r="A45" s="39" t="n">
        <v>46235</v>
      </c>
      <c r="B45" s="34" t="s">
        <v>121</v>
      </c>
      <c r="C45" s="34" t="s">
        <v>52</v>
      </c>
      <c r="D45" s="38" t="n">
        <v>0</v>
      </c>
    </row>
    <row r="46" customFormat="false" ht="15" hidden="false" customHeight="false" outlineLevel="0" collapsed="false">
      <c r="A46" s="39" t="n">
        <v>46266</v>
      </c>
      <c r="B46" s="34" t="s">
        <v>121</v>
      </c>
      <c r="C46" s="34" t="s">
        <v>52</v>
      </c>
      <c r="D46" s="38" t="n">
        <v>0</v>
      </c>
    </row>
    <row r="47" customFormat="false" ht="15" hidden="false" customHeight="false" outlineLevel="0" collapsed="false">
      <c r="A47" s="39" t="n">
        <v>46023</v>
      </c>
      <c r="B47" s="34" t="s">
        <v>121</v>
      </c>
      <c r="C47" s="34" t="s">
        <v>53</v>
      </c>
      <c r="D47" s="38" t="n">
        <v>2</v>
      </c>
    </row>
    <row r="48" customFormat="false" ht="15" hidden="false" customHeight="false" outlineLevel="0" collapsed="false">
      <c r="A48" s="39" t="n">
        <v>46054</v>
      </c>
      <c r="B48" s="34" t="s">
        <v>121</v>
      </c>
      <c r="C48" s="34" t="s">
        <v>53</v>
      </c>
      <c r="D48" s="38" t="n">
        <v>1</v>
      </c>
    </row>
    <row r="49" customFormat="false" ht="15" hidden="false" customHeight="false" outlineLevel="0" collapsed="false">
      <c r="A49" s="39" t="n">
        <v>46082</v>
      </c>
      <c r="B49" s="34" t="s">
        <v>121</v>
      </c>
      <c r="C49" s="34" t="s">
        <v>53</v>
      </c>
      <c r="D49" s="38" t="n">
        <v>0</v>
      </c>
    </row>
    <row r="50" customFormat="false" ht="15" hidden="false" customHeight="false" outlineLevel="0" collapsed="false">
      <c r="A50" s="39" t="n">
        <v>46113</v>
      </c>
      <c r="B50" s="34" t="s">
        <v>121</v>
      </c>
      <c r="C50" s="34" t="s">
        <v>53</v>
      </c>
      <c r="D50" s="38" t="n">
        <v>4</v>
      </c>
    </row>
    <row r="51" customFormat="false" ht="15" hidden="false" customHeight="false" outlineLevel="0" collapsed="false">
      <c r="A51" s="39" t="n">
        <v>46143</v>
      </c>
      <c r="B51" s="34" t="s">
        <v>121</v>
      </c>
      <c r="C51" s="34" t="s">
        <v>53</v>
      </c>
      <c r="D51" s="38" t="n">
        <v>0</v>
      </c>
    </row>
    <row r="52" customFormat="false" ht="15" hidden="false" customHeight="false" outlineLevel="0" collapsed="false">
      <c r="A52" s="39" t="n">
        <v>46174</v>
      </c>
      <c r="B52" s="34" t="s">
        <v>121</v>
      </c>
      <c r="C52" s="34" t="s">
        <v>53</v>
      </c>
      <c r="D52" s="38" t="n">
        <v>2</v>
      </c>
    </row>
    <row r="53" customFormat="false" ht="15" hidden="false" customHeight="false" outlineLevel="0" collapsed="false">
      <c r="A53" s="39" t="n">
        <v>46204</v>
      </c>
      <c r="B53" s="34" t="s">
        <v>121</v>
      </c>
      <c r="C53" s="34" t="s">
        <v>53</v>
      </c>
      <c r="D53" s="38" t="n">
        <v>3</v>
      </c>
    </row>
    <row r="54" customFormat="false" ht="15" hidden="false" customHeight="false" outlineLevel="0" collapsed="false">
      <c r="A54" s="39" t="n">
        <v>46235</v>
      </c>
      <c r="B54" s="34" t="s">
        <v>121</v>
      </c>
      <c r="C54" s="34" t="s">
        <v>53</v>
      </c>
      <c r="D54" s="38" t="n">
        <v>2</v>
      </c>
    </row>
    <row r="55" customFormat="false" ht="15" hidden="false" customHeight="false" outlineLevel="0" collapsed="false">
      <c r="A55" s="39" t="n">
        <v>46266</v>
      </c>
      <c r="B55" s="34" t="s">
        <v>121</v>
      </c>
      <c r="C55" s="34" t="s">
        <v>53</v>
      </c>
      <c r="D55" s="38" t="n">
        <v>2</v>
      </c>
    </row>
    <row r="56" customFormat="false" ht="15" hidden="false" customHeight="false" outlineLevel="0" collapsed="false">
      <c r="A56" s="39" t="n">
        <v>46023</v>
      </c>
      <c r="B56" s="34" t="s">
        <v>121</v>
      </c>
      <c r="C56" s="34" t="s">
        <v>54</v>
      </c>
      <c r="D56" s="38" t="n">
        <v>83</v>
      </c>
    </row>
    <row r="57" customFormat="false" ht="15" hidden="false" customHeight="false" outlineLevel="0" collapsed="false">
      <c r="A57" s="39" t="n">
        <v>46054</v>
      </c>
      <c r="B57" s="34" t="s">
        <v>121</v>
      </c>
      <c r="C57" s="34" t="s">
        <v>54</v>
      </c>
      <c r="D57" s="38" t="n">
        <v>110</v>
      </c>
    </row>
    <row r="58" customFormat="false" ht="15" hidden="false" customHeight="false" outlineLevel="0" collapsed="false">
      <c r="A58" s="39" t="n">
        <v>46082</v>
      </c>
      <c r="B58" s="34" t="s">
        <v>121</v>
      </c>
      <c r="C58" s="34" t="s">
        <v>54</v>
      </c>
      <c r="D58" s="38" t="n">
        <v>119</v>
      </c>
    </row>
    <row r="59" customFormat="false" ht="15" hidden="false" customHeight="false" outlineLevel="0" collapsed="false">
      <c r="A59" s="39" t="n">
        <v>46113</v>
      </c>
      <c r="B59" s="34" t="s">
        <v>121</v>
      </c>
      <c r="C59" s="34" t="s">
        <v>54</v>
      </c>
      <c r="D59" s="38" t="n">
        <v>129</v>
      </c>
    </row>
    <row r="60" customFormat="false" ht="15" hidden="false" customHeight="false" outlineLevel="0" collapsed="false">
      <c r="A60" s="39" t="n">
        <v>46143</v>
      </c>
      <c r="B60" s="34" t="s">
        <v>121</v>
      </c>
      <c r="C60" s="34" t="s">
        <v>54</v>
      </c>
      <c r="D60" s="38" t="n">
        <v>142</v>
      </c>
    </row>
    <row r="61" customFormat="false" ht="15" hidden="false" customHeight="false" outlineLevel="0" collapsed="false">
      <c r="A61" s="39" t="n">
        <v>46174</v>
      </c>
      <c r="B61" s="34" t="s">
        <v>121</v>
      </c>
      <c r="C61" s="34" t="s">
        <v>54</v>
      </c>
      <c r="D61" s="38" t="n">
        <v>146</v>
      </c>
    </row>
    <row r="62" customFormat="false" ht="15" hidden="false" customHeight="false" outlineLevel="0" collapsed="false">
      <c r="A62" s="39" t="n">
        <v>46204</v>
      </c>
      <c r="B62" s="34" t="s">
        <v>121</v>
      </c>
      <c r="C62" s="34" t="s">
        <v>54</v>
      </c>
      <c r="D62" s="38" t="n">
        <v>153</v>
      </c>
    </row>
    <row r="63" customFormat="false" ht="15" hidden="false" customHeight="false" outlineLevel="0" collapsed="false">
      <c r="A63" s="39" t="n">
        <v>46235</v>
      </c>
      <c r="B63" s="34" t="s">
        <v>121</v>
      </c>
      <c r="C63" s="34" t="s">
        <v>54</v>
      </c>
      <c r="D63" s="38" t="n">
        <v>174</v>
      </c>
    </row>
    <row r="64" customFormat="false" ht="15" hidden="false" customHeight="false" outlineLevel="0" collapsed="false">
      <c r="A64" s="39" t="n">
        <v>46266</v>
      </c>
      <c r="B64" s="34" t="s">
        <v>121</v>
      </c>
      <c r="C64" s="34" t="s">
        <v>54</v>
      </c>
      <c r="D64" s="38" t="n">
        <v>155</v>
      </c>
    </row>
    <row r="65" customFormat="false" ht="15" hidden="false" customHeight="false" outlineLevel="0" collapsed="false">
      <c r="A65" s="39" t="n">
        <v>46023</v>
      </c>
      <c r="B65" s="34" t="s">
        <v>121</v>
      </c>
      <c r="C65" s="34" t="s">
        <v>55</v>
      </c>
      <c r="D65" s="38" t="n">
        <v>16</v>
      </c>
    </row>
    <row r="66" customFormat="false" ht="15" hidden="false" customHeight="false" outlineLevel="0" collapsed="false">
      <c r="A66" s="39" t="n">
        <v>46054</v>
      </c>
      <c r="B66" s="34" t="s">
        <v>121</v>
      </c>
      <c r="C66" s="34" t="s">
        <v>55</v>
      </c>
      <c r="D66" s="38" t="n">
        <v>23</v>
      </c>
    </row>
    <row r="67" customFormat="false" ht="15" hidden="false" customHeight="false" outlineLevel="0" collapsed="false">
      <c r="A67" s="39" t="n">
        <v>46082</v>
      </c>
      <c r="B67" s="34" t="s">
        <v>121</v>
      </c>
      <c r="C67" s="34" t="s">
        <v>55</v>
      </c>
      <c r="D67" s="38" t="n">
        <v>25</v>
      </c>
    </row>
    <row r="68" customFormat="false" ht="15" hidden="false" customHeight="false" outlineLevel="0" collapsed="false">
      <c r="A68" s="39" t="n">
        <v>46113</v>
      </c>
      <c r="B68" s="34" t="s">
        <v>121</v>
      </c>
      <c r="C68" s="34" t="s">
        <v>55</v>
      </c>
      <c r="D68" s="38" t="n">
        <v>25</v>
      </c>
    </row>
    <row r="69" customFormat="false" ht="15" hidden="false" customHeight="false" outlineLevel="0" collapsed="false">
      <c r="A69" s="39" t="n">
        <v>46143</v>
      </c>
      <c r="B69" s="34" t="s">
        <v>121</v>
      </c>
      <c r="C69" s="34" t="s">
        <v>55</v>
      </c>
      <c r="D69" s="38" t="n">
        <v>40</v>
      </c>
    </row>
    <row r="70" customFormat="false" ht="15" hidden="false" customHeight="false" outlineLevel="0" collapsed="false">
      <c r="A70" s="39" t="n">
        <v>46174</v>
      </c>
      <c r="B70" s="34" t="s">
        <v>121</v>
      </c>
      <c r="C70" s="34" t="s">
        <v>55</v>
      </c>
      <c r="D70" s="38" t="n">
        <v>33</v>
      </c>
    </row>
    <row r="71" customFormat="false" ht="15" hidden="false" customHeight="false" outlineLevel="0" collapsed="false">
      <c r="A71" s="39" t="n">
        <v>46204</v>
      </c>
      <c r="B71" s="34" t="s">
        <v>121</v>
      </c>
      <c r="C71" s="34" t="s">
        <v>55</v>
      </c>
      <c r="D71" s="38" t="n">
        <v>35</v>
      </c>
    </row>
    <row r="72" customFormat="false" ht="15" hidden="false" customHeight="false" outlineLevel="0" collapsed="false">
      <c r="A72" s="39" t="n">
        <v>46235</v>
      </c>
      <c r="B72" s="34" t="s">
        <v>121</v>
      </c>
      <c r="C72" s="34" t="s">
        <v>55</v>
      </c>
      <c r="D72" s="38" t="n">
        <v>31</v>
      </c>
    </row>
    <row r="73" customFormat="false" ht="15" hidden="false" customHeight="false" outlineLevel="0" collapsed="false">
      <c r="A73" s="39" t="n">
        <v>46266</v>
      </c>
      <c r="B73" s="34" t="s">
        <v>121</v>
      </c>
      <c r="C73" s="34" t="s">
        <v>55</v>
      </c>
      <c r="D73" s="38" t="n">
        <v>42</v>
      </c>
    </row>
    <row r="74" customFormat="false" ht="15" hidden="false" customHeight="false" outlineLevel="0" collapsed="false">
      <c r="A74" s="39" t="n">
        <v>46023</v>
      </c>
      <c r="B74" s="34" t="s">
        <v>122</v>
      </c>
      <c r="C74" s="34" t="s">
        <v>48</v>
      </c>
      <c r="D74" s="38" t="n">
        <v>363</v>
      </c>
    </row>
    <row r="75" customFormat="false" ht="15" hidden="false" customHeight="false" outlineLevel="0" collapsed="false">
      <c r="A75" s="39" t="n">
        <v>46054</v>
      </c>
      <c r="B75" s="34" t="s">
        <v>122</v>
      </c>
      <c r="C75" s="34" t="s">
        <v>48</v>
      </c>
      <c r="D75" s="38" t="n">
        <v>528</v>
      </c>
    </row>
    <row r="76" customFormat="false" ht="15" hidden="false" customHeight="false" outlineLevel="0" collapsed="false">
      <c r="A76" s="39" t="n">
        <v>46082</v>
      </c>
      <c r="B76" s="34" t="s">
        <v>122</v>
      </c>
      <c r="C76" s="34" t="s">
        <v>48</v>
      </c>
      <c r="D76" s="38" t="n">
        <v>647</v>
      </c>
    </row>
    <row r="77" customFormat="false" ht="15" hidden="false" customHeight="false" outlineLevel="0" collapsed="false">
      <c r="A77" s="39" t="n">
        <v>46113</v>
      </c>
      <c r="B77" s="34" t="s">
        <v>122</v>
      </c>
      <c r="C77" s="34" t="s">
        <v>48</v>
      </c>
      <c r="D77" s="38" t="n">
        <v>683</v>
      </c>
    </row>
    <row r="78" customFormat="false" ht="15" hidden="false" customHeight="false" outlineLevel="0" collapsed="false">
      <c r="A78" s="39" t="n">
        <v>46143</v>
      </c>
      <c r="B78" s="34" t="s">
        <v>122</v>
      </c>
      <c r="C78" s="34" t="s">
        <v>48</v>
      </c>
      <c r="D78" s="38" t="n">
        <v>764</v>
      </c>
    </row>
    <row r="79" customFormat="false" ht="15" hidden="false" customHeight="false" outlineLevel="0" collapsed="false">
      <c r="A79" s="39" t="n">
        <v>46174</v>
      </c>
      <c r="B79" s="34" t="s">
        <v>122</v>
      </c>
      <c r="C79" s="34" t="s">
        <v>48</v>
      </c>
      <c r="D79" s="38" t="n">
        <v>797</v>
      </c>
    </row>
    <row r="80" customFormat="false" ht="15" hidden="false" customHeight="false" outlineLevel="0" collapsed="false">
      <c r="A80" s="39" t="n">
        <v>46204</v>
      </c>
      <c r="B80" s="34" t="s">
        <v>122</v>
      </c>
      <c r="C80" s="34" t="s">
        <v>48</v>
      </c>
      <c r="D80" s="38" t="n">
        <v>779</v>
      </c>
    </row>
    <row r="81" customFormat="false" ht="15" hidden="false" customHeight="false" outlineLevel="0" collapsed="false">
      <c r="A81" s="39" t="n">
        <v>46235</v>
      </c>
      <c r="B81" s="34" t="s">
        <v>122</v>
      </c>
      <c r="C81" s="34" t="s">
        <v>48</v>
      </c>
      <c r="D81" s="38" t="n">
        <v>862</v>
      </c>
    </row>
    <row r="82" customFormat="false" ht="15" hidden="false" customHeight="false" outlineLevel="0" collapsed="false">
      <c r="A82" s="39" t="n">
        <v>46266</v>
      </c>
      <c r="B82" s="34" t="s">
        <v>122</v>
      </c>
      <c r="C82" s="34" t="s">
        <v>48</v>
      </c>
      <c r="D82" s="38" t="n">
        <v>855</v>
      </c>
    </row>
    <row r="83" customFormat="false" ht="15" hidden="false" customHeight="false" outlineLevel="0" collapsed="false">
      <c r="A83" s="39" t="n">
        <v>46023</v>
      </c>
      <c r="B83" s="34" t="s">
        <v>122</v>
      </c>
      <c r="C83" s="34" t="s">
        <v>49</v>
      </c>
      <c r="D83" s="38" t="n">
        <v>0</v>
      </c>
    </row>
    <row r="84" customFormat="false" ht="15" hidden="false" customHeight="false" outlineLevel="0" collapsed="false">
      <c r="A84" s="39" t="n">
        <v>46054</v>
      </c>
      <c r="B84" s="34" t="s">
        <v>122</v>
      </c>
      <c r="C84" s="34" t="s">
        <v>49</v>
      </c>
      <c r="D84" s="38" t="n">
        <v>0</v>
      </c>
    </row>
    <row r="85" customFormat="false" ht="15" hidden="false" customHeight="false" outlineLevel="0" collapsed="false">
      <c r="A85" s="39" t="n">
        <v>46082</v>
      </c>
      <c r="B85" s="34" t="s">
        <v>122</v>
      </c>
      <c r="C85" s="34" t="s">
        <v>49</v>
      </c>
      <c r="D85" s="38" t="n">
        <v>0</v>
      </c>
    </row>
    <row r="86" customFormat="false" ht="15" hidden="false" customHeight="false" outlineLevel="0" collapsed="false">
      <c r="A86" s="39" t="n">
        <v>46113</v>
      </c>
      <c r="B86" s="34" t="s">
        <v>122</v>
      </c>
      <c r="C86" s="34" t="s">
        <v>49</v>
      </c>
      <c r="D86" s="38" t="n">
        <v>3</v>
      </c>
    </row>
    <row r="87" customFormat="false" ht="15" hidden="false" customHeight="false" outlineLevel="0" collapsed="false">
      <c r="A87" s="39" t="n">
        <v>46143</v>
      </c>
      <c r="B87" s="34" t="s">
        <v>122</v>
      </c>
      <c r="C87" s="34" t="s">
        <v>49</v>
      </c>
      <c r="D87" s="38" t="n">
        <v>3</v>
      </c>
    </row>
    <row r="88" customFormat="false" ht="15" hidden="false" customHeight="false" outlineLevel="0" collapsed="false">
      <c r="A88" s="39" t="n">
        <v>46174</v>
      </c>
      <c r="B88" s="34" t="s">
        <v>122</v>
      </c>
      <c r="C88" s="34" t="s">
        <v>49</v>
      </c>
      <c r="D88" s="38" t="n">
        <v>1</v>
      </c>
    </row>
    <row r="89" customFormat="false" ht="15" hidden="false" customHeight="false" outlineLevel="0" collapsed="false">
      <c r="A89" s="39" t="n">
        <v>46204</v>
      </c>
      <c r="B89" s="34" t="s">
        <v>122</v>
      </c>
      <c r="C89" s="34" t="s">
        <v>49</v>
      </c>
      <c r="D89" s="38" t="n">
        <v>0</v>
      </c>
    </row>
    <row r="90" customFormat="false" ht="15" hidden="false" customHeight="false" outlineLevel="0" collapsed="false">
      <c r="A90" s="39" t="n">
        <v>46235</v>
      </c>
      <c r="B90" s="34" t="s">
        <v>122</v>
      </c>
      <c r="C90" s="34" t="s">
        <v>49</v>
      </c>
      <c r="D90" s="38" t="n">
        <v>4</v>
      </c>
    </row>
    <row r="91" customFormat="false" ht="15" hidden="false" customHeight="false" outlineLevel="0" collapsed="false">
      <c r="A91" s="39" t="n">
        <v>46266</v>
      </c>
      <c r="B91" s="34" t="s">
        <v>122</v>
      </c>
      <c r="C91" s="34" t="s">
        <v>49</v>
      </c>
      <c r="D91" s="38" t="n">
        <v>3</v>
      </c>
    </row>
    <row r="92" customFormat="false" ht="15" hidden="false" customHeight="false" outlineLevel="0" collapsed="false">
      <c r="A92" s="39" t="n">
        <v>46023</v>
      </c>
      <c r="B92" s="34" t="s">
        <v>122</v>
      </c>
      <c r="C92" s="34" t="s">
        <v>50</v>
      </c>
      <c r="D92" s="38" t="n">
        <v>121</v>
      </c>
    </row>
    <row r="93" customFormat="false" ht="15" hidden="false" customHeight="false" outlineLevel="0" collapsed="false">
      <c r="A93" s="39" t="n">
        <v>46054</v>
      </c>
      <c r="B93" s="34" t="s">
        <v>122</v>
      </c>
      <c r="C93" s="34" t="s">
        <v>50</v>
      </c>
      <c r="D93" s="38" t="n">
        <v>173</v>
      </c>
    </row>
    <row r="94" customFormat="false" ht="15" hidden="false" customHeight="false" outlineLevel="0" collapsed="false">
      <c r="A94" s="39" t="n">
        <v>46082</v>
      </c>
      <c r="B94" s="34" t="s">
        <v>122</v>
      </c>
      <c r="C94" s="34" t="s">
        <v>50</v>
      </c>
      <c r="D94" s="38" t="n">
        <v>199</v>
      </c>
    </row>
    <row r="95" customFormat="false" ht="15" hidden="false" customHeight="false" outlineLevel="0" collapsed="false">
      <c r="A95" s="39" t="n">
        <v>46113</v>
      </c>
      <c r="B95" s="34" t="s">
        <v>122</v>
      </c>
      <c r="C95" s="34" t="s">
        <v>50</v>
      </c>
      <c r="D95" s="38" t="n">
        <v>229</v>
      </c>
    </row>
    <row r="96" customFormat="false" ht="15" hidden="false" customHeight="false" outlineLevel="0" collapsed="false">
      <c r="A96" s="39" t="n">
        <v>46143</v>
      </c>
      <c r="B96" s="34" t="s">
        <v>122</v>
      </c>
      <c r="C96" s="34" t="s">
        <v>50</v>
      </c>
      <c r="D96" s="38" t="n">
        <v>245</v>
      </c>
    </row>
    <row r="97" customFormat="false" ht="15" hidden="false" customHeight="false" outlineLevel="0" collapsed="false">
      <c r="A97" s="39" t="n">
        <v>46174</v>
      </c>
      <c r="B97" s="34" t="s">
        <v>122</v>
      </c>
      <c r="C97" s="34" t="s">
        <v>50</v>
      </c>
      <c r="D97" s="38" t="n">
        <v>265</v>
      </c>
    </row>
    <row r="98" customFormat="false" ht="15" hidden="false" customHeight="false" outlineLevel="0" collapsed="false">
      <c r="A98" s="39" t="n">
        <v>46204</v>
      </c>
      <c r="B98" s="34" t="s">
        <v>122</v>
      </c>
      <c r="C98" s="34" t="s">
        <v>50</v>
      </c>
      <c r="D98" s="38" t="n">
        <v>238</v>
      </c>
    </row>
    <row r="99" customFormat="false" ht="15" hidden="false" customHeight="false" outlineLevel="0" collapsed="false">
      <c r="A99" s="39" t="n">
        <v>46235</v>
      </c>
      <c r="B99" s="34" t="s">
        <v>122</v>
      </c>
      <c r="C99" s="34" t="s">
        <v>50</v>
      </c>
      <c r="D99" s="38" t="n">
        <v>291</v>
      </c>
    </row>
    <row r="100" customFormat="false" ht="15" hidden="false" customHeight="false" outlineLevel="0" collapsed="false">
      <c r="A100" s="39" t="n">
        <v>46266</v>
      </c>
      <c r="B100" s="34" t="s">
        <v>122</v>
      </c>
      <c r="C100" s="34" t="s">
        <v>50</v>
      </c>
      <c r="D100" s="38" t="n">
        <v>271</v>
      </c>
    </row>
    <row r="101" customFormat="false" ht="15" hidden="false" customHeight="false" outlineLevel="0" collapsed="false">
      <c r="A101" s="39" t="n">
        <v>46023</v>
      </c>
      <c r="B101" s="34" t="s">
        <v>122</v>
      </c>
      <c r="C101" s="34" t="s">
        <v>51</v>
      </c>
      <c r="D101" s="38" t="n">
        <v>2</v>
      </c>
    </row>
    <row r="102" customFormat="false" ht="15" hidden="false" customHeight="false" outlineLevel="0" collapsed="false">
      <c r="A102" s="39" t="n">
        <v>46054</v>
      </c>
      <c r="B102" s="34" t="s">
        <v>122</v>
      </c>
      <c r="C102" s="34" t="s">
        <v>51</v>
      </c>
      <c r="D102" s="38" t="n">
        <v>8</v>
      </c>
    </row>
    <row r="103" customFormat="false" ht="15" hidden="false" customHeight="false" outlineLevel="0" collapsed="false">
      <c r="A103" s="39" t="n">
        <v>46082</v>
      </c>
      <c r="B103" s="34" t="s">
        <v>122</v>
      </c>
      <c r="C103" s="34" t="s">
        <v>51</v>
      </c>
      <c r="D103" s="38" t="n">
        <v>8</v>
      </c>
    </row>
    <row r="104" customFormat="false" ht="15" hidden="false" customHeight="false" outlineLevel="0" collapsed="false">
      <c r="A104" s="39" t="n">
        <v>46113</v>
      </c>
      <c r="B104" s="34" t="s">
        <v>122</v>
      </c>
      <c r="C104" s="34" t="s">
        <v>51</v>
      </c>
      <c r="D104" s="38" t="n">
        <v>4</v>
      </c>
    </row>
    <row r="105" customFormat="false" ht="15" hidden="false" customHeight="false" outlineLevel="0" collapsed="false">
      <c r="A105" s="39" t="n">
        <v>46143</v>
      </c>
      <c r="B105" s="34" t="s">
        <v>122</v>
      </c>
      <c r="C105" s="34" t="s">
        <v>51</v>
      </c>
      <c r="D105" s="38" t="n">
        <v>4</v>
      </c>
    </row>
    <row r="106" customFormat="false" ht="15" hidden="false" customHeight="false" outlineLevel="0" collapsed="false">
      <c r="A106" s="39" t="n">
        <v>46174</v>
      </c>
      <c r="B106" s="34" t="s">
        <v>122</v>
      </c>
      <c r="C106" s="34" t="s">
        <v>51</v>
      </c>
      <c r="D106" s="38" t="n">
        <v>7</v>
      </c>
    </row>
    <row r="107" customFormat="false" ht="15" hidden="false" customHeight="false" outlineLevel="0" collapsed="false">
      <c r="A107" s="39" t="n">
        <v>46204</v>
      </c>
      <c r="B107" s="34" t="s">
        <v>122</v>
      </c>
      <c r="C107" s="34" t="s">
        <v>51</v>
      </c>
      <c r="D107" s="38" t="n">
        <v>4</v>
      </c>
    </row>
    <row r="108" customFormat="false" ht="15" hidden="false" customHeight="false" outlineLevel="0" collapsed="false">
      <c r="A108" s="39" t="n">
        <v>46235</v>
      </c>
      <c r="B108" s="34" t="s">
        <v>122</v>
      </c>
      <c r="C108" s="34" t="s">
        <v>51</v>
      </c>
      <c r="D108" s="38" t="n">
        <v>5</v>
      </c>
    </row>
    <row r="109" customFormat="false" ht="15" hidden="false" customHeight="false" outlineLevel="0" collapsed="false">
      <c r="A109" s="39" t="n">
        <v>46266</v>
      </c>
      <c r="B109" s="34" t="s">
        <v>122</v>
      </c>
      <c r="C109" s="34" t="s">
        <v>51</v>
      </c>
      <c r="D109" s="38" t="n">
        <v>2</v>
      </c>
    </row>
    <row r="110" customFormat="false" ht="15" hidden="false" customHeight="false" outlineLevel="0" collapsed="false">
      <c r="A110" s="39" t="n">
        <v>46023</v>
      </c>
      <c r="B110" s="34" t="s">
        <v>122</v>
      </c>
      <c r="C110" s="34" t="s">
        <v>52</v>
      </c>
      <c r="D110" s="38" t="n">
        <v>1</v>
      </c>
    </row>
    <row r="111" customFormat="false" ht="15" hidden="false" customHeight="false" outlineLevel="0" collapsed="false">
      <c r="A111" s="39" t="n">
        <v>46054</v>
      </c>
      <c r="B111" s="34" t="s">
        <v>122</v>
      </c>
      <c r="C111" s="34" t="s">
        <v>52</v>
      </c>
      <c r="D111" s="38" t="n">
        <v>0</v>
      </c>
    </row>
    <row r="112" customFormat="false" ht="15" hidden="false" customHeight="false" outlineLevel="0" collapsed="false">
      <c r="A112" s="39" t="n">
        <v>46082</v>
      </c>
      <c r="B112" s="34" t="s">
        <v>122</v>
      </c>
      <c r="C112" s="34" t="s">
        <v>52</v>
      </c>
      <c r="D112" s="38" t="n">
        <v>0</v>
      </c>
    </row>
    <row r="113" customFormat="false" ht="15" hidden="false" customHeight="false" outlineLevel="0" collapsed="false">
      <c r="A113" s="39" t="n">
        <v>46113</v>
      </c>
      <c r="B113" s="34" t="s">
        <v>122</v>
      </c>
      <c r="C113" s="34" t="s">
        <v>52</v>
      </c>
      <c r="D113" s="38" t="n">
        <v>0</v>
      </c>
    </row>
    <row r="114" customFormat="false" ht="15" hidden="false" customHeight="false" outlineLevel="0" collapsed="false">
      <c r="A114" s="39" t="n">
        <v>46143</v>
      </c>
      <c r="B114" s="34" t="s">
        <v>122</v>
      </c>
      <c r="C114" s="34" t="s">
        <v>52</v>
      </c>
      <c r="D114" s="38" t="n">
        <v>1</v>
      </c>
    </row>
    <row r="115" customFormat="false" ht="15" hidden="false" customHeight="false" outlineLevel="0" collapsed="false">
      <c r="A115" s="39" t="n">
        <v>46174</v>
      </c>
      <c r="B115" s="34" t="s">
        <v>122</v>
      </c>
      <c r="C115" s="34" t="s">
        <v>52</v>
      </c>
      <c r="D115" s="38" t="n">
        <v>0</v>
      </c>
    </row>
    <row r="116" customFormat="false" ht="15" hidden="false" customHeight="false" outlineLevel="0" collapsed="false">
      <c r="A116" s="39" t="n">
        <v>46204</v>
      </c>
      <c r="B116" s="34" t="s">
        <v>122</v>
      </c>
      <c r="C116" s="34" t="s">
        <v>52</v>
      </c>
      <c r="D116" s="38" t="n">
        <v>0</v>
      </c>
    </row>
    <row r="117" customFormat="false" ht="15" hidden="false" customHeight="false" outlineLevel="0" collapsed="false">
      <c r="A117" s="39" t="n">
        <v>46235</v>
      </c>
      <c r="B117" s="34" t="s">
        <v>122</v>
      </c>
      <c r="C117" s="34" t="s">
        <v>52</v>
      </c>
      <c r="D117" s="38" t="n">
        <v>0</v>
      </c>
    </row>
    <row r="118" customFormat="false" ht="15" hidden="false" customHeight="false" outlineLevel="0" collapsed="false">
      <c r="A118" s="39" t="n">
        <v>46266</v>
      </c>
      <c r="B118" s="34" t="s">
        <v>122</v>
      </c>
      <c r="C118" s="34" t="s">
        <v>52</v>
      </c>
      <c r="D118" s="38" t="n">
        <v>0</v>
      </c>
    </row>
    <row r="119" customFormat="false" ht="15" hidden="false" customHeight="false" outlineLevel="0" collapsed="false">
      <c r="A119" s="39" t="n">
        <v>46023</v>
      </c>
      <c r="B119" s="34" t="s">
        <v>122</v>
      </c>
      <c r="C119" s="34" t="s">
        <v>53</v>
      </c>
      <c r="D119" s="38" t="n">
        <v>2</v>
      </c>
    </row>
    <row r="120" customFormat="false" ht="15" hidden="false" customHeight="false" outlineLevel="0" collapsed="false">
      <c r="A120" s="39" t="n">
        <v>46054</v>
      </c>
      <c r="B120" s="34" t="s">
        <v>122</v>
      </c>
      <c r="C120" s="34" t="s">
        <v>53</v>
      </c>
      <c r="D120" s="38" t="n">
        <v>0</v>
      </c>
    </row>
    <row r="121" customFormat="false" ht="15" hidden="false" customHeight="false" outlineLevel="0" collapsed="false">
      <c r="A121" s="39" t="n">
        <v>46082</v>
      </c>
      <c r="B121" s="34" t="s">
        <v>122</v>
      </c>
      <c r="C121" s="34" t="s">
        <v>53</v>
      </c>
      <c r="D121" s="38" t="n">
        <v>1</v>
      </c>
    </row>
    <row r="122" customFormat="false" ht="15" hidden="false" customHeight="false" outlineLevel="0" collapsed="false">
      <c r="A122" s="39" t="n">
        <v>46113</v>
      </c>
      <c r="B122" s="34" t="s">
        <v>122</v>
      </c>
      <c r="C122" s="34" t="s">
        <v>53</v>
      </c>
      <c r="D122" s="38" t="n">
        <v>0</v>
      </c>
    </row>
    <row r="123" customFormat="false" ht="15" hidden="false" customHeight="false" outlineLevel="0" collapsed="false">
      <c r="A123" s="39" t="n">
        <v>46143</v>
      </c>
      <c r="B123" s="34" t="s">
        <v>122</v>
      </c>
      <c r="C123" s="34" t="s">
        <v>53</v>
      </c>
      <c r="D123" s="38" t="n">
        <v>1</v>
      </c>
    </row>
    <row r="124" customFormat="false" ht="15" hidden="false" customHeight="false" outlineLevel="0" collapsed="false">
      <c r="A124" s="39" t="n">
        <v>46174</v>
      </c>
      <c r="B124" s="34" t="s">
        <v>122</v>
      </c>
      <c r="C124" s="34" t="s">
        <v>53</v>
      </c>
      <c r="D124" s="38" t="n">
        <v>3</v>
      </c>
    </row>
    <row r="125" customFormat="false" ht="15" hidden="false" customHeight="false" outlineLevel="0" collapsed="false">
      <c r="A125" s="39" t="n">
        <v>46204</v>
      </c>
      <c r="B125" s="34" t="s">
        <v>122</v>
      </c>
      <c r="C125" s="34" t="s">
        <v>53</v>
      </c>
      <c r="D125" s="38" t="n">
        <v>2</v>
      </c>
    </row>
    <row r="126" customFormat="false" ht="15" hidden="false" customHeight="false" outlineLevel="0" collapsed="false">
      <c r="A126" s="39" t="n">
        <v>46235</v>
      </c>
      <c r="B126" s="34" t="s">
        <v>122</v>
      </c>
      <c r="C126" s="34" t="s">
        <v>53</v>
      </c>
      <c r="D126" s="38" t="n">
        <v>5</v>
      </c>
    </row>
    <row r="127" customFormat="false" ht="15" hidden="false" customHeight="false" outlineLevel="0" collapsed="false">
      <c r="A127" s="39" t="n">
        <v>46266</v>
      </c>
      <c r="B127" s="34" t="s">
        <v>122</v>
      </c>
      <c r="C127" s="34" t="s">
        <v>53</v>
      </c>
      <c r="D127" s="38" t="n">
        <v>1</v>
      </c>
    </row>
    <row r="128" customFormat="false" ht="15" hidden="false" customHeight="false" outlineLevel="0" collapsed="false">
      <c r="A128" s="39" t="n">
        <v>46023</v>
      </c>
      <c r="B128" s="34" t="s">
        <v>122</v>
      </c>
      <c r="C128" s="34" t="s">
        <v>54</v>
      </c>
      <c r="D128" s="38" t="n">
        <v>76</v>
      </c>
    </row>
    <row r="129" customFormat="false" ht="15" hidden="false" customHeight="false" outlineLevel="0" collapsed="false">
      <c r="A129" s="39" t="n">
        <v>46054</v>
      </c>
      <c r="B129" s="34" t="s">
        <v>122</v>
      </c>
      <c r="C129" s="34" t="s">
        <v>54</v>
      </c>
      <c r="D129" s="38" t="n">
        <v>77</v>
      </c>
    </row>
    <row r="130" customFormat="false" ht="15" hidden="false" customHeight="false" outlineLevel="0" collapsed="false">
      <c r="A130" s="39" t="n">
        <v>46082</v>
      </c>
      <c r="B130" s="34" t="s">
        <v>122</v>
      </c>
      <c r="C130" s="34" t="s">
        <v>54</v>
      </c>
      <c r="D130" s="38" t="n">
        <v>101</v>
      </c>
    </row>
    <row r="131" customFormat="false" ht="15" hidden="false" customHeight="false" outlineLevel="0" collapsed="false">
      <c r="A131" s="39" t="n">
        <v>46113</v>
      </c>
      <c r="B131" s="34" t="s">
        <v>122</v>
      </c>
      <c r="C131" s="34" t="s">
        <v>54</v>
      </c>
      <c r="D131" s="38" t="n">
        <v>90</v>
      </c>
    </row>
    <row r="132" customFormat="false" ht="15" hidden="false" customHeight="false" outlineLevel="0" collapsed="false">
      <c r="A132" s="39" t="n">
        <v>46143</v>
      </c>
      <c r="B132" s="34" t="s">
        <v>122</v>
      </c>
      <c r="C132" s="34" t="s">
        <v>54</v>
      </c>
      <c r="D132" s="38" t="n">
        <v>104</v>
      </c>
    </row>
    <row r="133" customFormat="false" ht="15" hidden="false" customHeight="false" outlineLevel="0" collapsed="false">
      <c r="A133" s="39" t="n">
        <v>46174</v>
      </c>
      <c r="B133" s="34" t="s">
        <v>122</v>
      </c>
      <c r="C133" s="34" t="s">
        <v>54</v>
      </c>
      <c r="D133" s="38" t="n">
        <v>95</v>
      </c>
    </row>
    <row r="134" customFormat="false" ht="15" hidden="false" customHeight="false" outlineLevel="0" collapsed="false">
      <c r="A134" s="39" t="n">
        <v>46204</v>
      </c>
      <c r="B134" s="34" t="s">
        <v>122</v>
      </c>
      <c r="C134" s="34" t="s">
        <v>54</v>
      </c>
      <c r="D134" s="38" t="n">
        <v>113</v>
      </c>
    </row>
    <row r="135" customFormat="false" ht="15" hidden="false" customHeight="false" outlineLevel="0" collapsed="false">
      <c r="A135" s="39" t="n">
        <v>46235</v>
      </c>
      <c r="B135" s="34" t="s">
        <v>122</v>
      </c>
      <c r="C135" s="34" t="s">
        <v>54</v>
      </c>
      <c r="D135" s="38" t="n">
        <v>94</v>
      </c>
    </row>
    <row r="136" customFormat="false" ht="15" hidden="false" customHeight="false" outlineLevel="0" collapsed="false">
      <c r="A136" s="39" t="n">
        <v>46266</v>
      </c>
      <c r="B136" s="34" t="s">
        <v>122</v>
      </c>
      <c r="C136" s="34" t="s">
        <v>54</v>
      </c>
      <c r="D136" s="38" t="n">
        <v>110</v>
      </c>
    </row>
    <row r="137" customFormat="false" ht="15" hidden="false" customHeight="false" outlineLevel="0" collapsed="false">
      <c r="A137" s="39" t="n">
        <v>46023</v>
      </c>
      <c r="B137" s="34" t="s">
        <v>122</v>
      </c>
      <c r="C137" s="34" t="s">
        <v>55</v>
      </c>
      <c r="D137" s="38" t="n">
        <v>11</v>
      </c>
    </row>
    <row r="138" customFormat="false" ht="15" hidden="false" customHeight="false" outlineLevel="0" collapsed="false">
      <c r="A138" s="39" t="n">
        <v>46054</v>
      </c>
      <c r="B138" s="34" t="s">
        <v>122</v>
      </c>
      <c r="C138" s="34" t="s">
        <v>55</v>
      </c>
      <c r="D138" s="38" t="n">
        <v>17</v>
      </c>
    </row>
    <row r="139" customFormat="false" ht="15" hidden="false" customHeight="false" outlineLevel="0" collapsed="false">
      <c r="A139" s="39" t="n">
        <v>46082</v>
      </c>
      <c r="B139" s="34" t="s">
        <v>122</v>
      </c>
      <c r="C139" s="34" t="s">
        <v>55</v>
      </c>
      <c r="D139" s="38" t="n">
        <v>16</v>
      </c>
    </row>
    <row r="140" customFormat="false" ht="15" hidden="false" customHeight="false" outlineLevel="0" collapsed="false">
      <c r="A140" s="39" t="n">
        <v>46113</v>
      </c>
      <c r="B140" s="34" t="s">
        <v>122</v>
      </c>
      <c r="C140" s="34" t="s">
        <v>55</v>
      </c>
      <c r="D140" s="38" t="n">
        <v>24</v>
      </c>
    </row>
    <row r="141" customFormat="false" ht="15" hidden="false" customHeight="false" outlineLevel="0" collapsed="false">
      <c r="A141" s="39" t="n">
        <v>46143</v>
      </c>
      <c r="B141" s="34" t="s">
        <v>122</v>
      </c>
      <c r="C141" s="34" t="s">
        <v>55</v>
      </c>
      <c r="D141" s="38" t="n">
        <v>23</v>
      </c>
    </row>
    <row r="142" customFormat="false" ht="15" hidden="false" customHeight="false" outlineLevel="0" collapsed="false">
      <c r="A142" s="39" t="n">
        <v>46174</v>
      </c>
      <c r="B142" s="34" t="s">
        <v>122</v>
      </c>
      <c r="C142" s="34" t="s">
        <v>55</v>
      </c>
      <c r="D142" s="38" t="n">
        <v>24</v>
      </c>
    </row>
    <row r="143" customFormat="false" ht="15" hidden="false" customHeight="false" outlineLevel="0" collapsed="false">
      <c r="A143" s="39" t="n">
        <v>46204</v>
      </c>
      <c r="B143" s="34" t="s">
        <v>122</v>
      </c>
      <c r="C143" s="34" t="s">
        <v>55</v>
      </c>
      <c r="D143" s="38" t="n">
        <v>18</v>
      </c>
    </row>
    <row r="144" customFormat="false" ht="15" hidden="false" customHeight="false" outlineLevel="0" collapsed="false">
      <c r="A144" s="39" t="n">
        <v>46235</v>
      </c>
      <c r="B144" s="34" t="s">
        <v>122</v>
      </c>
      <c r="C144" s="34" t="s">
        <v>55</v>
      </c>
      <c r="D144" s="38" t="n">
        <v>22</v>
      </c>
    </row>
    <row r="145" customFormat="false" ht="15" hidden="false" customHeight="false" outlineLevel="0" collapsed="false">
      <c r="A145" s="39" t="n">
        <v>46266</v>
      </c>
      <c r="B145" s="34" t="s">
        <v>122</v>
      </c>
      <c r="C145" s="34" t="s">
        <v>55</v>
      </c>
      <c r="D145" s="38" t="n">
        <v>27</v>
      </c>
    </row>
    <row r="146" customFormat="false" ht="15" hidden="false" customHeight="false" outlineLevel="0" collapsed="false">
      <c r="A146" s="39" t="n">
        <v>46023</v>
      </c>
      <c r="B146" s="34" t="s">
        <v>123</v>
      </c>
      <c r="C146" s="34" t="s">
        <v>48</v>
      </c>
      <c r="D146" s="38" t="n">
        <v>358</v>
      </c>
    </row>
    <row r="147" customFormat="false" ht="15" hidden="false" customHeight="false" outlineLevel="0" collapsed="false">
      <c r="A147" s="39" t="n">
        <v>46054</v>
      </c>
      <c r="B147" s="34" t="s">
        <v>123</v>
      </c>
      <c r="C147" s="34" t="s">
        <v>48</v>
      </c>
      <c r="D147" s="38" t="n">
        <v>457</v>
      </c>
    </row>
    <row r="148" customFormat="false" ht="15" hidden="false" customHeight="false" outlineLevel="0" collapsed="false">
      <c r="A148" s="39" t="n">
        <v>46082</v>
      </c>
      <c r="B148" s="34" t="s">
        <v>123</v>
      </c>
      <c r="C148" s="34" t="s">
        <v>48</v>
      </c>
      <c r="D148" s="38" t="n">
        <v>575</v>
      </c>
    </row>
    <row r="149" customFormat="false" ht="15" hidden="false" customHeight="false" outlineLevel="0" collapsed="false">
      <c r="A149" s="39" t="n">
        <v>46113</v>
      </c>
      <c r="B149" s="34" t="s">
        <v>123</v>
      </c>
      <c r="C149" s="34" t="s">
        <v>48</v>
      </c>
      <c r="D149" s="38" t="n">
        <v>706</v>
      </c>
    </row>
    <row r="150" customFormat="false" ht="15" hidden="false" customHeight="false" outlineLevel="0" collapsed="false">
      <c r="A150" s="39" t="n">
        <v>46143</v>
      </c>
      <c r="B150" s="34" t="s">
        <v>123</v>
      </c>
      <c r="C150" s="34" t="s">
        <v>48</v>
      </c>
      <c r="D150" s="38" t="n">
        <v>678</v>
      </c>
    </row>
    <row r="151" customFormat="false" ht="15" hidden="false" customHeight="false" outlineLevel="0" collapsed="false">
      <c r="A151" s="39" t="n">
        <v>46174</v>
      </c>
      <c r="B151" s="34" t="s">
        <v>123</v>
      </c>
      <c r="C151" s="34" t="s">
        <v>48</v>
      </c>
      <c r="D151" s="38" t="n">
        <v>758</v>
      </c>
    </row>
    <row r="152" customFormat="false" ht="15" hidden="false" customHeight="false" outlineLevel="0" collapsed="false">
      <c r="A152" s="39" t="n">
        <v>46204</v>
      </c>
      <c r="B152" s="34" t="s">
        <v>123</v>
      </c>
      <c r="C152" s="34" t="s">
        <v>48</v>
      </c>
      <c r="D152" s="38" t="n">
        <v>740</v>
      </c>
    </row>
    <row r="153" customFormat="false" ht="15" hidden="false" customHeight="false" outlineLevel="0" collapsed="false">
      <c r="A153" s="39" t="n">
        <v>46235</v>
      </c>
      <c r="B153" s="34" t="s">
        <v>123</v>
      </c>
      <c r="C153" s="34" t="s">
        <v>48</v>
      </c>
      <c r="D153" s="38" t="n">
        <v>742</v>
      </c>
    </row>
    <row r="154" customFormat="false" ht="15" hidden="false" customHeight="false" outlineLevel="0" collapsed="false">
      <c r="A154" s="39" t="n">
        <v>46266</v>
      </c>
      <c r="B154" s="34" t="s">
        <v>123</v>
      </c>
      <c r="C154" s="34" t="s">
        <v>48</v>
      </c>
      <c r="D154" s="38" t="n">
        <v>777</v>
      </c>
    </row>
    <row r="155" customFormat="false" ht="15" hidden="false" customHeight="false" outlineLevel="0" collapsed="false">
      <c r="A155" s="39" t="n">
        <v>46023</v>
      </c>
      <c r="B155" s="34" t="s">
        <v>123</v>
      </c>
      <c r="C155" s="34" t="s">
        <v>49</v>
      </c>
      <c r="D155" s="38" t="n">
        <v>1</v>
      </c>
    </row>
    <row r="156" customFormat="false" ht="15" hidden="false" customHeight="false" outlineLevel="0" collapsed="false">
      <c r="A156" s="39" t="n">
        <v>46054</v>
      </c>
      <c r="B156" s="34" t="s">
        <v>123</v>
      </c>
      <c r="C156" s="34" t="s">
        <v>49</v>
      </c>
      <c r="D156" s="38" t="n">
        <v>0</v>
      </c>
    </row>
    <row r="157" customFormat="false" ht="15" hidden="false" customHeight="false" outlineLevel="0" collapsed="false">
      <c r="A157" s="39" t="n">
        <v>46082</v>
      </c>
      <c r="B157" s="34" t="s">
        <v>123</v>
      </c>
      <c r="C157" s="34" t="s">
        <v>49</v>
      </c>
      <c r="D157" s="38" t="n">
        <v>1</v>
      </c>
    </row>
    <row r="158" customFormat="false" ht="15" hidden="false" customHeight="false" outlineLevel="0" collapsed="false">
      <c r="A158" s="39" t="n">
        <v>46113</v>
      </c>
      <c r="B158" s="34" t="s">
        <v>123</v>
      </c>
      <c r="C158" s="34" t="s">
        <v>49</v>
      </c>
      <c r="D158" s="38" t="n">
        <v>1</v>
      </c>
    </row>
    <row r="159" customFormat="false" ht="15" hidden="false" customHeight="false" outlineLevel="0" collapsed="false">
      <c r="A159" s="39" t="n">
        <v>46143</v>
      </c>
      <c r="B159" s="34" t="s">
        <v>123</v>
      </c>
      <c r="C159" s="34" t="s">
        <v>49</v>
      </c>
      <c r="D159" s="38" t="n">
        <v>2</v>
      </c>
    </row>
    <row r="160" customFormat="false" ht="15" hidden="false" customHeight="false" outlineLevel="0" collapsed="false">
      <c r="A160" s="39" t="n">
        <v>46174</v>
      </c>
      <c r="B160" s="34" t="s">
        <v>123</v>
      </c>
      <c r="C160" s="34" t="s">
        <v>49</v>
      </c>
      <c r="D160" s="38" t="n">
        <v>1</v>
      </c>
    </row>
    <row r="161" customFormat="false" ht="15" hidden="false" customHeight="false" outlineLevel="0" collapsed="false">
      <c r="A161" s="39" t="n">
        <v>46204</v>
      </c>
      <c r="B161" s="34" t="s">
        <v>123</v>
      </c>
      <c r="C161" s="34" t="s">
        <v>49</v>
      </c>
      <c r="D161" s="38" t="n">
        <v>1</v>
      </c>
    </row>
    <row r="162" customFormat="false" ht="15" hidden="false" customHeight="false" outlineLevel="0" collapsed="false">
      <c r="A162" s="39" t="n">
        <v>46235</v>
      </c>
      <c r="B162" s="34" t="s">
        <v>123</v>
      </c>
      <c r="C162" s="34" t="s">
        <v>49</v>
      </c>
      <c r="D162" s="38" t="n">
        <v>1</v>
      </c>
    </row>
    <row r="163" customFormat="false" ht="15" hidden="false" customHeight="false" outlineLevel="0" collapsed="false">
      <c r="A163" s="39" t="n">
        <v>46266</v>
      </c>
      <c r="B163" s="34" t="s">
        <v>123</v>
      </c>
      <c r="C163" s="34" t="s">
        <v>49</v>
      </c>
      <c r="D163" s="38" t="n">
        <v>2</v>
      </c>
    </row>
    <row r="164" customFormat="false" ht="15" hidden="false" customHeight="false" outlineLevel="0" collapsed="false">
      <c r="A164" s="39" t="n">
        <v>46023</v>
      </c>
      <c r="B164" s="34" t="s">
        <v>123</v>
      </c>
      <c r="C164" s="34" t="s">
        <v>50</v>
      </c>
      <c r="D164" s="38" t="n">
        <v>144</v>
      </c>
    </row>
    <row r="165" customFormat="false" ht="15" hidden="false" customHeight="false" outlineLevel="0" collapsed="false">
      <c r="A165" s="39" t="n">
        <v>46054</v>
      </c>
      <c r="B165" s="34" t="s">
        <v>123</v>
      </c>
      <c r="C165" s="34" t="s">
        <v>50</v>
      </c>
      <c r="D165" s="38" t="n">
        <v>165</v>
      </c>
    </row>
    <row r="166" customFormat="false" ht="15" hidden="false" customHeight="false" outlineLevel="0" collapsed="false">
      <c r="A166" s="39" t="n">
        <v>46082</v>
      </c>
      <c r="B166" s="34" t="s">
        <v>123</v>
      </c>
      <c r="C166" s="34" t="s">
        <v>50</v>
      </c>
      <c r="D166" s="38" t="n">
        <v>189</v>
      </c>
    </row>
    <row r="167" customFormat="false" ht="15" hidden="false" customHeight="false" outlineLevel="0" collapsed="false">
      <c r="A167" s="39" t="n">
        <v>46113</v>
      </c>
      <c r="B167" s="34" t="s">
        <v>123</v>
      </c>
      <c r="C167" s="34" t="s">
        <v>50</v>
      </c>
      <c r="D167" s="38" t="n">
        <v>218</v>
      </c>
    </row>
    <row r="168" customFormat="false" ht="15" hidden="false" customHeight="false" outlineLevel="0" collapsed="false">
      <c r="A168" s="39" t="n">
        <v>46143</v>
      </c>
      <c r="B168" s="34" t="s">
        <v>123</v>
      </c>
      <c r="C168" s="34" t="s">
        <v>50</v>
      </c>
      <c r="D168" s="38" t="n">
        <v>231</v>
      </c>
    </row>
    <row r="169" customFormat="false" ht="15" hidden="false" customHeight="false" outlineLevel="0" collapsed="false">
      <c r="A169" s="39" t="n">
        <v>46174</v>
      </c>
      <c r="B169" s="34" t="s">
        <v>123</v>
      </c>
      <c r="C169" s="34" t="s">
        <v>50</v>
      </c>
      <c r="D169" s="38" t="n">
        <v>244</v>
      </c>
    </row>
    <row r="170" customFormat="false" ht="15" hidden="false" customHeight="false" outlineLevel="0" collapsed="false">
      <c r="A170" s="39" t="n">
        <v>46204</v>
      </c>
      <c r="B170" s="34" t="s">
        <v>123</v>
      </c>
      <c r="C170" s="34" t="s">
        <v>50</v>
      </c>
      <c r="D170" s="38" t="n">
        <v>242</v>
      </c>
    </row>
    <row r="171" customFormat="false" ht="15" hidden="false" customHeight="false" outlineLevel="0" collapsed="false">
      <c r="A171" s="39" t="n">
        <v>46235</v>
      </c>
      <c r="B171" s="34" t="s">
        <v>123</v>
      </c>
      <c r="C171" s="34" t="s">
        <v>50</v>
      </c>
      <c r="D171" s="38" t="n">
        <v>258</v>
      </c>
    </row>
    <row r="172" customFormat="false" ht="15" hidden="false" customHeight="false" outlineLevel="0" collapsed="false">
      <c r="A172" s="39" t="n">
        <v>46266</v>
      </c>
      <c r="B172" s="34" t="s">
        <v>123</v>
      </c>
      <c r="C172" s="34" t="s">
        <v>50</v>
      </c>
      <c r="D172" s="38" t="n">
        <v>242</v>
      </c>
    </row>
    <row r="173" customFormat="false" ht="15" hidden="false" customHeight="false" outlineLevel="0" collapsed="false">
      <c r="A173" s="39" t="n">
        <v>46023</v>
      </c>
      <c r="B173" s="34" t="s">
        <v>123</v>
      </c>
      <c r="C173" s="34" t="s">
        <v>51</v>
      </c>
      <c r="D173" s="38" t="n">
        <v>0</v>
      </c>
    </row>
    <row r="174" customFormat="false" ht="15" hidden="false" customHeight="false" outlineLevel="0" collapsed="false">
      <c r="A174" s="39" t="n">
        <v>46054</v>
      </c>
      <c r="B174" s="34" t="s">
        <v>123</v>
      </c>
      <c r="C174" s="34" t="s">
        <v>51</v>
      </c>
      <c r="D174" s="38" t="n">
        <v>4</v>
      </c>
    </row>
    <row r="175" customFormat="false" ht="15" hidden="false" customHeight="false" outlineLevel="0" collapsed="false">
      <c r="A175" s="39" t="n">
        <v>46082</v>
      </c>
      <c r="B175" s="34" t="s">
        <v>123</v>
      </c>
      <c r="C175" s="34" t="s">
        <v>51</v>
      </c>
      <c r="D175" s="38" t="n">
        <v>5</v>
      </c>
    </row>
    <row r="176" customFormat="false" ht="15" hidden="false" customHeight="false" outlineLevel="0" collapsed="false">
      <c r="A176" s="39" t="n">
        <v>46113</v>
      </c>
      <c r="B176" s="34" t="s">
        <v>123</v>
      </c>
      <c r="C176" s="34" t="s">
        <v>51</v>
      </c>
      <c r="D176" s="38" t="n">
        <v>4</v>
      </c>
    </row>
    <row r="177" customFormat="false" ht="15" hidden="false" customHeight="false" outlineLevel="0" collapsed="false">
      <c r="A177" s="39" t="n">
        <v>46143</v>
      </c>
      <c r="B177" s="34" t="s">
        <v>123</v>
      </c>
      <c r="C177" s="34" t="s">
        <v>51</v>
      </c>
      <c r="D177" s="38" t="n">
        <v>1</v>
      </c>
    </row>
    <row r="178" customFormat="false" ht="15" hidden="false" customHeight="false" outlineLevel="0" collapsed="false">
      <c r="A178" s="39" t="n">
        <v>46174</v>
      </c>
      <c r="B178" s="34" t="s">
        <v>123</v>
      </c>
      <c r="C178" s="34" t="s">
        <v>51</v>
      </c>
      <c r="D178" s="38" t="n">
        <v>5</v>
      </c>
    </row>
    <row r="179" customFormat="false" ht="15" hidden="false" customHeight="false" outlineLevel="0" collapsed="false">
      <c r="A179" s="39" t="n">
        <v>46204</v>
      </c>
      <c r="B179" s="34" t="s">
        <v>123</v>
      </c>
      <c r="C179" s="34" t="s">
        <v>51</v>
      </c>
      <c r="D179" s="38" t="n">
        <v>6</v>
      </c>
    </row>
    <row r="180" customFormat="false" ht="15" hidden="false" customHeight="false" outlineLevel="0" collapsed="false">
      <c r="A180" s="39" t="n">
        <v>46235</v>
      </c>
      <c r="B180" s="34" t="s">
        <v>123</v>
      </c>
      <c r="C180" s="34" t="s">
        <v>51</v>
      </c>
      <c r="D180" s="38" t="n">
        <v>5</v>
      </c>
    </row>
    <row r="181" customFormat="false" ht="15" hidden="false" customHeight="false" outlineLevel="0" collapsed="false">
      <c r="A181" s="39" t="n">
        <v>46266</v>
      </c>
      <c r="B181" s="34" t="s">
        <v>123</v>
      </c>
      <c r="C181" s="34" t="s">
        <v>51</v>
      </c>
      <c r="D181" s="38" t="n">
        <v>4</v>
      </c>
    </row>
    <row r="182" customFormat="false" ht="15" hidden="false" customHeight="false" outlineLevel="0" collapsed="false">
      <c r="A182" s="39" t="n">
        <v>46023</v>
      </c>
      <c r="B182" s="34" t="s">
        <v>123</v>
      </c>
      <c r="C182" s="34" t="s">
        <v>52</v>
      </c>
      <c r="D182" s="38" t="n">
        <v>0</v>
      </c>
    </row>
    <row r="183" customFormat="false" ht="15" hidden="false" customHeight="false" outlineLevel="0" collapsed="false">
      <c r="A183" s="39" t="n">
        <v>46054</v>
      </c>
      <c r="B183" s="34" t="s">
        <v>123</v>
      </c>
      <c r="C183" s="34" t="s">
        <v>52</v>
      </c>
      <c r="D183" s="38" t="n">
        <v>1</v>
      </c>
    </row>
    <row r="184" customFormat="false" ht="15" hidden="false" customHeight="false" outlineLevel="0" collapsed="false">
      <c r="A184" s="39" t="n">
        <v>46082</v>
      </c>
      <c r="B184" s="34" t="s">
        <v>123</v>
      </c>
      <c r="C184" s="34" t="s">
        <v>52</v>
      </c>
      <c r="D184" s="38" t="n">
        <v>0</v>
      </c>
    </row>
    <row r="185" customFormat="false" ht="15" hidden="false" customHeight="false" outlineLevel="0" collapsed="false">
      <c r="A185" s="39" t="n">
        <v>46113</v>
      </c>
      <c r="B185" s="34" t="s">
        <v>123</v>
      </c>
      <c r="C185" s="34" t="s">
        <v>52</v>
      </c>
      <c r="D185" s="38" t="n">
        <v>0</v>
      </c>
    </row>
    <row r="186" customFormat="false" ht="15" hidden="false" customHeight="false" outlineLevel="0" collapsed="false">
      <c r="A186" s="39" t="n">
        <v>46143</v>
      </c>
      <c r="B186" s="34" t="s">
        <v>123</v>
      </c>
      <c r="C186" s="34" t="s">
        <v>52</v>
      </c>
      <c r="D186" s="38" t="n">
        <v>0</v>
      </c>
    </row>
    <row r="187" customFormat="false" ht="15" hidden="false" customHeight="false" outlineLevel="0" collapsed="false">
      <c r="A187" s="39" t="n">
        <v>46174</v>
      </c>
      <c r="B187" s="34" t="s">
        <v>123</v>
      </c>
      <c r="C187" s="34" t="s">
        <v>52</v>
      </c>
      <c r="D187" s="38" t="n">
        <v>0</v>
      </c>
    </row>
    <row r="188" customFormat="false" ht="15" hidden="false" customHeight="false" outlineLevel="0" collapsed="false">
      <c r="A188" s="39" t="n">
        <v>46204</v>
      </c>
      <c r="B188" s="34" t="s">
        <v>123</v>
      </c>
      <c r="C188" s="34" t="s">
        <v>52</v>
      </c>
      <c r="D188" s="38" t="n">
        <v>0</v>
      </c>
    </row>
    <row r="189" customFormat="false" ht="15" hidden="false" customHeight="false" outlineLevel="0" collapsed="false">
      <c r="A189" s="39" t="n">
        <v>46235</v>
      </c>
      <c r="B189" s="34" t="s">
        <v>123</v>
      </c>
      <c r="C189" s="34" t="s">
        <v>52</v>
      </c>
      <c r="D189" s="38" t="n">
        <v>0</v>
      </c>
    </row>
    <row r="190" customFormat="false" ht="15" hidden="false" customHeight="false" outlineLevel="0" collapsed="false">
      <c r="A190" s="39" t="n">
        <v>46266</v>
      </c>
      <c r="B190" s="34" t="s">
        <v>123</v>
      </c>
      <c r="C190" s="34" t="s">
        <v>52</v>
      </c>
      <c r="D190" s="38" t="n">
        <v>0</v>
      </c>
    </row>
    <row r="191" customFormat="false" ht="15" hidden="false" customHeight="false" outlineLevel="0" collapsed="false">
      <c r="A191" s="39" t="n">
        <v>46023</v>
      </c>
      <c r="B191" s="34" t="s">
        <v>123</v>
      </c>
      <c r="C191" s="34" t="s">
        <v>53</v>
      </c>
      <c r="D191" s="38" t="n">
        <v>0</v>
      </c>
    </row>
    <row r="192" customFormat="false" ht="15" hidden="false" customHeight="false" outlineLevel="0" collapsed="false">
      <c r="A192" s="39" t="n">
        <v>46054</v>
      </c>
      <c r="B192" s="34" t="s">
        <v>123</v>
      </c>
      <c r="C192" s="34" t="s">
        <v>53</v>
      </c>
      <c r="D192" s="38" t="n">
        <v>2</v>
      </c>
    </row>
    <row r="193" customFormat="false" ht="15" hidden="false" customHeight="false" outlineLevel="0" collapsed="false">
      <c r="A193" s="39" t="n">
        <v>46082</v>
      </c>
      <c r="B193" s="34" t="s">
        <v>123</v>
      </c>
      <c r="C193" s="34" t="s">
        <v>53</v>
      </c>
      <c r="D193" s="38" t="n">
        <v>1</v>
      </c>
    </row>
    <row r="194" customFormat="false" ht="15" hidden="false" customHeight="false" outlineLevel="0" collapsed="false">
      <c r="A194" s="39" t="n">
        <v>46113</v>
      </c>
      <c r="B194" s="34" t="s">
        <v>123</v>
      </c>
      <c r="C194" s="34" t="s">
        <v>53</v>
      </c>
      <c r="D194" s="38" t="n">
        <v>0</v>
      </c>
    </row>
    <row r="195" customFormat="false" ht="15" hidden="false" customHeight="false" outlineLevel="0" collapsed="false">
      <c r="A195" s="39" t="n">
        <v>46143</v>
      </c>
      <c r="B195" s="34" t="s">
        <v>123</v>
      </c>
      <c r="C195" s="34" t="s">
        <v>53</v>
      </c>
      <c r="D195" s="38" t="n">
        <v>2</v>
      </c>
    </row>
    <row r="196" customFormat="false" ht="15" hidden="false" customHeight="false" outlineLevel="0" collapsed="false">
      <c r="A196" s="39" t="n">
        <v>46174</v>
      </c>
      <c r="B196" s="34" t="s">
        <v>123</v>
      </c>
      <c r="C196" s="34" t="s">
        <v>53</v>
      </c>
      <c r="D196" s="38" t="n">
        <v>2</v>
      </c>
    </row>
    <row r="197" customFormat="false" ht="15" hidden="false" customHeight="false" outlineLevel="0" collapsed="false">
      <c r="A197" s="39" t="n">
        <v>46204</v>
      </c>
      <c r="B197" s="34" t="s">
        <v>123</v>
      </c>
      <c r="C197" s="34" t="s">
        <v>53</v>
      </c>
      <c r="D197" s="38" t="n">
        <v>2</v>
      </c>
    </row>
    <row r="198" customFormat="false" ht="15" hidden="false" customHeight="false" outlineLevel="0" collapsed="false">
      <c r="A198" s="39" t="n">
        <v>46235</v>
      </c>
      <c r="B198" s="34" t="s">
        <v>123</v>
      </c>
      <c r="C198" s="34" t="s">
        <v>53</v>
      </c>
      <c r="D198" s="38" t="n">
        <v>4</v>
      </c>
    </row>
    <row r="199" customFormat="false" ht="15" hidden="false" customHeight="false" outlineLevel="0" collapsed="false">
      <c r="A199" s="39" t="n">
        <v>46266</v>
      </c>
      <c r="B199" s="34" t="s">
        <v>123</v>
      </c>
      <c r="C199" s="34" t="s">
        <v>53</v>
      </c>
      <c r="D199" s="38" t="n">
        <v>0</v>
      </c>
    </row>
    <row r="200" customFormat="false" ht="15" hidden="false" customHeight="false" outlineLevel="0" collapsed="false">
      <c r="A200" s="39" t="n">
        <v>46023</v>
      </c>
      <c r="B200" s="34" t="s">
        <v>123</v>
      </c>
      <c r="C200" s="34" t="s">
        <v>54</v>
      </c>
      <c r="D200" s="38" t="n">
        <v>53</v>
      </c>
    </row>
    <row r="201" customFormat="false" ht="15" hidden="false" customHeight="false" outlineLevel="0" collapsed="false">
      <c r="A201" s="39" t="n">
        <v>46054</v>
      </c>
      <c r="B201" s="34" t="s">
        <v>123</v>
      </c>
      <c r="C201" s="34" t="s">
        <v>54</v>
      </c>
      <c r="D201" s="38" t="n">
        <v>79</v>
      </c>
    </row>
    <row r="202" customFormat="false" ht="15" hidden="false" customHeight="false" outlineLevel="0" collapsed="false">
      <c r="A202" s="39" t="n">
        <v>46082</v>
      </c>
      <c r="B202" s="34" t="s">
        <v>123</v>
      </c>
      <c r="C202" s="34" t="s">
        <v>54</v>
      </c>
      <c r="D202" s="38" t="n">
        <v>88</v>
      </c>
    </row>
    <row r="203" customFormat="false" ht="15" hidden="false" customHeight="false" outlineLevel="0" collapsed="false">
      <c r="A203" s="39" t="n">
        <v>46113</v>
      </c>
      <c r="B203" s="34" t="s">
        <v>123</v>
      </c>
      <c r="C203" s="34" t="s">
        <v>54</v>
      </c>
      <c r="D203" s="38" t="n">
        <v>102</v>
      </c>
    </row>
    <row r="204" customFormat="false" ht="15" hidden="false" customHeight="false" outlineLevel="0" collapsed="false">
      <c r="A204" s="39" t="n">
        <v>46143</v>
      </c>
      <c r="B204" s="34" t="s">
        <v>123</v>
      </c>
      <c r="C204" s="34" t="s">
        <v>54</v>
      </c>
      <c r="D204" s="38" t="n">
        <v>95</v>
      </c>
    </row>
    <row r="205" customFormat="false" ht="15" hidden="false" customHeight="false" outlineLevel="0" collapsed="false">
      <c r="A205" s="39" t="n">
        <v>46174</v>
      </c>
      <c r="B205" s="34" t="s">
        <v>123</v>
      </c>
      <c r="C205" s="34" t="s">
        <v>54</v>
      </c>
      <c r="D205" s="38" t="n">
        <v>101</v>
      </c>
    </row>
    <row r="206" customFormat="false" ht="15" hidden="false" customHeight="false" outlineLevel="0" collapsed="false">
      <c r="A206" s="39" t="n">
        <v>46204</v>
      </c>
      <c r="B206" s="34" t="s">
        <v>123</v>
      </c>
      <c r="C206" s="34" t="s">
        <v>54</v>
      </c>
      <c r="D206" s="38" t="n">
        <v>95</v>
      </c>
    </row>
    <row r="207" customFormat="false" ht="15" hidden="false" customHeight="false" outlineLevel="0" collapsed="false">
      <c r="A207" s="39" t="n">
        <v>46235</v>
      </c>
      <c r="B207" s="34" t="s">
        <v>123</v>
      </c>
      <c r="C207" s="34" t="s">
        <v>54</v>
      </c>
      <c r="D207" s="38" t="n">
        <v>100</v>
      </c>
    </row>
    <row r="208" customFormat="false" ht="15" hidden="false" customHeight="false" outlineLevel="0" collapsed="false">
      <c r="A208" s="39" t="n">
        <v>46266</v>
      </c>
      <c r="B208" s="34" t="s">
        <v>123</v>
      </c>
      <c r="C208" s="34" t="s">
        <v>54</v>
      </c>
      <c r="D208" s="38" t="n">
        <v>101</v>
      </c>
    </row>
    <row r="209" customFormat="false" ht="15" hidden="false" customHeight="false" outlineLevel="0" collapsed="false">
      <c r="A209" s="39" t="n">
        <v>46023</v>
      </c>
      <c r="B209" s="34" t="s">
        <v>123</v>
      </c>
      <c r="C209" s="34" t="s">
        <v>55</v>
      </c>
      <c r="D209" s="38" t="n">
        <v>11</v>
      </c>
    </row>
    <row r="210" customFormat="false" ht="15" hidden="false" customHeight="false" outlineLevel="0" collapsed="false">
      <c r="A210" s="39" t="n">
        <v>46054</v>
      </c>
      <c r="B210" s="34" t="s">
        <v>123</v>
      </c>
      <c r="C210" s="34" t="s">
        <v>55</v>
      </c>
      <c r="D210" s="38" t="n">
        <v>13</v>
      </c>
    </row>
    <row r="211" customFormat="false" ht="15" hidden="false" customHeight="false" outlineLevel="0" collapsed="false">
      <c r="A211" s="39" t="n">
        <v>46082</v>
      </c>
      <c r="B211" s="34" t="s">
        <v>123</v>
      </c>
      <c r="C211" s="34" t="s">
        <v>55</v>
      </c>
      <c r="D211" s="38" t="n">
        <v>14</v>
      </c>
    </row>
    <row r="212" customFormat="false" ht="15" hidden="false" customHeight="false" outlineLevel="0" collapsed="false">
      <c r="A212" s="39" t="n">
        <v>46113</v>
      </c>
      <c r="B212" s="34" t="s">
        <v>123</v>
      </c>
      <c r="C212" s="34" t="s">
        <v>55</v>
      </c>
      <c r="D212" s="38" t="n">
        <v>16</v>
      </c>
    </row>
    <row r="213" customFormat="false" ht="15" hidden="false" customHeight="false" outlineLevel="0" collapsed="false">
      <c r="A213" s="39" t="n">
        <v>46143</v>
      </c>
      <c r="B213" s="34" t="s">
        <v>123</v>
      </c>
      <c r="C213" s="34" t="s">
        <v>55</v>
      </c>
      <c r="D213" s="38" t="n">
        <v>17</v>
      </c>
    </row>
    <row r="214" customFormat="false" ht="15" hidden="false" customHeight="false" outlineLevel="0" collapsed="false">
      <c r="A214" s="39" t="n">
        <v>46174</v>
      </c>
      <c r="B214" s="34" t="s">
        <v>123</v>
      </c>
      <c r="C214" s="34" t="s">
        <v>55</v>
      </c>
      <c r="D214" s="38" t="n">
        <v>20</v>
      </c>
    </row>
    <row r="215" customFormat="false" ht="15" hidden="false" customHeight="false" outlineLevel="0" collapsed="false">
      <c r="A215" s="39" t="n">
        <v>46204</v>
      </c>
      <c r="B215" s="34" t="s">
        <v>123</v>
      </c>
      <c r="C215" s="34" t="s">
        <v>55</v>
      </c>
      <c r="D215" s="38" t="n">
        <v>19</v>
      </c>
    </row>
    <row r="216" customFormat="false" ht="15" hidden="false" customHeight="false" outlineLevel="0" collapsed="false">
      <c r="A216" s="39" t="n">
        <v>46235</v>
      </c>
      <c r="B216" s="34" t="s">
        <v>123</v>
      </c>
      <c r="C216" s="34" t="s">
        <v>55</v>
      </c>
      <c r="D216" s="38" t="n">
        <v>13</v>
      </c>
    </row>
    <row r="217" customFormat="false" ht="15" hidden="false" customHeight="false" outlineLevel="0" collapsed="false">
      <c r="A217" s="39" t="n">
        <v>46266</v>
      </c>
      <c r="B217" s="34" t="s">
        <v>123</v>
      </c>
      <c r="C217" s="34" t="s">
        <v>55</v>
      </c>
      <c r="D217" s="38" t="n">
        <v>20</v>
      </c>
    </row>
    <row r="218" customFormat="false" ht="15" hidden="false" customHeight="false" outlineLevel="0" collapsed="false">
      <c r="A218" s="39" t="n">
        <v>46023</v>
      </c>
      <c r="B218" s="34" t="s">
        <v>124</v>
      </c>
      <c r="C218" s="34" t="s">
        <v>48</v>
      </c>
      <c r="D218" s="38" t="n">
        <v>397</v>
      </c>
    </row>
    <row r="219" customFormat="false" ht="15" hidden="false" customHeight="false" outlineLevel="0" collapsed="false">
      <c r="A219" s="39" t="n">
        <v>46054</v>
      </c>
      <c r="B219" s="34" t="s">
        <v>124</v>
      </c>
      <c r="C219" s="34" t="s">
        <v>48</v>
      </c>
      <c r="D219" s="38" t="n">
        <v>510</v>
      </c>
    </row>
    <row r="220" customFormat="false" ht="15" hidden="false" customHeight="false" outlineLevel="0" collapsed="false">
      <c r="A220" s="39" t="n">
        <v>46082</v>
      </c>
      <c r="B220" s="34" t="s">
        <v>124</v>
      </c>
      <c r="C220" s="34" t="s">
        <v>48</v>
      </c>
      <c r="D220" s="38" t="n">
        <v>677</v>
      </c>
    </row>
    <row r="221" customFormat="false" ht="15" hidden="false" customHeight="false" outlineLevel="0" collapsed="false">
      <c r="A221" s="39" t="n">
        <v>46113</v>
      </c>
      <c r="B221" s="34" t="s">
        <v>124</v>
      </c>
      <c r="C221" s="34" t="s">
        <v>48</v>
      </c>
      <c r="D221" s="38" t="n">
        <v>720</v>
      </c>
    </row>
    <row r="222" customFormat="false" ht="15" hidden="false" customHeight="false" outlineLevel="0" collapsed="false">
      <c r="A222" s="39" t="n">
        <v>46143</v>
      </c>
      <c r="B222" s="34" t="s">
        <v>124</v>
      </c>
      <c r="C222" s="34" t="s">
        <v>48</v>
      </c>
      <c r="D222" s="38" t="n">
        <v>747</v>
      </c>
    </row>
    <row r="223" customFormat="false" ht="15" hidden="false" customHeight="false" outlineLevel="0" collapsed="false">
      <c r="A223" s="39" t="n">
        <v>46174</v>
      </c>
      <c r="B223" s="34" t="s">
        <v>124</v>
      </c>
      <c r="C223" s="34" t="s">
        <v>48</v>
      </c>
      <c r="D223" s="38" t="n">
        <v>782</v>
      </c>
    </row>
    <row r="224" customFormat="false" ht="15" hidden="false" customHeight="false" outlineLevel="0" collapsed="false">
      <c r="A224" s="39" t="n">
        <v>46204</v>
      </c>
      <c r="B224" s="34" t="s">
        <v>124</v>
      </c>
      <c r="C224" s="34" t="s">
        <v>48</v>
      </c>
      <c r="D224" s="38" t="n">
        <v>777</v>
      </c>
    </row>
    <row r="225" customFormat="false" ht="15" hidden="false" customHeight="false" outlineLevel="0" collapsed="false">
      <c r="A225" s="39" t="n">
        <v>46235</v>
      </c>
      <c r="B225" s="34" t="s">
        <v>124</v>
      </c>
      <c r="C225" s="34" t="s">
        <v>48</v>
      </c>
      <c r="D225" s="38" t="n">
        <v>822</v>
      </c>
    </row>
    <row r="226" customFormat="false" ht="15" hidden="false" customHeight="false" outlineLevel="0" collapsed="false">
      <c r="A226" s="39" t="n">
        <v>46266</v>
      </c>
      <c r="B226" s="34" t="s">
        <v>124</v>
      </c>
      <c r="C226" s="34" t="s">
        <v>48</v>
      </c>
      <c r="D226" s="38" t="n">
        <v>821</v>
      </c>
    </row>
    <row r="227" customFormat="false" ht="15" hidden="false" customHeight="false" outlineLevel="0" collapsed="false">
      <c r="A227" s="39" t="n">
        <v>46023</v>
      </c>
      <c r="B227" s="34" t="s">
        <v>124</v>
      </c>
      <c r="C227" s="34" t="s">
        <v>49</v>
      </c>
      <c r="D227" s="38" t="n">
        <v>0</v>
      </c>
    </row>
    <row r="228" customFormat="false" ht="15" hidden="false" customHeight="false" outlineLevel="0" collapsed="false">
      <c r="A228" s="39" t="n">
        <v>46054</v>
      </c>
      <c r="B228" s="34" t="s">
        <v>124</v>
      </c>
      <c r="C228" s="34" t="s">
        <v>49</v>
      </c>
      <c r="D228" s="38" t="n">
        <v>0</v>
      </c>
    </row>
    <row r="229" customFormat="false" ht="15" hidden="false" customHeight="false" outlineLevel="0" collapsed="false">
      <c r="A229" s="39" t="n">
        <v>46082</v>
      </c>
      <c r="B229" s="34" t="s">
        <v>124</v>
      </c>
      <c r="C229" s="34" t="s">
        <v>49</v>
      </c>
      <c r="D229" s="38" t="n">
        <v>0</v>
      </c>
    </row>
    <row r="230" customFormat="false" ht="15" hidden="false" customHeight="false" outlineLevel="0" collapsed="false">
      <c r="A230" s="39" t="n">
        <v>46113</v>
      </c>
      <c r="B230" s="34" t="s">
        <v>124</v>
      </c>
      <c r="C230" s="34" t="s">
        <v>49</v>
      </c>
      <c r="D230" s="38" t="n">
        <v>0</v>
      </c>
    </row>
    <row r="231" customFormat="false" ht="15" hidden="false" customHeight="false" outlineLevel="0" collapsed="false">
      <c r="A231" s="39" t="n">
        <v>46143</v>
      </c>
      <c r="B231" s="34" t="s">
        <v>124</v>
      </c>
      <c r="C231" s="34" t="s">
        <v>49</v>
      </c>
      <c r="D231" s="38" t="n">
        <v>2</v>
      </c>
    </row>
    <row r="232" customFormat="false" ht="15" hidden="false" customHeight="false" outlineLevel="0" collapsed="false">
      <c r="A232" s="39" t="n">
        <v>46174</v>
      </c>
      <c r="B232" s="34" t="s">
        <v>124</v>
      </c>
      <c r="C232" s="34" t="s">
        <v>49</v>
      </c>
      <c r="D232" s="38" t="n">
        <v>4</v>
      </c>
    </row>
    <row r="233" customFormat="false" ht="15" hidden="false" customHeight="false" outlineLevel="0" collapsed="false">
      <c r="A233" s="39" t="n">
        <v>46204</v>
      </c>
      <c r="B233" s="34" t="s">
        <v>124</v>
      </c>
      <c r="C233" s="34" t="s">
        <v>49</v>
      </c>
      <c r="D233" s="38" t="n">
        <v>3</v>
      </c>
    </row>
    <row r="234" customFormat="false" ht="15" hidden="false" customHeight="false" outlineLevel="0" collapsed="false">
      <c r="A234" s="39" t="n">
        <v>46235</v>
      </c>
      <c r="B234" s="34" t="s">
        <v>124</v>
      </c>
      <c r="C234" s="34" t="s">
        <v>49</v>
      </c>
      <c r="D234" s="38" t="n">
        <v>2</v>
      </c>
    </row>
    <row r="235" customFormat="false" ht="15" hidden="false" customHeight="false" outlineLevel="0" collapsed="false">
      <c r="A235" s="39" t="n">
        <v>46266</v>
      </c>
      <c r="B235" s="34" t="s">
        <v>124</v>
      </c>
      <c r="C235" s="34" t="s">
        <v>49</v>
      </c>
      <c r="D235" s="38" t="n">
        <v>1</v>
      </c>
    </row>
    <row r="236" customFormat="false" ht="15" hidden="false" customHeight="false" outlineLevel="0" collapsed="false">
      <c r="A236" s="39" t="n">
        <v>46023</v>
      </c>
      <c r="B236" s="34" t="s">
        <v>124</v>
      </c>
      <c r="C236" s="34" t="s">
        <v>50</v>
      </c>
      <c r="D236" s="38" t="n">
        <v>96</v>
      </c>
    </row>
    <row r="237" customFormat="false" ht="15" hidden="false" customHeight="false" outlineLevel="0" collapsed="false">
      <c r="A237" s="39" t="n">
        <v>46054</v>
      </c>
      <c r="B237" s="34" t="s">
        <v>124</v>
      </c>
      <c r="C237" s="34" t="s">
        <v>50</v>
      </c>
      <c r="D237" s="38" t="n">
        <v>175</v>
      </c>
    </row>
    <row r="238" customFormat="false" ht="15" hidden="false" customHeight="false" outlineLevel="0" collapsed="false">
      <c r="A238" s="39" t="n">
        <v>46082</v>
      </c>
      <c r="B238" s="34" t="s">
        <v>124</v>
      </c>
      <c r="C238" s="34" t="s">
        <v>50</v>
      </c>
      <c r="D238" s="38" t="n">
        <v>181</v>
      </c>
    </row>
    <row r="239" customFormat="false" ht="15" hidden="false" customHeight="false" outlineLevel="0" collapsed="false">
      <c r="A239" s="39" t="n">
        <v>46113</v>
      </c>
      <c r="B239" s="34" t="s">
        <v>124</v>
      </c>
      <c r="C239" s="34" t="s">
        <v>50</v>
      </c>
      <c r="D239" s="38" t="n">
        <v>203</v>
      </c>
    </row>
    <row r="240" customFormat="false" ht="15" hidden="false" customHeight="false" outlineLevel="0" collapsed="false">
      <c r="A240" s="39" t="n">
        <v>46143</v>
      </c>
      <c r="B240" s="34" t="s">
        <v>124</v>
      </c>
      <c r="C240" s="34" t="s">
        <v>50</v>
      </c>
      <c r="D240" s="38" t="n">
        <v>223</v>
      </c>
    </row>
    <row r="241" customFormat="false" ht="15" hidden="false" customHeight="false" outlineLevel="0" collapsed="false">
      <c r="A241" s="39" t="n">
        <v>46174</v>
      </c>
      <c r="B241" s="34" t="s">
        <v>124</v>
      </c>
      <c r="C241" s="34" t="s">
        <v>50</v>
      </c>
      <c r="D241" s="38" t="n">
        <v>233</v>
      </c>
    </row>
    <row r="242" customFormat="false" ht="15" hidden="false" customHeight="false" outlineLevel="0" collapsed="false">
      <c r="A242" s="39" t="n">
        <v>46204</v>
      </c>
      <c r="B242" s="34" t="s">
        <v>124</v>
      </c>
      <c r="C242" s="34" t="s">
        <v>50</v>
      </c>
      <c r="D242" s="38" t="n">
        <v>224</v>
      </c>
    </row>
    <row r="243" customFormat="false" ht="15" hidden="false" customHeight="false" outlineLevel="0" collapsed="false">
      <c r="A243" s="39" t="n">
        <v>46235</v>
      </c>
      <c r="B243" s="34" t="s">
        <v>124</v>
      </c>
      <c r="C243" s="34" t="s">
        <v>50</v>
      </c>
      <c r="D243" s="38" t="n">
        <v>229</v>
      </c>
    </row>
    <row r="244" customFormat="false" ht="15" hidden="false" customHeight="false" outlineLevel="0" collapsed="false">
      <c r="A244" s="39" t="n">
        <v>46266</v>
      </c>
      <c r="B244" s="34" t="s">
        <v>124</v>
      </c>
      <c r="C244" s="34" t="s">
        <v>50</v>
      </c>
      <c r="D244" s="38" t="n">
        <v>248</v>
      </c>
    </row>
    <row r="245" customFormat="false" ht="15" hidden="false" customHeight="false" outlineLevel="0" collapsed="false">
      <c r="A245" s="39" t="n">
        <v>46023</v>
      </c>
      <c r="B245" s="34" t="s">
        <v>124</v>
      </c>
      <c r="C245" s="34" t="s">
        <v>51</v>
      </c>
      <c r="D245" s="38" t="n">
        <v>2</v>
      </c>
    </row>
    <row r="246" customFormat="false" ht="15" hidden="false" customHeight="false" outlineLevel="0" collapsed="false">
      <c r="A246" s="39" t="n">
        <v>46054</v>
      </c>
      <c r="B246" s="34" t="s">
        <v>124</v>
      </c>
      <c r="C246" s="34" t="s">
        <v>51</v>
      </c>
      <c r="D246" s="38" t="n">
        <v>2</v>
      </c>
    </row>
    <row r="247" customFormat="false" ht="15" hidden="false" customHeight="false" outlineLevel="0" collapsed="false">
      <c r="A247" s="39" t="n">
        <v>46082</v>
      </c>
      <c r="B247" s="34" t="s">
        <v>124</v>
      </c>
      <c r="C247" s="34" t="s">
        <v>51</v>
      </c>
      <c r="D247" s="38" t="n">
        <v>4</v>
      </c>
    </row>
    <row r="248" customFormat="false" ht="15" hidden="false" customHeight="false" outlineLevel="0" collapsed="false">
      <c r="A248" s="39" t="n">
        <v>46113</v>
      </c>
      <c r="B248" s="34" t="s">
        <v>124</v>
      </c>
      <c r="C248" s="34" t="s">
        <v>51</v>
      </c>
      <c r="D248" s="38" t="n">
        <v>5</v>
      </c>
    </row>
    <row r="249" customFormat="false" ht="15" hidden="false" customHeight="false" outlineLevel="0" collapsed="false">
      <c r="A249" s="39" t="n">
        <v>46143</v>
      </c>
      <c r="B249" s="34" t="s">
        <v>124</v>
      </c>
      <c r="C249" s="34" t="s">
        <v>51</v>
      </c>
      <c r="D249" s="38" t="n">
        <v>2</v>
      </c>
    </row>
    <row r="250" customFormat="false" ht="15" hidden="false" customHeight="false" outlineLevel="0" collapsed="false">
      <c r="A250" s="39" t="n">
        <v>46174</v>
      </c>
      <c r="B250" s="34" t="s">
        <v>124</v>
      </c>
      <c r="C250" s="34" t="s">
        <v>51</v>
      </c>
      <c r="D250" s="38" t="n">
        <v>4</v>
      </c>
    </row>
    <row r="251" customFormat="false" ht="15" hidden="false" customHeight="false" outlineLevel="0" collapsed="false">
      <c r="A251" s="39" t="n">
        <v>46204</v>
      </c>
      <c r="B251" s="34" t="s">
        <v>124</v>
      </c>
      <c r="C251" s="34" t="s">
        <v>51</v>
      </c>
      <c r="D251" s="38" t="n">
        <v>3</v>
      </c>
    </row>
    <row r="252" customFormat="false" ht="15" hidden="false" customHeight="false" outlineLevel="0" collapsed="false">
      <c r="A252" s="39" t="n">
        <v>46235</v>
      </c>
      <c r="B252" s="34" t="s">
        <v>124</v>
      </c>
      <c r="C252" s="34" t="s">
        <v>51</v>
      </c>
      <c r="D252" s="38" t="n">
        <v>2</v>
      </c>
    </row>
    <row r="253" customFormat="false" ht="15" hidden="false" customHeight="false" outlineLevel="0" collapsed="false">
      <c r="A253" s="39" t="n">
        <v>46266</v>
      </c>
      <c r="B253" s="34" t="s">
        <v>124</v>
      </c>
      <c r="C253" s="34" t="s">
        <v>51</v>
      </c>
      <c r="D253" s="38" t="n">
        <v>5</v>
      </c>
    </row>
    <row r="254" customFormat="false" ht="15" hidden="false" customHeight="false" outlineLevel="0" collapsed="false">
      <c r="A254" s="39" t="n">
        <v>46023</v>
      </c>
      <c r="B254" s="34" t="s">
        <v>124</v>
      </c>
      <c r="C254" s="34" t="s">
        <v>52</v>
      </c>
      <c r="D254" s="38" t="n">
        <v>0</v>
      </c>
    </row>
    <row r="255" customFormat="false" ht="15" hidden="false" customHeight="false" outlineLevel="0" collapsed="false">
      <c r="A255" s="39" t="n">
        <v>46054</v>
      </c>
      <c r="B255" s="34" t="s">
        <v>124</v>
      </c>
      <c r="C255" s="34" t="s">
        <v>52</v>
      </c>
      <c r="D255" s="38" t="n">
        <v>0</v>
      </c>
    </row>
    <row r="256" customFormat="false" ht="15" hidden="false" customHeight="false" outlineLevel="0" collapsed="false">
      <c r="A256" s="39" t="n">
        <v>46082</v>
      </c>
      <c r="B256" s="34" t="s">
        <v>124</v>
      </c>
      <c r="C256" s="34" t="s">
        <v>52</v>
      </c>
      <c r="D256" s="38" t="n">
        <v>1</v>
      </c>
    </row>
    <row r="257" customFormat="false" ht="15" hidden="false" customHeight="false" outlineLevel="0" collapsed="false">
      <c r="A257" s="39" t="n">
        <v>46113</v>
      </c>
      <c r="B257" s="34" t="s">
        <v>124</v>
      </c>
      <c r="C257" s="34" t="s">
        <v>52</v>
      </c>
      <c r="D257" s="38" t="n">
        <v>1</v>
      </c>
    </row>
    <row r="258" customFormat="false" ht="15" hidden="false" customHeight="false" outlineLevel="0" collapsed="false">
      <c r="A258" s="39" t="n">
        <v>46143</v>
      </c>
      <c r="B258" s="34" t="s">
        <v>124</v>
      </c>
      <c r="C258" s="34" t="s">
        <v>52</v>
      </c>
      <c r="D258" s="38" t="n">
        <v>0</v>
      </c>
    </row>
    <row r="259" customFormat="false" ht="15" hidden="false" customHeight="false" outlineLevel="0" collapsed="false">
      <c r="A259" s="39" t="n">
        <v>46174</v>
      </c>
      <c r="B259" s="34" t="s">
        <v>124</v>
      </c>
      <c r="C259" s="34" t="s">
        <v>52</v>
      </c>
      <c r="D259" s="38" t="n">
        <v>0</v>
      </c>
    </row>
    <row r="260" customFormat="false" ht="15" hidden="false" customHeight="false" outlineLevel="0" collapsed="false">
      <c r="A260" s="39" t="n">
        <v>46204</v>
      </c>
      <c r="B260" s="34" t="s">
        <v>124</v>
      </c>
      <c r="C260" s="34" t="s">
        <v>52</v>
      </c>
      <c r="D260" s="38" t="n">
        <v>0</v>
      </c>
    </row>
    <row r="261" customFormat="false" ht="15" hidden="false" customHeight="false" outlineLevel="0" collapsed="false">
      <c r="A261" s="39" t="n">
        <v>46235</v>
      </c>
      <c r="B261" s="34" t="s">
        <v>124</v>
      </c>
      <c r="C261" s="34" t="s">
        <v>52</v>
      </c>
      <c r="D261" s="38" t="n">
        <v>0</v>
      </c>
    </row>
    <row r="262" customFormat="false" ht="15" hidden="false" customHeight="false" outlineLevel="0" collapsed="false">
      <c r="A262" s="39" t="n">
        <v>46266</v>
      </c>
      <c r="B262" s="34" t="s">
        <v>124</v>
      </c>
      <c r="C262" s="34" t="s">
        <v>52</v>
      </c>
      <c r="D262" s="38" t="n">
        <v>1</v>
      </c>
    </row>
    <row r="263" customFormat="false" ht="15" hidden="false" customHeight="false" outlineLevel="0" collapsed="false">
      <c r="A263" s="39" t="n">
        <v>46023</v>
      </c>
      <c r="B263" s="34" t="s">
        <v>124</v>
      </c>
      <c r="C263" s="34" t="s">
        <v>53</v>
      </c>
      <c r="D263" s="38" t="n">
        <v>0</v>
      </c>
    </row>
    <row r="264" customFormat="false" ht="15" hidden="false" customHeight="false" outlineLevel="0" collapsed="false">
      <c r="A264" s="39" t="n">
        <v>46054</v>
      </c>
      <c r="B264" s="34" t="s">
        <v>124</v>
      </c>
      <c r="C264" s="34" t="s">
        <v>53</v>
      </c>
      <c r="D264" s="38" t="n">
        <v>1</v>
      </c>
    </row>
    <row r="265" customFormat="false" ht="15" hidden="false" customHeight="false" outlineLevel="0" collapsed="false">
      <c r="A265" s="39" t="n">
        <v>46082</v>
      </c>
      <c r="B265" s="34" t="s">
        <v>124</v>
      </c>
      <c r="C265" s="34" t="s">
        <v>53</v>
      </c>
      <c r="D265" s="38" t="n">
        <v>0</v>
      </c>
    </row>
    <row r="266" customFormat="false" ht="15" hidden="false" customHeight="false" outlineLevel="0" collapsed="false">
      <c r="A266" s="39" t="n">
        <v>46113</v>
      </c>
      <c r="B266" s="34" t="s">
        <v>124</v>
      </c>
      <c r="C266" s="34" t="s">
        <v>53</v>
      </c>
      <c r="D266" s="38" t="n">
        <v>0</v>
      </c>
    </row>
    <row r="267" customFormat="false" ht="15" hidden="false" customHeight="false" outlineLevel="0" collapsed="false">
      <c r="A267" s="39" t="n">
        <v>46143</v>
      </c>
      <c r="B267" s="34" t="s">
        <v>124</v>
      </c>
      <c r="C267" s="34" t="s">
        <v>53</v>
      </c>
      <c r="D267" s="38" t="n">
        <v>1</v>
      </c>
    </row>
    <row r="268" customFormat="false" ht="15" hidden="false" customHeight="false" outlineLevel="0" collapsed="false">
      <c r="A268" s="39" t="n">
        <v>46174</v>
      </c>
      <c r="B268" s="34" t="s">
        <v>124</v>
      </c>
      <c r="C268" s="34" t="s">
        <v>53</v>
      </c>
      <c r="D268" s="38" t="n">
        <v>1</v>
      </c>
    </row>
    <row r="269" customFormat="false" ht="15" hidden="false" customHeight="false" outlineLevel="0" collapsed="false">
      <c r="A269" s="39" t="n">
        <v>46204</v>
      </c>
      <c r="B269" s="34" t="s">
        <v>124</v>
      </c>
      <c r="C269" s="34" t="s">
        <v>53</v>
      </c>
      <c r="D269" s="38" t="n">
        <v>0</v>
      </c>
    </row>
    <row r="270" customFormat="false" ht="15" hidden="false" customHeight="false" outlineLevel="0" collapsed="false">
      <c r="A270" s="39" t="n">
        <v>46235</v>
      </c>
      <c r="B270" s="34" t="s">
        <v>124</v>
      </c>
      <c r="C270" s="34" t="s">
        <v>53</v>
      </c>
      <c r="D270" s="38" t="n">
        <v>0</v>
      </c>
    </row>
    <row r="271" customFormat="false" ht="15" hidden="false" customHeight="false" outlineLevel="0" collapsed="false">
      <c r="A271" s="39" t="n">
        <v>46266</v>
      </c>
      <c r="B271" s="34" t="s">
        <v>124</v>
      </c>
      <c r="C271" s="34" t="s">
        <v>53</v>
      </c>
      <c r="D271" s="38" t="n">
        <v>4</v>
      </c>
    </row>
    <row r="272" customFormat="false" ht="15" hidden="false" customHeight="false" outlineLevel="0" collapsed="false">
      <c r="A272" s="39" t="n">
        <v>46023</v>
      </c>
      <c r="B272" s="34" t="s">
        <v>124</v>
      </c>
      <c r="C272" s="34" t="s">
        <v>54</v>
      </c>
      <c r="D272" s="38" t="n">
        <v>57</v>
      </c>
    </row>
    <row r="273" customFormat="false" ht="15" hidden="false" customHeight="false" outlineLevel="0" collapsed="false">
      <c r="A273" s="39" t="n">
        <v>46054</v>
      </c>
      <c r="B273" s="34" t="s">
        <v>124</v>
      </c>
      <c r="C273" s="34" t="s">
        <v>54</v>
      </c>
      <c r="D273" s="38" t="n">
        <v>69</v>
      </c>
    </row>
    <row r="274" customFormat="false" ht="15" hidden="false" customHeight="false" outlineLevel="0" collapsed="false">
      <c r="A274" s="39" t="n">
        <v>46082</v>
      </c>
      <c r="B274" s="34" t="s">
        <v>124</v>
      </c>
      <c r="C274" s="34" t="s">
        <v>54</v>
      </c>
      <c r="D274" s="38" t="n">
        <v>87</v>
      </c>
    </row>
    <row r="275" customFormat="false" ht="15" hidden="false" customHeight="false" outlineLevel="0" collapsed="false">
      <c r="A275" s="39" t="n">
        <v>46113</v>
      </c>
      <c r="B275" s="34" t="s">
        <v>124</v>
      </c>
      <c r="C275" s="34" t="s">
        <v>54</v>
      </c>
      <c r="D275" s="38" t="n">
        <v>94</v>
      </c>
    </row>
    <row r="276" customFormat="false" ht="15" hidden="false" customHeight="false" outlineLevel="0" collapsed="false">
      <c r="A276" s="39" t="n">
        <v>46143</v>
      </c>
      <c r="B276" s="34" t="s">
        <v>124</v>
      </c>
      <c r="C276" s="34" t="s">
        <v>54</v>
      </c>
      <c r="D276" s="38" t="n">
        <v>120</v>
      </c>
    </row>
    <row r="277" customFormat="false" ht="15" hidden="false" customHeight="false" outlineLevel="0" collapsed="false">
      <c r="A277" s="39" t="n">
        <v>46174</v>
      </c>
      <c r="B277" s="34" t="s">
        <v>124</v>
      </c>
      <c r="C277" s="34" t="s">
        <v>54</v>
      </c>
      <c r="D277" s="38" t="n">
        <v>101</v>
      </c>
    </row>
    <row r="278" customFormat="false" ht="15" hidden="false" customHeight="false" outlineLevel="0" collapsed="false">
      <c r="A278" s="39" t="n">
        <v>46204</v>
      </c>
      <c r="B278" s="34" t="s">
        <v>124</v>
      </c>
      <c r="C278" s="34" t="s">
        <v>54</v>
      </c>
      <c r="D278" s="38" t="n">
        <v>99</v>
      </c>
    </row>
    <row r="279" customFormat="false" ht="15" hidden="false" customHeight="false" outlineLevel="0" collapsed="false">
      <c r="A279" s="39" t="n">
        <v>46235</v>
      </c>
      <c r="B279" s="34" t="s">
        <v>124</v>
      </c>
      <c r="C279" s="34" t="s">
        <v>54</v>
      </c>
      <c r="D279" s="38" t="n">
        <v>109</v>
      </c>
    </row>
    <row r="280" customFormat="false" ht="15" hidden="false" customHeight="false" outlineLevel="0" collapsed="false">
      <c r="A280" s="39" t="n">
        <v>46266</v>
      </c>
      <c r="B280" s="34" t="s">
        <v>124</v>
      </c>
      <c r="C280" s="34" t="s">
        <v>54</v>
      </c>
      <c r="D280" s="38" t="n">
        <v>88</v>
      </c>
    </row>
    <row r="281" customFormat="false" ht="15" hidden="false" customHeight="false" outlineLevel="0" collapsed="false">
      <c r="A281" s="39" t="n">
        <v>46023</v>
      </c>
      <c r="B281" s="34" t="s">
        <v>124</v>
      </c>
      <c r="C281" s="34" t="s">
        <v>55</v>
      </c>
      <c r="D281" s="38" t="n">
        <v>8</v>
      </c>
    </row>
    <row r="282" customFormat="false" ht="15" hidden="false" customHeight="false" outlineLevel="0" collapsed="false">
      <c r="A282" s="39" t="n">
        <v>46054</v>
      </c>
      <c r="B282" s="34" t="s">
        <v>124</v>
      </c>
      <c r="C282" s="34" t="s">
        <v>55</v>
      </c>
      <c r="D282" s="38" t="n">
        <v>17</v>
      </c>
    </row>
    <row r="283" customFormat="false" ht="15" hidden="false" customHeight="false" outlineLevel="0" collapsed="false">
      <c r="A283" s="39" t="n">
        <v>46082</v>
      </c>
      <c r="B283" s="34" t="s">
        <v>124</v>
      </c>
      <c r="C283" s="34" t="s">
        <v>55</v>
      </c>
      <c r="D283" s="38" t="n">
        <v>17</v>
      </c>
    </row>
    <row r="284" customFormat="false" ht="15" hidden="false" customHeight="false" outlineLevel="0" collapsed="false">
      <c r="A284" s="39" t="n">
        <v>46113</v>
      </c>
      <c r="B284" s="34" t="s">
        <v>124</v>
      </c>
      <c r="C284" s="34" t="s">
        <v>55</v>
      </c>
      <c r="D284" s="38" t="n">
        <v>20</v>
      </c>
    </row>
    <row r="285" customFormat="false" ht="15" hidden="false" customHeight="false" outlineLevel="0" collapsed="false">
      <c r="A285" s="39" t="n">
        <v>46143</v>
      </c>
      <c r="B285" s="34" t="s">
        <v>124</v>
      </c>
      <c r="C285" s="34" t="s">
        <v>55</v>
      </c>
      <c r="D285" s="38" t="n">
        <v>18</v>
      </c>
    </row>
    <row r="286" customFormat="false" ht="15" hidden="false" customHeight="false" outlineLevel="0" collapsed="false">
      <c r="A286" s="39" t="n">
        <v>46174</v>
      </c>
      <c r="B286" s="34" t="s">
        <v>124</v>
      </c>
      <c r="C286" s="34" t="s">
        <v>55</v>
      </c>
      <c r="D286" s="38" t="n">
        <v>20</v>
      </c>
    </row>
    <row r="287" customFormat="false" ht="15" hidden="false" customHeight="false" outlineLevel="0" collapsed="false">
      <c r="A287" s="39" t="n">
        <v>46204</v>
      </c>
      <c r="B287" s="34" t="s">
        <v>124</v>
      </c>
      <c r="C287" s="34" t="s">
        <v>55</v>
      </c>
      <c r="D287" s="38" t="n">
        <v>17</v>
      </c>
    </row>
    <row r="288" customFormat="false" ht="15" hidden="false" customHeight="false" outlineLevel="0" collapsed="false">
      <c r="A288" s="39" t="n">
        <v>46235</v>
      </c>
      <c r="B288" s="34" t="s">
        <v>124</v>
      </c>
      <c r="C288" s="34" t="s">
        <v>55</v>
      </c>
      <c r="D288" s="38" t="n">
        <v>21</v>
      </c>
    </row>
    <row r="289" customFormat="false" ht="15" hidden="false" customHeight="false" outlineLevel="0" collapsed="false">
      <c r="A289" s="39" t="n">
        <v>46266</v>
      </c>
      <c r="B289" s="34" t="s">
        <v>124</v>
      </c>
      <c r="C289" s="34" t="s">
        <v>55</v>
      </c>
      <c r="D289" s="38" t="n">
        <v>27</v>
      </c>
    </row>
    <row r="290" customFormat="false" ht="15" hidden="false" customHeight="false" outlineLevel="0" collapsed="false">
      <c r="A290" s="39" t="n">
        <v>46023</v>
      </c>
      <c r="B290" s="34" t="s">
        <v>125</v>
      </c>
      <c r="C290" s="34" t="s">
        <v>48</v>
      </c>
      <c r="D290" s="38" t="n">
        <v>484</v>
      </c>
    </row>
    <row r="291" customFormat="false" ht="15" hidden="false" customHeight="false" outlineLevel="0" collapsed="false">
      <c r="A291" s="39" t="n">
        <v>46054</v>
      </c>
      <c r="B291" s="34" t="s">
        <v>125</v>
      </c>
      <c r="C291" s="34" t="s">
        <v>48</v>
      </c>
      <c r="D291" s="38" t="n">
        <v>695</v>
      </c>
    </row>
    <row r="292" customFormat="false" ht="15" hidden="false" customHeight="false" outlineLevel="0" collapsed="false">
      <c r="A292" s="39" t="n">
        <v>46082</v>
      </c>
      <c r="B292" s="34" t="s">
        <v>125</v>
      </c>
      <c r="C292" s="34" t="s">
        <v>48</v>
      </c>
      <c r="D292" s="38" t="n">
        <v>821</v>
      </c>
    </row>
    <row r="293" customFormat="false" ht="15" hidden="false" customHeight="false" outlineLevel="0" collapsed="false">
      <c r="A293" s="39" t="n">
        <v>46113</v>
      </c>
      <c r="B293" s="34" t="s">
        <v>125</v>
      </c>
      <c r="C293" s="34" t="s">
        <v>48</v>
      </c>
      <c r="D293" s="38" t="n">
        <v>964</v>
      </c>
    </row>
    <row r="294" customFormat="false" ht="15" hidden="false" customHeight="false" outlineLevel="0" collapsed="false">
      <c r="A294" s="39" t="n">
        <v>46143</v>
      </c>
      <c r="B294" s="34" t="s">
        <v>125</v>
      </c>
      <c r="C294" s="34" t="s">
        <v>48</v>
      </c>
      <c r="D294" s="38" t="n">
        <v>1038</v>
      </c>
    </row>
    <row r="295" customFormat="false" ht="15" hidden="false" customHeight="false" outlineLevel="0" collapsed="false">
      <c r="A295" s="39" t="n">
        <v>46174</v>
      </c>
      <c r="B295" s="34" t="s">
        <v>125</v>
      </c>
      <c r="C295" s="34" t="s">
        <v>48</v>
      </c>
      <c r="D295" s="38" t="n">
        <v>1094</v>
      </c>
    </row>
    <row r="296" customFormat="false" ht="15" hidden="false" customHeight="false" outlineLevel="0" collapsed="false">
      <c r="A296" s="39" t="n">
        <v>46204</v>
      </c>
      <c r="B296" s="34" t="s">
        <v>125</v>
      </c>
      <c r="C296" s="34" t="s">
        <v>48</v>
      </c>
      <c r="D296" s="38" t="n">
        <v>946</v>
      </c>
    </row>
    <row r="297" customFormat="false" ht="15" hidden="false" customHeight="false" outlineLevel="0" collapsed="false">
      <c r="A297" s="39" t="n">
        <v>46235</v>
      </c>
      <c r="B297" s="34" t="s">
        <v>125</v>
      </c>
      <c r="C297" s="34" t="s">
        <v>48</v>
      </c>
      <c r="D297" s="38" t="n">
        <v>1093</v>
      </c>
    </row>
    <row r="298" customFormat="false" ht="15" hidden="false" customHeight="false" outlineLevel="0" collapsed="false">
      <c r="A298" s="39" t="n">
        <v>46266</v>
      </c>
      <c r="B298" s="34" t="s">
        <v>125</v>
      </c>
      <c r="C298" s="34" t="s">
        <v>48</v>
      </c>
      <c r="D298" s="38" t="n">
        <v>1051</v>
      </c>
    </row>
    <row r="299" customFormat="false" ht="15" hidden="false" customHeight="false" outlineLevel="0" collapsed="false">
      <c r="A299" s="39" t="n">
        <v>46023</v>
      </c>
      <c r="B299" s="34" t="s">
        <v>125</v>
      </c>
      <c r="C299" s="34" t="s">
        <v>49</v>
      </c>
      <c r="D299" s="38" t="n">
        <v>0</v>
      </c>
    </row>
    <row r="300" customFormat="false" ht="15" hidden="false" customHeight="false" outlineLevel="0" collapsed="false">
      <c r="A300" s="39" t="n">
        <v>46054</v>
      </c>
      <c r="B300" s="34" t="s">
        <v>125</v>
      </c>
      <c r="C300" s="34" t="s">
        <v>49</v>
      </c>
      <c r="D300" s="38" t="n">
        <v>2</v>
      </c>
    </row>
    <row r="301" customFormat="false" ht="15" hidden="false" customHeight="false" outlineLevel="0" collapsed="false">
      <c r="A301" s="39" t="n">
        <v>46082</v>
      </c>
      <c r="B301" s="34" t="s">
        <v>125</v>
      </c>
      <c r="C301" s="34" t="s">
        <v>49</v>
      </c>
      <c r="D301" s="38" t="n">
        <v>2</v>
      </c>
    </row>
    <row r="302" customFormat="false" ht="15" hidden="false" customHeight="false" outlineLevel="0" collapsed="false">
      <c r="A302" s="39" t="n">
        <v>46113</v>
      </c>
      <c r="B302" s="34" t="s">
        <v>125</v>
      </c>
      <c r="C302" s="34" t="s">
        <v>49</v>
      </c>
      <c r="D302" s="38" t="n">
        <v>3</v>
      </c>
    </row>
    <row r="303" customFormat="false" ht="15" hidden="false" customHeight="false" outlineLevel="0" collapsed="false">
      <c r="A303" s="39" t="n">
        <v>46143</v>
      </c>
      <c r="B303" s="34" t="s">
        <v>125</v>
      </c>
      <c r="C303" s="34" t="s">
        <v>49</v>
      </c>
      <c r="D303" s="38" t="n">
        <v>1</v>
      </c>
    </row>
    <row r="304" customFormat="false" ht="15" hidden="false" customHeight="false" outlineLevel="0" collapsed="false">
      <c r="A304" s="39" t="n">
        <v>46174</v>
      </c>
      <c r="B304" s="34" t="s">
        <v>125</v>
      </c>
      <c r="C304" s="34" t="s">
        <v>49</v>
      </c>
      <c r="D304" s="38" t="n">
        <v>1</v>
      </c>
    </row>
    <row r="305" customFormat="false" ht="15" hidden="false" customHeight="false" outlineLevel="0" collapsed="false">
      <c r="A305" s="39" t="n">
        <v>46204</v>
      </c>
      <c r="B305" s="34" t="s">
        <v>125</v>
      </c>
      <c r="C305" s="34" t="s">
        <v>49</v>
      </c>
      <c r="D305" s="38" t="n">
        <v>0</v>
      </c>
    </row>
    <row r="306" customFormat="false" ht="15" hidden="false" customHeight="false" outlineLevel="0" collapsed="false">
      <c r="A306" s="39" t="n">
        <v>46235</v>
      </c>
      <c r="B306" s="34" t="s">
        <v>125</v>
      </c>
      <c r="C306" s="34" t="s">
        <v>49</v>
      </c>
      <c r="D306" s="38" t="n">
        <v>2</v>
      </c>
    </row>
    <row r="307" customFormat="false" ht="15" hidden="false" customHeight="false" outlineLevel="0" collapsed="false">
      <c r="A307" s="39" t="n">
        <v>46266</v>
      </c>
      <c r="B307" s="34" t="s">
        <v>125</v>
      </c>
      <c r="C307" s="34" t="s">
        <v>49</v>
      </c>
      <c r="D307" s="38" t="n">
        <v>1</v>
      </c>
    </row>
    <row r="308" customFormat="false" ht="15" hidden="false" customHeight="false" outlineLevel="0" collapsed="false">
      <c r="A308" s="39" t="n">
        <v>46023</v>
      </c>
      <c r="B308" s="34" t="s">
        <v>125</v>
      </c>
      <c r="C308" s="34" t="s">
        <v>50</v>
      </c>
      <c r="D308" s="38" t="n">
        <v>180</v>
      </c>
    </row>
    <row r="309" customFormat="false" ht="15" hidden="false" customHeight="false" outlineLevel="0" collapsed="false">
      <c r="A309" s="39" t="n">
        <v>46054</v>
      </c>
      <c r="B309" s="34" t="s">
        <v>125</v>
      </c>
      <c r="C309" s="34" t="s">
        <v>50</v>
      </c>
      <c r="D309" s="38" t="n">
        <v>211</v>
      </c>
    </row>
    <row r="310" customFormat="false" ht="15" hidden="false" customHeight="false" outlineLevel="0" collapsed="false">
      <c r="A310" s="39" t="n">
        <v>46082</v>
      </c>
      <c r="B310" s="34" t="s">
        <v>125</v>
      </c>
      <c r="C310" s="34" t="s">
        <v>50</v>
      </c>
      <c r="D310" s="38" t="n">
        <v>255</v>
      </c>
    </row>
    <row r="311" customFormat="false" ht="15" hidden="false" customHeight="false" outlineLevel="0" collapsed="false">
      <c r="A311" s="39" t="n">
        <v>46113</v>
      </c>
      <c r="B311" s="34" t="s">
        <v>125</v>
      </c>
      <c r="C311" s="34" t="s">
        <v>50</v>
      </c>
      <c r="D311" s="38" t="n">
        <v>286</v>
      </c>
    </row>
    <row r="312" customFormat="false" ht="15" hidden="false" customHeight="false" outlineLevel="0" collapsed="false">
      <c r="A312" s="39" t="n">
        <v>46143</v>
      </c>
      <c r="B312" s="34" t="s">
        <v>125</v>
      </c>
      <c r="C312" s="34" t="s">
        <v>50</v>
      </c>
      <c r="D312" s="38" t="n">
        <v>330</v>
      </c>
    </row>
    <row r="313" customFormat="false" ht="15" hidden="false" customHeight="false" outlineLevel="0" collapsed="false">
      <c r="A313" s="39" t="n">
        <v>46174</v>
      </c>
      <c r="B313" s="34" t="s">
        <v>125</v>
      </c>
      <c r="C313" s="34" t="s">
        <v>50</v>
      </c>
      <c r="D313" s="38" t="n">
        <v>336</v>
      </c>
    </row>
    <row r="314" customFormat="false" ht="15" hidden="false" customHeight="false" outlineLevel="0" collapsed="false">
      <c r="A314" s="39" t="n">
        <v>46204</v>
      </c>
      <c r="B314" s="34" t="s">
        <v>125</v>
      </c>
      <c r="C314" s="34" t="s">
        <v>50</v>
      </c>
      <c r="D314" s="38" t="n">
        <v>318</v>
      </c>
    </row>
    <row r="315" customFormat="false" ht="15" hidden="false" customHeight="false" outlineLevel="0" collapsed="false">
      <c r="A315" s="39" t="n">
        <v>46235</v>
      </c>
      <c r="B315" s="34" t="s">
        <v>125</v>
      </c>
      <c r="C315" s="34" t="s">
        <v>50</v>
      </c>
      <c r="D315" s="38" t="n">
        <v>320</v>
      </c>
    </row>
    <row r="316" customFormat="false" ht="15" hidden="false" customHeight="false" outlineLevel="0" collapsed="false">
      <c r="A316" s="39" t="n">
        <v>46266</v>
      </c>
      <c r="B316" s="34" t="s">
        <v>125</v>
      </c>
      <c r="C316" s="34" t="s">
        <v>50</v>
      </c>
      <c r="D316" s="38" t="n">
        <v>340</v>
      </c>
    </row>
    <row r="317" customFormat="false" ht="15" hidden="false" customHeight="false" outlineLevel="0" collapsed="false">
      <c r="A317" s="39" t="n">
        <v>46023</v>
      </c>
      <c r="B317" s="34" t="s">
        <v>125</v>
      </c>
      <c r="C317" s="34" t="s">
        <v>51</v>
      </c>
      <c r="D317" s="38" t="n">
        <v>2</v>
      </c>
    </row>
    <row r="318" customFormat="false" ht="15" hidden="false" customHeight="false" outlineLevel="0" collapsed="false">
      <c r="A318" s="39" t="n">
        <v>46054</v>
      </c>
      <c r="B318" s="34" t="s">
        <v>125</v>
      </c>
      <c r="C318" s="34" t="s">
        <v>51</v>
      </c>
      <c r="D318" s="38" t="n">
        <v>10</v>
      </c>
    </row>
    <row r="319" customFormat="false" ht="15" hidden="false" customHeight="false" outlineLevel="0" collapsed="false">
      <c r="A319" s="39" t="n">
        <v>46082</v>
      </c>
      <c r="B319" s="34" t="s">
        <v>125</v>
      </c>
      <c r="C319" s="34" t="s">
        <v>51</v>
      </c>
      <c r="D319" s="38" t="n">
        <v>5</v>
      </c>
    </row>
    <row r="320" customFormat="false" ht="15" hidden="false" customHeight="false" outlineLevel="0" collapsed="false">
      <c r="A320" s="39" t="n">
        <v>46113</v>
      </c>
      <c r="B320" s="34" t="s">
        <v>125</v>
      </c>
      <c r="C320" s="34" t="s">
        <v>51</v>
      </c>
      <c r="D320" s="38" t="n">
        <v>7</v>
      </c>
    </row>
    <row r="321" customFormat="false" ht="15" hidden="false" customHeight="false" outlineLevel="0" collapsed="false">
      <c r="A321" s="39" t="n">
        <v>46143</v>
      </c>
      <c r="B321" s="34" t="s">
        <v>125</v>
      </c>
      <c r="C321" s="34" t="s">
        <v>51</v>
      </c>
      <c r="D321" s="38" t="n">
        <v>7</v>
      </c>
    </row>
    <row r="322" customFormat="false" ht="15" hidden="false" customHeight="false" outlineLevel="0" collapsed="false">
      <c r="A322" s="39" t="n">
        <v>46174</v>
      </c>
      <c r="B322" s="34" t="s">
        <v>125</v>
      </c>
      <c r="C322" s="34" t="s">
        <v>51</v>
      </c>
      <c r="D322" s="38" t="n">
        <v>7</v>
      </c>
    </row>
    <row r="323" customFormat="false" ht="15" hidden="false" customHeight="false" outlineLevel="0" collapsed="false">
      <c r="A323" s="39" t="n">
        <v>46204</v>
      </c>
      <c r="B323" s="34" t="s">
        <v>125</v>
      </c>
      <c r="C323" s="34" t="s">
        <v>51</v>
      </c>
      <c r="D323" s="38" t="n">
        <v>5</v>
      </c>
    </row>
    <row r="324" customFormat="false" ht="15" hidden="false" customHeight="false" outlineLevel="0" collapsed="false">
      <c r="A324" s="39" t="n">
        <v>46235</v>
      </c>
      <c r="B324" s="34" t="s">
        <v>125</v>
      </c>
      <c r="C324" s="34" t="s">
        <v>51</v>
      </c>
      <c r="D324" s="38" t="n">
        <v>7</v>
      </c>
    </row>
    <row r="325" customFormat="false" ht="15" hidden="false" customHeight="false" outlineLevel="0" collapsed="false">
      <c r="A325" s="39" t="n">
        <v>46266</v>
      </c>
      <c r="B325" s="34" t="s">
        <v>125</v>
      </c>
      <c r="C325" s="34" t="s">
        <v>51</v>
      </c>
      <c r="D325" s="38" t="n">
        <v>10</v>
      </c>
    </row>
    <row r="326" customFormat="false" ht="15" hidden="false" customHeight="false" outlineLevel="0" collapsed="false">
      <c r="A326" s="39" t="n">
        <v>46023</v>
      </c>
      <c r="B326" s="34" t="s">
        <v>125</v>
      </c>
      <c r="C326" s="34" t="s">
        <v>52</v>
      </c>
      <c r="D326" s="38" t="n">
        <v>0</v>
      </c>
    </row>
    <row r="327" customFormat="false" ht="15" hidden="false" customHeight="false" outlineLevel="0" collapsed="false">
      <c r="A327" s="39" t="n">
        <v>46054</v>
      </c>
      <c r="B327" s="34" t="s">
        <v>125</v>
      </c>
      <c r="C327" s="34" t="s">
        <v>52</v>
      </c>
      <c r="D327" s="38" t="n">
        <v>0</v>
      </c>
    </row>
    <row r="328" customFormat="false" ht="15" hidden="false" customHeight="false" outlineLevel="0" collapsed="false">
      <c r="A328" s="39" t="n">
        <v>46082</v>
      </c>
      <c r="B328" s="34" t="s">
        <v>125</v>
      </c>
      <c r="C328" s="34" t="s">
        <v>52</v>
      </c>
      <c r="D328" s="38" t="n">
        <v>0</v>
      </c>
    </row>
    <row r="329" customFormat="false" ht="15" hidden="false" customHeight="false" outlineLevel="0" collapsed="false">
      <c r="A329" s="39" t="n">
        <v>46113</v>
      </c>
      <c r="B329" s="34" t="s">
        <v>125</v>
      </c>
      <c r="C329" s="34" t="s">
        <v>52</v>
      </c>
      <c r="D329" s="38" t="n">
        <v>0</v>
      </c>
    </row>
    <row r="330" customFormat="false" ht="15" hidden="false" customHeight="false" outlineLevel="0" collapsed="false">
      <c r="A330" s="39" t="n">
        <v>46143</v>
      </c>
      <c r="B330" s="34" t="s">
        <v>125</v>
      </c>
      <c r="C330" s="34" t="s">
        <v>52</v>
      </c>
      <c r="D330" s="38" t="n">
        <v>0</v>
      </c>
    </row>
    <row r="331" customFormat="false" ht="15" hidden="false" customHeight="false" outlineLevel="0" collapsed="false">
      <c r="A331" s="39" t="n">
        <v>46174</v>
      </c>
      <c r="B331" s="34" t="s">
        <v>125</v>
      </c>
      <c r="C331" s="34" t="s">
        <v>52</v>
      </c>
      <c r="D331" s="38" t="n">
        <v>0</v>
      </c>
    </row>
    <row r="332" customFormat="false" ht="15" hidden="false" customHeight="false" outlineLevel="0" collapsed="false">
      <c r="A332" s="39" t="n">
        <v>46204</v>
      </c>
      <c r="B332" s="34" t="s">
        <v>125</v>
      </c>
      <c r="C332" s="34" t="s">
        <v>52</v>
      </c>
      <c r="D332" s="38" t="n">
        <v>0</v>
      </c>
    </row>
    <row r="333" customFormat="false" ht="15" hidden="false" customHeight="false" outlineLevel="0" collapsed="false">
      <c r="A333" s="39" t="n">
        <v>46235</v>
      </c>
      <c r="B333" s="34" t="s">
        <v>125</v>
      </c>
      <c r="C333" s="34" t="s">
        <v>52</v>
      </c>
      <c r="D333" s="38" t="n">
        <v>1</v>
      </c>
    </row>
    <row r="334" customFormat="false" ht="15" hidden="false" customHeight="false" outlineLevel="0" collapsed="false">
      <c r="A334" s="39" t="n">
        <v>46266</v>
      </c>
      <c r="B334" s="34" t="s">
        <v>125</v>
      </c>
      <c r="C334" s="34" t="s">
        <v>52</v>
      </c>
      <c r="D334" s="38" t="n">
        <v>0</v>
      </c>
    </row>
    <row r="335" customFormat="false" ht="15" hidden="false" customHeight="false" outlineLevel="0" collapsed="false">
      <c r="A335" s="39" t="n">
        <v>46023</v>
      </c>
      <c r="B335" s="34" t="s">
        <v>125</v>
      </c>
      <c r="C335" s="34" t="s">
        <v>53</v>
      </c>
      <c r="D335" s="38" t="n">
        <v>0</v>
      </c>
    </row>
    <row r="336" customFormat="false" ht="15" hidden="false" customHeight="false" outlineLevel="0" collapsed="false">
      <c r="A336" s="39" t="n">
        <v>46054</v>
      </c>
      <c r="B336" s="34" t="s">
        <v>125</v>
      </c>
      <c r="C336" s="34" t="s">
        <v>53</v>
      </c>
      <c r="D336" s="38" t="n">
        <v>1</v>
      </c>
    </row>
    <row r="337" customFormat="false" ht="15" hidden="false" customHeight="false" outlineLevel="0" collapsed="false">
      <c r="A337" s="39" t="n">
        <v>46082</v>
      </c>
      <c r="B337" s="34" t="s">
        <v>125</v>
      </c>
      <c r="C337" s="34" t="s">
        <v>53</v>
      </c>
      <c r="D337" s="38" t="n">
        <v>2</v>
      </c>
    </row>
    <row r="338" customFormat="false" ht="15" hidden="false" customHeight="false" outlineLevel="0" collapsed="false">
      <c r="A338" s="39" t="n">
        <v>46113</v>
      </c>
      <c r="B338" s="34" t="s">
        <v>125</v>
      </c>
      <c r="C338" s="34" t="s">
        <v>53</v>
      </c>
      <c r="D338" s="38" t="n">
        <v>0</v>
      </c>
    </row>
    <row r="339" customFormat="false" ht="15" hidden="false" customHeight="false" outlineLevel="0" collapsed="false">
      <c r="A339" s="39" t="n">
        <v>46143</v>
      </c>
      <c r="B339" s="34" t="s">
        <v>125</v>
      </c>
      <c r="C339" s="34" t="s">
        <v>53</v>
      </c>
      <c r="D339" s="38" t="n">
        <v>2</v>
      </c>
    </row>
    <row r="340" customFormat="false" ht="15" hidden="false" customHeight="false" outlineLevel="0" collapsed="false">
      <c r="A340" s="39" t="n">
        <v>46174</v>
      </c>
      <c r="B340" s="34" t="s">
        <v>125</v>
      </c>
      <c r="C340" s="34" t="s">
        <v>53</v>
      </c>
      <c r="D340" s="38" t="n">
        <v>0</v>
      </c>
    </row>
    <row r="341" customFormat="false" ht="15" hidden="false" customHeight="false" outlineLevel="0" collapsed="false">
      <c r="A341" s="39" t="n">
        <v>46204</v>
      </c>
      <c r="B341" s="34" t="s">
        <v>125</v>
      </c>
      <c r="C341" s="34" t="s">
        <v>53</v>
      </c>
      <c r="D341" s="38" t="n">
        <v>0</v>
      </c>
    </row>
    <row r="342" customFormat="false" ht="15" hidden="false" customHeight="false" outlineLevel="0" collapsed="false">
      <c r="A342" s="39" t="n">
        <v>46235</v>
      </c>
      <c r="B342" s="34" t="s">
        <v>125</v>
      </c>
      <c r="C342" s="34" t="s">
        <v>53</v>
      </c>
      <c r="D342" s="38" t="n">
        <v>2</v>
      </c>
    </row>
    <row r="343" customFormat="false" ht="15" hidden="false" customHeight="false" outlineLevel="0" collapsed="false">
      <c r="A343" s="39" t="n">
        <v>46266</v>
      </c>
      <c r="B343" s="34" t="s">
        <v>125</v>
      </c>
      <c r="C343" s="34" t="s">
        <v>53</v>
      </c>
      <c r="D343" s="38" t="n">
        <v>0</v>
      </c>
    </row>
    <row r="344" customFormat="false" ht="15" hidden="false" customHeight="false" outlineLevel="0" collapsed="false">
      <c r="A344" s="39" t="n">
        <v>46023</v>
      </c>
      <c r="B344" s="34" t="s">
        <v>125</v>
      </c>
      <c r="C344" s="34" t="s">
        <v>54</v>
      </c>
      <c r="D344" s="38" t="n">
        <v>82</v>
      </c>
    </row>
    <row r="345" customFormat="false" ht="15" hidden="false" customHeight="false" outlineLevel="0" collapsed="false">
      <c r="A345" s="39" t="n">
        <v>46054</v>
      </c>
      <c r="B345" s="34" t="s">
        <v>125</v>
      </c>
      <c r="C345" s="34" t="s">
        <v>54</v>
      </c>
      <c r="D345" s="38" t="n">
        <v>100</v>
      </c>
    </row>
    <row r="346" customFormat="false" ht="15" hidden="false" customHeight="false" outlineLevel="0" collapsed="false">
      <c r="A346" s="39" t="n">
        <v>46082</v>
      </c>
      <c r="B346" s="34" t="s">
        <v>125</v>
      </c>
      <c r="C346" s="34" t="s">
        <v>54</v>
      </c>
      <c r="D346" s="38" t="n">
        <v>97</v>
      </c>
    </row>
    <row r="347" customFormat="false" ht="15" hidden="false" customHeight="false" outlineLevel="0" collapsed="false">
      <c r="A347" s="39" t="n">
        <v>46113</v>
      </c>
      <c r="B347" s="34" t="s">
        <v>125</v>
      </c>
      <c r="C347" s="34" t="s">
        <v>54</v>
      </c>
      <c r="D347" s="38" t="n">
        <v>110</v>
      </c>
    </row>
    <row r="348" customFormat="false" ht="15" hidden="false" customHeight="false" outlineLevel="0" collapsed="false">
      <c r="A348" s="39" t="n">
        <v>46143</v>
      </c>
      <c r="B348" s="34" t="s">
        <v>125</v>
      </c>
      <c r="C348" s="34" t="s">
        <v>54</v>
      </c>
      <c r="D348" s="38" t="n">
        <v>115</v>
      </c>
    </row>
    <row r="349" customFormat="false" ht="15" hidden="false" customHeight="false" outlineLevel="0" collapsed="false">
      <c r="A349" s="39" t="n">
        <v>46174</v>
      </c>
      <c r="B349" s="34" t="s">
        <v>125</v>
      </c>
      <c r="C349" s="34" t="s">
        <v>54</v>
      </c>
      <c r="D349" s="38" t="n">
        <v>131</v>
      </c>
    </row>
    <row r="350" customFormat="false" ht="15" hidden="false" customHeight="false" outlineLevel="0" collapsed="false">
      <c r="A350" s="39" t="n">
        <v>46204</v>
      </c>
      <c r="B350" s="34" t="s">
        <v>125</v>
      </c>
      <c r="C350" s="34" t="s">
        <v>54</v>
      </c>
      <c r="D350" s="38" t="n">
        <v>123</v>
      </c>
    </row>
    <row r="351" customFormat="false" ht="15" hidden="false" customHeight="false" outlineLevel="0" collapsed="false">
      <c r="A351" s="39" t="n">
        <v>46235</v>
      </c>
      <c r="B351" s="34" t="s">
        <v>125</v>
      </c>
      <c r="C351" s="34" t="s">
        <v>54</v>
      </c>
      <c r="D351" s="38" t="n">
        <v>165</v>
      </c>
    </row>
    <row r="352" customFormat="false" ht="15" hidden="false" customHeight="false" outlineLevel="0" collapsed="false">
      <c r="A352" s="39" t="n">
        <v>46266</v>
      </c>
      <c r="B352" s="34" t="s">
        <v>125</v>
      </c>
      <c r="C352" s="34" t="s">
        <v>54</v>
      </c>
      <c r="D352" s="38" t="n">
        <v>144</v>
      </c>
    </row>
    <row r="353" customFormat="false" ht="15" hidden="false" customHeight="false" outlineLevel="0" collapsed="false">
      <c r="A353" s="39" t="n">
        <v>46023</v>
      </c>
      <c r="B353" s="34" t="s">
        <v>125</v>
      </c>
      <c r="C353" s="34" t="s">
        <v>55</v>
      </c>
      <c r="D353" s="38" t="n">
        <v>11</v>
      </c>
    </row>
    <row r="354" customFormat="false" ht="15" hidden="false" customHeight="false" outlineLevel="0" collapsed="false">
      <c r="A354" s="39" t="n">
        <v>46054</v>
      </c>
      <c r="B354" s="34" t="s">
        <v>125</v>
      </c>
      <c r="C354" s="34" t="s">
        <v>55</v>
      </c>
      <c r="D354" s="38" t="n">
        <v>13</v>
      </c>
    </row>
    <row r="355" customFormat="false" ht="15" hidden="false" customHeight="false" outlineLevel="0" collapsed="false">
      <c r="A355" s="39" t="n">
        <v>46082</v>
      </c>
      <c r="B355" s="34" t="s">
        <v>125</v>
      </c>
      <c r="C355" s="34" t="s">
        <v>55</v>
      </c>
      <c r="D355" s="38" t="n">
        <v>24</v>
      </c>
    </row>
    <row r="356" customFormat="false" ht="15" hidden="false" customHeight="false" outlineLevel="0" collapsed="false">
      <c r="A356" s="39" t="n">
        <v>46113</v>
      </c>
      <c r="B356" s="34" t="s">
        <v>125</v>
      </c>
      <c r="C356" s="34" t="s">
        <v>55</v>
      </c>
      <c r="D356" s="38" t="n">
        <v>32</v>
      </c>
    </row>
    <row r="357" customFormat="false" ht="15" hidden="false" customHeight="false" outlineLevel="0" collapsed="false">
      <c r="A357" s="39" t="n">
        <v>46143</v>
      </c>
      <c r="B357" s="34" t="s">
        <v>125</v>
      </c>
      <c r="C357" s="34" t="s">
        <v>55</v>
      </c>
      <c r="D357" s="38" t="n">
        <v>23</v>
      </c>
    </row>
    <row r="358" customFormat="false" ht="15" hidden="false" customHeight="false" outlineLevel="0" collapsed="false">
      <c r="A358" s="39" t="n">
        <v>46174</v>
      </c>
      <c r="B358" s="34" t="s">
        <v>125</v>
      </c>
      <c r="C358" s="34" t="s">
        <v>55</v>
      </c>
      <c r="D358" s="38" t="n">
        <v>30</v>
      </c>
    </row>
    <row r="359" customFormat="false" ht="15" hidden="false" customHeight="false" outlineLevel="0" collapsed="false">
      <c r="A359" s="39" t="n">
        <v>46204</v>
      </c>
      <c r="B359" s="34" t="s">
        <v>125</v>
      </c>
      <c r="C359" s="34" t="s">
        <v>55</v>
      </c>
      <c r="D359" s="38" t="n">
        <v>29</v>
      </c>
    </row>
    <row r="360" customFormat="false" ht="15" hidden="false" customHeight="false" outlineLevel="0" collapsed="false">
      <c r="A360" s="39" t="n">
        <v>46235</v>
      </c>
      <c r="B360" s="34" t="s">
        <v>125</v>
      </c>
      <c r="C360" s="34" t="s">
        <v>55</v>
      </c>
      <c r="D360" s="38" t="n">
        <v>30</v>
      </c>
    </row>
    <row r="361" customFormat="false" ht="15" hidden="false" customHeight="false" outlineLevel="0" collapsed="false">
      <c r="A361" s="39" t="n">
        <v>46266</v>
      </c>
      <c r="B361" s="34" t="s">
        <v>125</v>
      </c>
      <c r="C361" s="34" t="s">
        <v>55</v>
      </c>
      <c r="D361" s="38" t="n">
        <v>28</v>
      </c>
    </row>
    <row r="362" customFormat="false" ht="15" hidden="false" customHeight="false" outlineLevel="0" collapsed="false">
      <c r="A362" s="39" t="n">
        <v>46023</v>
      </c>
      <c r="B362" s="34" t="s">
        <v>126</v>
      </c>
      <c r="C362" s="34" t="s">
        <v>48</v>
      </c>
      <c r="D362" s="38" t="n">
        <v>281</v>
      </c>
    </row>
    <row r="363" customFormat="false" ht="15" hidden="false" customHeight="false" outlineLevel="0" collapsed="false">
      <c r="A363" s="39" t="n">
        <v>46054</v>
      </c>
      <c r="B363" s="34" t="s">
        <v>126</v>
      </c>
      <c r="C363" s="34" t="s">
        <v>48</v>
      </c>
      <c r="D363" s="38" t="n">
        <v>396</v>
      </c>
    </row>
    <row r="364" customFormat="false" ht="15" hidden="false" customHeight="false" outlineLevel="0" collapsed="false">
      <c r="A364" s="39" t="n">
        <v>46082</v>
      </c>
      <c r="B364" s="34" t="s">
        <v>126</v>
      </c>
      <c r="C364" s="34" t="s">
        <v>48</v>
      </c>
      <c r="D364" s="38" t="n">
        <v>433</v>
      </c>
    </row>
    <row r="365" customFormat="false" ht="15" hidden="false" customHeight="false" outlineLevel="0" collapsed="false">
      <c r="A365" s="39" t="n">
        <v>46113</v>
      </c>
      <c r="B365" s="34" t="s">
        <v>126</v>
      </c>
      <c r="C365" s="34" t="s">
        <v>48</v>
      </c>
      <c r="D365" s="38" t="n">
        <v>508</v>
      </c>
    </row>
    <row r="366" customFormat="false" ht="15" hidden="false" customHeight="false" outlineLevel="0" collapsed="false">
      <c r="A366" s="39" t="n">
        <v>46143</v>
      </c>
      <c r="B366" s="34" t="s">
        <v>126</v>
      </c>
      <c r="C366" s="34" t="s">
        <v>48</v>
      </c>
      <c r="D366" s="38" t="n">
        <v>511</v>
      </c>
    </row>
    <row r="367" customFormat="false" ht="15" hidden="false" customHeight="false" outlineLevel="0" collapsed="false">
      <c r="A367" s="39" t="n">
        <v>46174</v>
      </c>
      <c r="B367" s="34" t="s">
        <v>126</v>
      </c>
      <c r="C367" s="34" t="s">
        <v>48</v>
      </c>
      <c r="D367" s="38" t="n">
        <v>560</v>
      </c>
    </row>
    <row r="368" customFormat="false" ht="15" hidden="false" customHeight="false" outlineLevel="0" collapsed="false">
      <c r="A368" s="39" t="n">
        <v>46204</v>
      </c>
      <c r="B368" s="34" t="s">
        <v>126</v>
      </c>
      <c r="C368" s="34" t="s">
        <v>48</v>
      </c>
      <c r="D368" s="38" t="n">
        <v>616</v>
      </c>
    </row>
    <row r="369" customFormat="false" ht="15" hidden="false" customHeight="false" outlineLevel="0" collapsed="false">
      <c r="A369" s="39" t="n">
        <v>46235</v>
      </c>
      <c r="B369" s="34" t="s">
        <v>126</v>
      </c>
      <c r="C369" s="34" t="s">
        <v>48</v>
      </c>
      <c r="D369" s="38" t="n">
        <v>637</v>
      </c>
    </row>
    <row r="370" customFormat="false" ht="15" hidden="false" customHeight="false" outlineLevel="0" collapsed="false">
      <c r="A370" s="39" t="n">
        <v>46266</v>
      </c>
      <c r="B370" s="34" t="s">
        <v>126</v>
      </c>
      <c r="C370" s="34" t="s">
        <v>48</v>
      </c>
      <c r="D370" s="38" t="n">
        <v>604</v>
      </c>
    </row>
    <row r="371" customFormat="false" ht="15" hidden="false" customHeight="false" outlineLevel="0" collapsed="false">
      <c r="A371" s="39" t="n">
        <v>46023</v>
      </c>
      <c r="B371" s="34" t="s">
        <v>126</v>
      </c>
      <c r="C371" s="34" t="s">
        <v>49</v>
      </c>
      <c r="D371" s="38" t="n">
        <v>1</v>
      </c>
    </row>
    <row r="372" customFormat="false" ht="15" hidden="false" customHeight="false" outlineLevel="0" collapsed="false">
      <c r="A372" s="39" t="n">
        <v>46054</v>
      </c>
      <c r="B372" s="34" t="s">
        <v>126</v>
      </c>
      <c r="C372" s="34" t="s">
        <v>49</v>
      </c>
      <c r="D372" s="38" t="n">
        <v>0</v>
      </c>
    </row>
    <row r="373" customFormat="false" ht="15" hidden="false" customHeight="false" outlineLevel="0" collapsed="false">
      <c r="A373" s="39" t="n">
        <v>46082</v>
      </c>
      <c r="B373" s="34" t="s">
        <v>126</v>
      </c>
      <c r="C373" s="34" t="s">
        <v>49</v>
      </c>
      <c r="D373" s="38" t="n">
        <v>1</v>
      </c>
    </row>
    <row r="374" customFormat="false" ht="15" hidden="false" customHeight="false" outlineLevel="0" collapsed="false">
      <c r="A374" s="39" t="n">
        <v>46113</v>
      </c>
      <c r="B374" s="34" t="s">
        <v>126</v>
      </c>
      <c r="C374" s="34" t="s">
        <v>49</v>
      </c>
      <c r="D374" s="38" t="n">
        <v>0</v>
      </c>
    </row>
    <row r="375" customFormat="false" ht="15" hidden="false" customHeight="false" outlineLevel="0" collapsed="false">
      <c r="A375" s="39" t="n">
        <v>46143</v>
      </c>
      <c r="B375" s="34" t="s">
        <v>126</v>
      </c>
      <c r="C375" s="34" t="s">
        <v>49</v>
      </c>
      <c r="D375" s="38" t="n">
        <v>0</v>
      </c>
    </row>
    <row r="376" customFormat="false" ht="15" hidden="false" customHeight="false" outlineLevel="0" collapsed="false">
      <c r="A376" s="39" t="n">
        <v>46174</v>
      </c>
      <c r="B376" s="34" t="s">
        <v>126</v>
      </c>
      <c r="C376" s="34" t="s">
        <v>49</v>
      </c>
      <c r="D376" s="38" t="n">
        <v>0</v>
      </c>
    </row>
    <row r="377" customFormat="false" ht="15" hidden="false" customHeight="false" outlineLevel="0" collapsed="false">
      <c r="A377" s="39" t="n">
        <v>46204</v>
      </c>
      <c r="B377" s="34" t="s">
        <v>126</v>
      </c>
      <c r="C377" s="34" t="s">
        <v>49</v>
      </c>
      <c r="D377" s="38" t="n">
        <v>1</v>
      </c>
    </row>
    <row r="378" customFormat="false" ht="15" hidden="false" customHeight="false" outlineLevel="0" collapsed="false">
      <c r="A378" s="39" t="n">
        <v>46235</v>
      </c>
      <c r="B378" s="34" t="s">
        <v>126</v>
      </c>
      <c r="C378" s="34" t="s">
        <v>49</v>
      </c>
      <c r="D378" s="38" t="n">
        <v>1</v>
      </c>
    </row>
    <row r="379" customFormat="false" ht="15" hidden="false" customHeight="false" outlineLevel="0" collapsed="false">
      <c r="A379" s="39" t="n">
        <v>46266</v>
      </c>
      <c r="B379" s="34" t="s">
        <v>126</v>
      </c>
      <c r="C379" s="34" t="s">
        <v>49</v>
      </c>
      <c r="D379" s="38" t="n">
        <v>2</v>
      </c>
    </row>
    <row r="380" customFormat="false" ht="15" hidden="false" customHeight="false" outlineLevel="0" collapsed="false">
      <c r="A380" s="39" t="n">
        <v>46023</v>
      </c>
      <c r="B380" s="34" t="s">
        <v>126</v>
      </c>
      <c r="C380" s="34" t="s">
        <v>50</v>
      </c>
      <c r="D380" s="38" t="n">
        <v>81</v>
      </c>
    </row>
    <row r="381" customFormat="false" ht="15" hidden="false" customHeight="false" outlineLevel="0" collapsed="false">
      <c r="A381" s="39" t="n">
        <v>46054</v>
      </c>
      <c r="B381" s="34" t="s">
        <v>126</v>
      </c>
      <c r="C381" s="34" t="s">
        <v>50</v>
      </c>
      <c r="D381" s="38" t="n">
        <v>115</v>
      </c>
    </row>
    <row r="382" customFormat="false" ht="15" hidden="false" customHeight="false" outlineLevel="0" collapsed="false">
      <c r="A382" s="39" t="n">
        <v>46082</v>
      </c>
      <c r="B382" s="34" t="s">
        <v>126</v>
      </c>
      <c r="C382" s="34" t="s">
        <v>50</v>
      </c>
      <c r="D382" s="38" t="n">
        <v>126</v>
      </c>
    </row>
    <row r="383" customFormat="false" ht="15" hidden="false" customHeight="false" outlineLevel="0" collapsed="false">
      <c r="A383" s="39" t="n">
        <v>46113</v>
      </c>
      <c r="B383" s="34" t="s">
        <v>126</v>
      </c>
      <c r="C383" s="34" t="s">
        <v>50</v>
      </c>
      <c r="D383" s="38" t="n">
        <v>177</v>
      </c>
    </row>
    <row r="384" customFormat="false" ht="15" hidden="false" customHeight="false" outlineLevel="0" collapsed="false">
      <c r="A384" s="39" t="n">
        <v>46143</v>
      </c>
      <c r="B384" s="34" t="s">
        <v>126</v>
      </c>
      <c r="C384" s="34" t="s">
        <v>50</v>
      </c>
      <c r="D384" s="38" t="n">
        <v>166</v>
      </c>
    </row>
    <row r="385" customFormat="false" ht="15" hidden="false" customHeight="false" outlineLevel="0" collapsed="false">
      <c r="A385" s="39" t="n">
        <v>46174</v>
      </c>
      <c r="B385" s="34" t="s">
        <v>126</v>
      </c>
      <c r="C385" s="34" t="s">
        <v>50</v>
      </c>
      <c r="D385" s="38" t="n">
        <v>171</v>
      </c>
    </row>
    <row r="386" customFormat="false" ht="15" hidden="false" customHeight="false" outlineLevel="0" collapsed="false">
      <c r="A386" s="39" t="n">
        <v>46204</v>
      </c>
      <c r="B386" s="34" t="s">
        <v>126</v>
      </c>
      <c r="C386" s="34" t="s">
        <v>50</v>
      </c>
      <c r="D386" s="38" t="n">
        <v>179</v>
      </c>
    </row>
    <row r="387" customFormat="false" ht="15" hidden="false" customHeight="false" outlineLevel="0" collapsed="false">
      <c r="A387" s="39" t="n">
        <v>46235</v>
      </c>
      <c r="B387" s="34" t="s">
        <v>126</v>
      </c>
      <c r="C387" s="34" t="s">
        <v>50</v>
      </c>
      <c r="D387" s="38" t="n">
        <v>180</v>
      </c>
    </row>
    <row r="388" customFormat="false" ht="15" hidden="false" customHeight="false" outlineLevel="0" collapsed="false">
      <c r="A388" s="39" t="n">
        <v>46266</v>
      </c>
      <c r="B388" s="34" t="s">
        <v>126</v>
      </c>
      <c r="C388" s="34" t="s">
        <v>50</v>
      </c>
      <c r="D388" s="38" t="n">
        <v>192</v>
      </c>
    </row>
    <row r="389" customFormat="false" ht="15" hidden="false" customHeight="false" outlineLevel="0" collapsed="false">
      <c r="A389" s="39" t="n">
        <v>46023</v>
      </c>
      <c r="B389" s="34" t="s">
        <v>126</v>
      </c>
      <c r="C389" s="34" t="s">
        <v>51</v>
      </c>
      <c r="D389" s="38" t="n">
        <v>0</v>
      </c>
    </row>
    <row r="390" customFormat="false" ht="15" hidden="false" customHeight="false" outlineLevel="0" collapsed="false">
      <c r="A390" s="39" t="n">
        <v>46054</v>
      </c>
      <c r="B390" s="34" t="s">
        <v>126</v>
      </c>
      <c r="C390" s="34" t="s">
        <v>51</v>
      </c>
      <c r="D390" s="38" t="n">
        <v>2</v>
      </c>
    </row>
    <row r="391" customFormat="false" ht="15" hidden="false" customHeight="false" outlineLevel="0" collapsed="false">
      <c r="A391" s="39" t="n">
        <v>46082</v>
      </c>
      <c r="B391" s="34" t="s">
        <v>126</v>
      </c>
      <c r="C391" s="34" t="s">
        <v>51</v>
      </c>
      <c r="D391" s="38" t="n">
        <v>0</v>
      </c>
    </row>
    <row r="392" customFormat="false" ht="15" hidden="false" customHeight="false" outlineLevel="0" collapsed="false">
      <c r="A392" s="39" t="n">
        <v>46113</v>
      </c>
      <c r="B392" s="34" t="s">
        <v>126</v>
      </c>
      <c r="C392" s="34" t="s">
        <v>51</v>
      </c>
      <c r="D392" s="38" t="n">
        <v>3</v>
      </c>
    </row>
    <row r="393" customFormat="false" ht="15" hidden="false" customHeight="false" outlineLevel="0" collapsed="false">
      <c r="A393" s="39" t="n">
        <v>46143</v>
      </c>
      <c r="B393" s="34" t="s">
        <v>126</v>
      </c>
      <c r="C393" s="34" t="s">
        <v>51</v>
      </c>
      <c r="D393" s="38" t="n">
        <v>3</v>
      </c>
    </row>
    <row r="394" customFormat="false" ht="15" hidden="false" customHeight="false" outlineLevel="0" collapsed="false">
      <c r="A394" s="39" t="n">
        <v>46174</v>
      </c>
      <c r="B394" s="34" t="s">
        <v>126</v>
      </c>
      <c r="C394" s="34" t="s">
        <v>51</v>
      </c>
      <c r="D394" s="38" t="n">
        <v>2</v>
      </c>
    </row>
    <row r="395" customFormat="false" ht="15" hidden="false" customHeight="false" outlineLevel="0" collapsed="false">
      <c r="A395" s="39" t="n">
        <v>46204</v>
      </c>
      <c r="B395" s="34" t="s">
        <v>126</v>
      </c>
      <c r="C395" s="34" t="s">
        <v>51</v>
      </c>
      <c r="D395" s="38" t="n">
        <v>2</v>
      </c>
    </row>
    <row r="396" customFormat="false" ht="15" hidden="false" customHeight="false" outlineLevel="0" collapsed="false">
      <c r="A396" s="39" t="n">
        <v>46235</v>
      </c>
      <c r="B396" s="34" t="s">
        <v>126</v>
      </c>
      <c r="C396" s="34" t="s">
        <v>51</v>
      </c>
      <c r="D396" s="38" t="n">
        <v>1</v>
      </c>
    </row>
    <row r="397" customFormat="false" ht="15" hidden="false" customHeight="false" outlineLevel="0" collapsed="false">
      <c r="A397" s="39" t="n">
        <v>46266</v>
      </c>
      <c r="B397" s="34" t="s">
        <v>126</v>
      </c>
      <c r="C397" s="34" t="s">
        <v>51</v>
      </c>
      <c r="D397" s="38" t="n">
        <v>4</v>
      </c>
    </row>
    <row r="398" customFormat="false" ht="15" hidden="false" customHeight="false" outlineLevel="0" collapsed="false">
      <c r="A398" s="39" t="n">
        <v>46023</v>
      </c>
      <c r="B398" s="34" t="s">
        <v>126</v>
      </c>
      <c r="C398" s="34" t="s">
        <v>52</v>
      </c>
      <c r="D398" s="38" t="n">
        <v>0</v>
      </c>
    </row>
    <row r="399" customFormat="false" ht="15" hidden="false" customHeight="false" outlineLevel="0" collapsed="false">
      <c r="A399" s="39" t="n">
        <v>46054</v>
      </c>
      <c r="B399" s="34" t="s">
        <v>126</v>
      </c>
      <c r="C399" s="34" t="s">
        <v>52</v>
      </c>
      <c r="D399" s="38" t="n">
        <v>1</v>
      </c>
    </row>
    <row r="400" customFormat="false" ht="15" hidden="false" customHeight="false" outlineLevel="0" collapsed="false">
      <c r="A400" s="39" t="n">
        <v>46082</v>
      </c>
      <c r="B400" s="34" t="s">
        <v>126</v>
      </c>
      <c r="C400" s="34" t="s">
        <v>52</v>
      </c>
      <c r="D400" s="38" t="n">
        <v>0</v>
      </c>
    </row>
    <row r="401" customFormat="false" ht="15" hidden="false" customHeight="false" outlineLevel="0" collapsed="false">
      <c r="A401" s="39" t="n">
        <v>46113</v>
      </c>
      <c r="B401" s="34" t="s">
        <v>126</v>
      </c>
      <c r="C401" s="34" t="s">
        <v>52</v>
      </c>
      <c r="D401" s="38" t="n">
        <v>0</v>
      </c>
    </row>
    <row r="402" customFormat="false" ht="15" hidden="false" customHeight="false" outlineLevel="0" collapsed="false">
      <c r="A402" s="39" t="n">
        <v>46143</v>
      </c>
      <c r="B402" s="34" t="s">
        <v>126</v>
      </c>
      <c r="C402" s="34" t="s">
        <v>52</v>
      </c>
      <c r="D402" s="38" t="n">
        <v>0</v>
      </c>
    </row>
    <row r="403" customFormat="false" ht="15" hidden="false" customHeight="false" outlineLevel="0" collapsed="false">
      <c r="A403" s="39" t="n">
        <v>46174</v>
      </c>
      <c r="B403" s="34" t="s">
        <v>126</v>
      </c>
      <c r="C403" s="34" t="s">
        <v>52</v>
      </c>
      <c r="D403" s="38" t="n">
        <v>0</v>
      </c>
    </row>
    <row r="404" customFormat="false" ht="15" hidden="false" customHeight="false" outlineLevel="0" collapsed="false">
      <c r="A404" s="39" t="n">
        <v>46204</v>
      </c>
      <c r="B404" s="34" t="s">
        <v>126</v>
      </c>
      <c r="C404" s="34" t="s">
        <v>52</v>
      </c>
      <c r="D404" s="38" t="n">
        <v>0</v>
      </c>
    </row>
    <row r="405" customFormat="false" ht="15" hidden="false" customHeight="false" outlineLevel="0" collapsed="false">
      <c r="A405" s="39" t="n">
        <v>46235</v>
      </c>
      <c r="B405" s="34" t="s">
        <v>126</v>
      </c>
      <c r="C405" s="34" t="s">
        <v>52</v>
      </c>
      <c r="D405" s="38" t="n">
        <v>0</v>
      </c>
    </row>
    <row r="406" customFormat="false" ht="15" hidden="false" customHeight="false" outlineLevel="0" collapsed="false">
      <c r="A406" s="39" t="n">
        <v>46266</v>
      </c>
      <c r="B406" s="34" t="s">
        <v>126</v>
      </c>
      <c r="C406" s="34" t="s">
        <v>52</v>
      </c>
      <c r="D406" s="38" t="n">
        <v>0</v>
      </c>
    </row>
    <row r="407" customFormat="false" ht="15" hidden="false" customHeight="false" outlineLevel="0" collapsed="false">
      <c r="A407" s="39" t="n">
        <v>46023</v>
      </c>
      <c r="B407" s="34" t="s">
        <v>126</v>
      </c>
      <c r="C407" s="34" t="s">
        <v>53</v>
      </c>
      <c r="D407" s="38" t="n">
        <v>0</v>
      </c>
    </row>
    <row r="408" customFormat="false" ht="15" hidden="false" customHeight="false" outlineLevel="0" collapsed="false">
      <c r="A408" s="39" t="n">
        <v>46054</v>
      </c>
      <c r="B408" s="34" t="s">
        <v>126</v>
      </c>
      <c r="C408" s="34" t="s">
        <v>53</v>
      </c>
      <c r="D408" s="38" t="n">
        <v>1</v>
      </c>
    </row>
    <row r="409" customFormat="false" ht="15" hidden="false" customHeight="false" outlineLevel="0" collapsed="false">
      <c r="A409" s="39" t="n">
        <v>46082</v>
      </c>
      <c r="B409" s="34" t="s">
        <v>126</v>
      </c>
      <c r="C409" s="34" t="s">
        <v>53</v>
      </c>
      <c r="D409" s="38" t="n">
        <v>1</v>
      </c>
    </row>
    <row r="410" customFormat="false" ht="15" hidden="false" customHeight="false" outlineLevel="0" collapsed="false">
      <c r="A410" s="39" t="n">
        <v>46113</v>
      </c>
      <c r="B410" s="34" t="s">
        <v>126</v>
      </c>
      <c r="C410" s="34" t="s">
        <v>53</v>
      </c>
      <c r="D410" s="38" t="n">
        <v>0</v>
      </c>
    </row>
    <row r="411" customFormat="false" ht="15" hidden="false" customHeight="false" outlineLevel="0" collapsed="false">
      <c r="A411" s="39" t="n">
        <v>46143</v>
      </c>
      <c r="B411" s="34" t="s">
        <v>126</v>
      </c>
      <c r="C411" s="34" t="s">
        <v>53</v>
      </c>
      <c r="D411" s="38" t="n">
        <v>1</v>
      </c>
    </row>
    <row r="412" customFormat="false" ht="15" hidden="false" customHeight="false" outlineLevel="0" collapsed="false">
      <c r="A412" s="39" t="n">
        <v>46174</v>
      </c>
      <c r="B412" s="34" t="s">
        <v>126</v>
      </c>
      <c r="C412" s="34" t="s">
        <v>53</v>
      </c>
      <c r="D412" s="38" t="n">
        <v>1</v>
      </c>
    </row>
    <row r="413" customFormat="false" ht="15" hidden="false" customHeight="false" outlineLevel="0" collapsed="false">
      <c r="A413" s="39" t="n">
        <v>46204</v>
      </c>
      <c r="B413" s="34" t="s">
        <v>126</v>
      </c>
      <c r="C413" s="34" t="s">
        <v>53</v>
      </c>
      <c r="D413" s="38" t="n">
        <v>1</v>
      </c>
    </row>
    <row r="414" customFormat="false" ht="15" hidden="false" customHeight="false" outlineLevel="0" collapsed="false">
      <c r="A414" s="39" t="n">
        <v>46235</v>
      </c>
      <c r="B414" s="34" t="s">
        <v>126</v>
      </c>
      <c r="C414" s="34" t="s">
        <v>53</v>
      </c>
      <c r="D414" s="38" t="n">
        <v>2</v>
      </c>
    </row>
    <row r="415" customFormat="false" ht="15" hidden="false" customHeight="false" outlineLevel="0" collapsed="false">
      <c r="A415" s="39" t="n">
        <v>46266</v>
      </c>
      <c r="B415" s="34" t="s">
        <v>126</v>
      </c>
      <c r="C415" s="34" t="s">
        <v>53</v>
      </c>
      <c r="D415" s="38" t="n">
        <v>1</v>
      </c>
    </row>
    <row r="416" customFormat="false" ht="15" hidden="false" customHeight="false" outlineLevel="0" collapsed="false">
      <c r="A416" s="39" t="n">
        <v>46023</v>
      </c>
      <c r="B416" s="34" t="s">
        <v>126</v>
      </c>
      <c r="C416" s="34" t="s">
        <v>54</v>
      </c>
      <c r="D416" s="38" t="n">
        <v>42</v>
      </c>
    </row>
    <row r="417" customFormat="false" ht="15" hidden="false" customHeight="false" outlineLevel="0" collapsed="false">
      <c r="A417" s="39" t="n">
        <v>46054</v>
      </c>
      <c r="B417" s="34" t="s">
        <v>126</v>
      </c>
      <c r="C417" s="34" t="s">
        <v>54</v>
      </c>
      <c r="D417" s="38" t="n">
        <v>49</v>
      </c>
    </row>
    <row r="418" customFormat="false" ht="15" hidden="false" customHeight="false" outlineLevel="0" collapsed="false">
      <c r="A418" s="39" t="n">
        <v>46082</v>
      </c>
      <c r="B418" s="34" t="s">
        <v>126</v>
      </c>
      <c r="C418" s="34" t="s">
        <v>54</v>
      </c>
      <c r="D418" s="38" t="n">
        <v>71</v>
      </c>
    </row>
    <row r="419" customFormat="false" ht="15" hidden="false" customHeight="false" outlineLevel="0" collapsed="false">
      <c r="A419" s="39" t="n">
        <v>46113</v>
      </c>
      <c r="B419" s="34" t="s">
        <v>126</v>
      </c>
      <c r="C419" s="34" t="s">
        <v>54</v>
      </c>
      <c r="D419" s="38" t="n">
        <v>54</v>
      </c>
    </row>
    <row r="420" customFormat="false" ht="15" hidden="false" customHeight="false" outlineLevel="0" collapsed="false">
      <c r="A420" s="39" t="n">
        <v>46143</v>
      </c>
      <c r="B420" s="34" t="s">
        <v>126</v>
      </c>
      <c r="C420" s="34" t="s">
        <v>54</v>
      </c>
      <c r="D420" s="38" t="n">
        <v>76</v>
      </c>
    </row>
    <row r="421" customFormat="false" ht="15" hidden="false" customHeight="false" outlineLevel="0" collapsed="false">
      <c r="A421" s="39" t="n">
        <v>46174</v>
      </c>
      <c r="B421" s="34" t="s">
        <v>126</v>
      </c>
      <c r="C421" s="34" t="s">
        <v>54</v>
      </c>
      <c r="D421" s="38" t="n">
        <v>65</v>
      </c>
    </row>
    <row r="422" customFormat="false" ht="15" hidden="false" customHeight="false" outlineLevel="0" collapsed="false">
      <c r="A422" s="39" t="n">
        <v>46204</v>
      </c>
      <c r="B422" s="34" t="s">
        <v>126</v>
      </c>
      <c r="C422" s="34" t="s">
        <v>54</v>
      </c>
      <c r="D422" s="38" t="n">
        <v>76</v>
      </c>
    </row>
    <row r="423" customFormat="false" ht="15" hidden="false" customHeight="false" outlineLevel="0" collapsed="false">
      <c r="A423" s="39" t="n">
        <v>46235</v>
      </c>
      <c r="B423" s="34" t="s">
        <v>126</v>
      </c>
      <c r="C423" s="34" t="s">
        <v>54</v>
      </c>
      <c r="D423" s="38" t="n">
        <v>88</v>
      </c>
    </row>
    <row r="424" customFormat="false" ht="15" hidden="false" customHeight="false" outlineLevel="0" collapsed="false">
      <c r="A424" s="39" t="n">
        <v>46266</v>
      </c>
      <c r="B424" s="34" t="s">
        <v>126</v>
      </c>
      <c r="C424" s="34" t="s">
        <v>54</v>
      </c>
      <c r="D424" s="38" t="n">
        <v>74</v>
      </c>
    </row>
    <row r="425" customFormat="false" ht="15" hidden="false" customHeight="false" outlineLevel="0" collapsed="false">
      <c r="A425" s="39" t="n">
        <v>46023</v>
      </c>
      <c r="B425" s="34" t="s">
        <v>126</v>
      </c>
      <c r="C425" s="34" t="s">
        <v>55</v>
      </c>
      <c r="D425" s="38" t="n">
        <v>10</v>
      </c>
    </row>
    <row r="426" customFormat="false" ht="15" hidden="false" customHeight="false" outlineLevel="0" collapsed="false">
      <c r="A426" s="39" t="n">
        <v>46054</v>
      </c>
      <c r="B426" s="34" t="s">
        <v>126</v>
      </c>
      <c r="C426" s="34" t="s">
        <v>55</v>
      </c>
      <c r="D426" s="38" t="n">
        <v>9</v>
      </c>
    </row>
    <row r="427" customFormat="false" ht="15" hidden="false" customHeight="false" outlineLevel="0" collapsed="false">
      <c r="A427" s="39" t="n">
        <v>46082</v>
      </c>
      <c r="B427" s="34" t="s">
        <v>126</v>
      </c>
      <c r="C427" s="34" t="s">
        <v>55</v>
      </c>
      <c r="D427" s="38" t="n">
        <v>21</v>
      </c>
    </row>
    <row r="428" customFormat="false" ht="15" hidden="false" customHeight="false" outlineLevel="0" collapsed="false">
      <c r="A428" s="39" t="n">
        <v>46113</v>
      </c>
      <c r="B428" s="34" t="s">
        <v>126</v>
      </c>
      <c r="C428" s="34" t="s">
        <v>55</v>
      </c>
      <c r="D428" s="38" t="n">
        <v>16</v>
      </c>
    </row>
    <row r="429" customFormat="false" ht="15" hidden="false" customHeight="false" outlineLevel="0" collapsed="false">
      <c r="A429" s="39" t="n">
        <v>46143</v>
      </c>
      <c r="B429" s="34" t="s">
        <v>126</v>
      </c>
      <c r="C429" s="34" t="s">
        <v>55</v>
      </c>
      <c r="D429" s="38" t="n">
        <v>19</v>
      </c>
    </row>
    <row r="430" customFormat="false" ht="15" hidden="false" customHeight="false" outlineLevel="0" collapsed="false">
      <c r="A430" s="39" t="n">
        <v>46174</v>
      </c>
      <c r="B430" s="34" t="s">
        <v>126</v>
      </c>
      <c r="C430" s="34" t="s">
        <v>55</v>
      </c>
      <c r="D430" s="38" t="n">
        <v>17</v>
      </c>
    </row>
    <row r="431" customFormat="false" ht="15" hidden="false" customHeight="false" outlineLevel="0" collapsed="false">
      <c r="A431" s="39" t="n">
        <v>46204</v>
      </c>
      <c r="B431" s="34" t="s">
        <v>126</v>
      </c>
      <c r="C431" s="34" t="s">
        <v>55</v>
      </c>
      <c r="D431" s="38" t="n">
        <v>15</v>
      </c>
    </row>
    <row r="432" customFormat="false" ht="15" hidden="false" customHeight="false" outlineLevel="0" collapsed="false">
      <c r="A432" s="39" t="n">
        <v>46235</v>
      </c>
      <c r="B432" s="34" t="s">
        <v>126</v>
      </c>
      <c r="C432" s="34" t="s">
        <v>55</v>
      </c>
      <c r="D432" s="38" t="n">
        <v>9</v>
      </c>
    </row>
    <row r="433" customFormat="false" ht="15" hidden="false" customHeight="false" outlineLevel="0" collapsed="false">
      <c r="A433" s="39" t="n">
        <v>46266</v>
      </c>
      <c r="B433" s="34" t="s">
        <v>126</v>
      </c>
      <c r="C433" s="34" t="s">
        <v>55</v>
      </c>
      <c r="D433" s="38" t="n">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2026-10-18T07:26:18Z</dcterms:created>
  <dc:creator>openpyxl</dc:creator>
  <dc:description/>
  <dc:language>en-US</dc:language>
  <cp:lastModifiedBy/>
  <dcterms:modified xsi:type="dcterms:W3CDTF">2026-10-18T07:26:21Z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