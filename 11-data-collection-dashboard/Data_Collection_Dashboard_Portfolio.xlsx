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Assumptions" sheetId="3" state="visible" r:id="rId5"/>
    <sheet name="Quality_Checks" sheetId="4" state="visible" r:id="rId6"/>
    <sheet name="Responses" sheetId="5" state="visible" r:id="rId7"/>
  </sheets>
  <definedNames>
    <definedName function="false" hidden="false" localSheetId="1" name="_xlnm.Print_Area" vbProcedure="false">Dashboard!$A$1:$L$70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<sst xmlns="http://schemas.openxmlformats.org/spreadsheetml/2006/main" count="3054" uniqueCount="468">
  <si>
    <t xml:space="preserve">Data Collection to Dashboard – Survey Portfolio Project</t>
  </si>
  <si>
    <t xml:space="preserve">BZME Insights  |  Sector: Research / NGO data collection  |  Tool: Excel (formula-driven) + KoboToolbox / XLSForm</t>
  </si>
  <si>
    <t xml:space="preserve">BUSINESS PROBLEM</t>
  </si>
  <si>
    <t xml:space="preserve">A research or NGO team wants to understand how small traders use digital payments. Field staff collect data on phones, but the team needs to know quickly whether the data can be trusted, whether fieldwork is on schedule, and what the early results say.</t>
  </si>
  <si>
    <t xml:space="preserve">BUSINESS QUESTIONS</t>
  </si>
  <si>
    <t xml:space="preserve">1. Is fieldwork on track against the planned sample in each town?</t>
  </si>
  <si>
    <t xml:space="preserve">2. Which submissions pass quality checks, and which enumerators need back-checks?</t>
  </si>
  <si>
    <t xml:space="preserve">3. How many traders accept M-Pesa, and how does this vary by town, business type, sales and gender?</t>
  </si>
  <si>
    <t xml:space="preserve">4. What stops non-acceptors from adopting, and who wants training?</t>
  </si>
  <si>
    <t xml:space="preserve">HOW THE PROJECT IS BUILT</t>
  </si>
  <si>
    <t xml:space="preserve">kobo/Survey_Form_XLSForm.xlsx: the data collection form in XLSForm format (survey, choices and settings sheets) that can be uploaded to KoboToolbox or ODK.</t>
  </si>
  <si>
    <t xml:space="preserve">Responses: 314 submissions exactly as exported from the form, with deliberate quality problems (duplicates, missing values, impossible ages, rushed interviews, inconsistent answers).</t>
  </si>
  <si>
    <t xml:space="preserve">Quality_Checks: one formula row per submission that flags each problem and sets an Include flag (valid = 1).</t>
  </si>
  <si>
    <t xml:space="preserve">Assumptions: age limits, minimum interview length, enumerator alert level and the sample targets. Blue = input.</t>
  </si>
  <si>
    <t xml:space="preserve">Dashboard: fieldwork progress, adoption analysis, barriers and enumerator quality. All analysis uses valid responses only.</t>
  </si>
  <si>
    <t xml:space="preserve">KEY DEFINITIONS</t>
  </si>
  <si>
    <t xml:space="preserve">Valid = passes every quality check. Held for review = at least one flag; excluded from the analysis until resolved.</t>
  </si>
  <si>
    <t xml:space="preserve">Adoption = share of valid traders who accept M-Pesa. Avg M-Pesa share of sales is measured among acceptors only.</t>
  </si>
  <si>
    <t xml:space="preserve">Flag rate = held for review / interviews, per enumerator.</t>
  </si>
  <si>
    <t xml:space="preserve">IMPORTANT NOTES</t>
  </si>
  <si>
    <t xml:space="preserve">All data is synthetic and generated for demonstration; no real respondents, enumerators or organisations are involved.</t>
  </si>
  <si>
    <t xml:space="preserve">Percentages from a small sample per group carry wide uncertainty; the dashboard shows counts so readers can judge this.</t>
  </si>
  <si>
    <t xml:space="preserve">The sample is illustrative and not statistically representative of any real population.</t>
  </si>
  <si>
    <t xml:space="preserve">RECOMMENDATIONS (FRAMEWORK)</t>
  </si>
  <si>
    <t xml:space="preserve">Back-check a sample of interviews from enumerators with high flag rates or very short interviews before analysing their data.</t>
  </si>
  <si>
    <t xml:space="preserve">Add field-level validation in the form (the XLSForm already restricts age and M-Pesa share) to prevent errors at source.</t>
  </si>
  <si>
    <t xml:space="preserve">Prioritise training and fee transparency where those are the main barriers.</t>
  </si>
  <si>
    <t xml:space="preserve">Data Collection to Dashboard: Small Trader Digital Payments Survey</t>
  </si>
  <si>
    <t xml:space="preserve">Fictional field survey of small traders in four towns, collected on a mobile form  |  Synthetic data  |  Prepared by BZME Insights</t>
  </si>
  <si>
    <t xml:space="preserve">RESPONSES RECEIVED</t>
  </si>
  <si>
    <t xml:space="preserve">VALID AFTER QUALITY CHECKS</t>
  </si>
  <si>
    <t xml:space="preserve">SAMPLE TARGET COMPLETED</t>
  </si>
  <si>
    <t xml:space="preserve">ACCEPT M-PESA</t>
  </si>
  <si>
    <t xml:space="preserve">AVG M-PESA SHARE OF SALES (ACCEPTORS)</t>
  </si>
  <si>
    <t xml:space="preserve">INTERESTED IN TRAINING</t>
  </si>
  <si>
    <t xml:space="preserve">Key findings (update automatically)</t>
  </si>
  <si>
    <t xml:space="preserve">1. Fieldwork progress and M-Pesa adoption by town</t>
  </si>
  <si>
    <t xml:space="preserve">Town</t>
  </si>
  <si>
    <t xml:space="preserve">Target</t>
  </si>
  <si>
    <t xml:space="preserve">Received</t>
  </si>
  <si>
    <t xml:space="preserve">Valid</t>
  </si>
  <si>
    <t xml:space="preserve">Valid % of target</t>
  </si>
  <si>
    <t xml:space="preserve">Held for review</t>
  </si>
  <si>
    <t xml:space="preserve">Accept M-Pesa</t>
  </si>
  <si>
    <t xml:space="preserve">Nairobi</t>
  </si>
  <si>
    <t xml:space="preserve">Kisumu</t>
  </si>
  <si>
    <t xml:space="preserve">Mombasa</t>
  </si>
  <si>
    <t xml:space="preserve">Nakuru</t>
  </si>
  <si>
    <t xml:space="preserve">(town missing)</t>
  </si>
  <si>
    <t xml:space="preserve">All towns</t>
  </si>
  <si>
    <t xml:space="preserve">2. M-Pesa adoption by business type (valid responses)</t>
  </si>
  <si>
    <t xml:space="preserve">Business type</t>
  </si>
  <si>
    <t xml:space="preserve">Valid n</t>
  </si>
  <si>
    <t xml:space="preserve">Avg M-Pesa share of sales</t>
  </si>
  <si>
    <t xml:space="preserve">Pay suppliers digitally</t>
  </si>
  <si>
    <t xml:space="preserve">Interested in training</t>
  </si>
  <si>
    <t xml:space="preserve">Grocery kiosk</t>
  </si>
  <si>
    <t xml:space="preserve">Food vendor</t>
  </si>
  <si>
    <t xml:space="preserve">Clothing stall</t>
  </si>
  <si>
    <t xml:space="preserve">Salon or barber</t>
  </si>
  <si>
    <t xml:space="preserve">Hardware shop</t>
  </si>
  <si>
    <t xml:space="preserve">Boda boda or transport</t>
  </si>
  <si>
    <t xml:space="preserve">Other services</t>
  </si>
  <si>
    <t xml:space="preserve">All valid responses</t>
  </si>
  <si>
    <t xml:space="preserve">3. M-Pesa adoption by monthly sales band and gender</t>
  </si>
  <si>
    <t xml:space="preserve">Group</t>
  </si>
  <si>
    <t xml:space="preserve">Sales: KES Under 10,000</t>
  </si>
  <si>
    <t xml:space="preserve">Sales: KES 10,000 to 30,000</t>
  </si>
  <si>
    <t xml:space="preserve">Sales: KES 30,001 to 70,000</t>
  </si>
  <si>
    <t xml:space="preserve">Sales: KES Over 70,000</t>
  </si>
  <si>
    <t xml:space="preserve">Female</t>
  </si>
  <si>
    <t xml:space="preserve">Male</t>
  </si>
  <si>
    <t xml:space="preserve">4. Main barrier among traders who do not accept M-Pesa</t>
  </si>
  <si>
    <t xml:space="preserve">Barrier</t>
  </si>
  <si>
    <t xml:space="preserve">Traders</t>
  </si>
  <si>
    <t xml:space="preserve">% of non-acceptors</t>
  </si>
  <si>
    <t xml:space="preserve">Chart label</t>
  </si>
  <si>
    <t xml:space="preserve">Customers prefer cash</t>
  </si>
  <si>
    <t xml:space="preserve">Prefer cash</t>
  </si>
  <si>
    <t xml:space="preserve">Transaction fees</t>
  </si>
  <si>
    <t xml:space="preserve">Fees</t>
  </si>
  <si>
    <t xml:space="preserve">Network or float problems</t>
  </si>
  <si>
    <t xml:space="preserve">Network / float</t>
  </si>
  <si>
    <t xml:space="preserve">Do not know how, need training</t>
  </si>
  <si>
    <t xml:space="preserve">Need training</t>
  </si>
  <si>
    <t xml:space="preserve">Security or fraud worries</t>
  </si>
  <si>
    <t xml:space="preserve">Fraud worries</t>
  </si>
  <si>
    <t xml:space="preserve">All non-acceptors</t>
  </si>
  <si>
    <t xml:space="preserve">5. Data quality by enumerator</t>
  </si>
  <si>
    <t xml:space="preserve">Enumerator</t>
  </si>
  <si>
    <t xml:space="preserve">Interviews</t>
  </si>
  <si>
    <t xml:space="preserve">Flag rate</t>
  </si>
  <si>
    <t xml:space="preserve">Avg minutes</t>
  </si>
  <si>
    <t xml:space="preserve">Too-fast interviews</t>
  </si>
  <si>
    <t xml:space="preserve">E01</t>
  </si>
  <si>
    <t xml:space="preserve">E02</t>
  </si>
  <si>
    <t xml:space="preserve">E03</t>
  </si>
  <si>
    <t xml:space="preserve">E04</t>
  </si>
  <si>
    <t xml:space="preserve">E05</t>
  </si>
  <si>
    <t xml:space="preserve">E06</t>
  </si>
  <si>
    <t xml:space="preserve">E07</t>
  </si>
  <si>
    <t xml:space="preserve">6. Quality checks: rows flagged by type (a row can have more than one flag)</t>
  </si>
  <si>
    <t xml:space="preserve">Check</t>
  </si>
  <si>
    <t xml:space="preserve">Rows flagged</t>
  </si>
  <si>
    <t xml:space="preserve">Rule</t>
  </si>
  <si>
    <t xml:space="preserve">Duplicate submissions</t>
  </si>
  <si>
    <t xml:space="preserve">Same submission ID seen earlier</t>
  </si>
  <si>
    <t xml:space="preserve">Missing key field</t>
  </si>
  <si>
    <t xml:space="preserve">Town, business type, sales band, M-Pesa answer or age blank</t>
  </si>
  <si>
    <t xml:space="preserve">Age out of range</t>
  </si>
  <si>
    <t xml:space="preserve">Outside the minimum and maximum age on Assumptions</t>
  </si>
  <si>
    <t xml:space="preserve">Interview too fast</t>
  </si>
  <si>
    <t xml:space="preserve">Shorter than the minimum minutes on Assumptions</t>
  </si>
  <si>
    <t xml:space="preserve">Inconsistent answers</t>
  </si>
  <si>
    <t xml:space="preserve">Says no to M-Pesa but gives a share of sales, or the reverse</t>
  </si>
  <si>
    <t xml:space="preserve">Assumptions &amp; Parameters</t>
  </si>
  <si>
    <t xml:space="preserve">Blue cells are editable inputs. Everything else recalculates from them.</t>
  </si>
  <si>
    <t xml:space="preserve">Assumption</t>
  </si>
  <si>
    <t xml:space="preserve">Value</t>
  </si>
  <si>
    <t xml:space="preserve">Comment</t>
  </si>
  <si>
    <t xml:space="preserve">Minimum valid age</t>
  </si>
  <si>
    <t xml:space="preserve">Ages below this are flagged.</t>
  </si>
  <si>
    <t xml:space="preserve">Maximum valid age</t>
  </si>
  <si>
    <t xml:space="preserve">Ages above this are flagged.</t>
  </si>
  <si>
    <t xml:space="preserve">Minimum interview length (minutes)</t>
  </si>
  <si>
    <t xml:space="preserve">Interviews shorter than this are flagged as too fast.</t>
  </si>
  <si>
    <t xml:space="preserve">Enumerator flag-rate alert</t>
  </si>
  <si>
    <t xml:space="preserve">An enumerator above this share of flagged interviews is highlighted for follow-up.</t>
  </si>
  <si>
    <t xml:space="preserve">Target interviews: Nairobi</t>
  </si>
  <si>
    <t xml:space="preserve">Planned sample.</t>
  </si>
  <si>
    <t xml:space="preserve">Target interviews: Kisumu</t>
  </si>
  <si>
    <t xml:space="preserve">Target interviews: Mombasa</t>
  </si>
  <si>
    <t xml:space="preserve">Target interviews: Nakuru</t>
  </si>
  <si>
    <t xml:space="preserve">Total target interviews</t>
  </si>
  <si>
    <t xml:space="preserve">Calculated.</t>
  </si>
  <si>
    <t xml:space="preserve">Submission ID</t>
  </si>
  <si>
    <t xml:space="preserve">Duplicate</t>
  </si>
  <si>
    <t xml:space="preserve">Too fast</t>
  </si>
  <si>
    <t xml:space="preserve">Flags</t>
  </si>
  <si>
    <t xml:space="preserve">Status</t>
  </si>
  <si>
    <t xml:space="preserve">Include</t>
  </si>
  <si>
    <t xml:space="preserve">Date</t>
  </si>
  <si>
    <t xml:space="preserve">County</t>
  </si>
  <si>
    <t xml:space="preserve">Years operating</t>
  </si>
  <si>
    <t xml:space="preserve">Employees</t>
  </si>
  <si>
    <t xml:space="preserve">Gender</t>
  </si>
  <si>
    <t xml:space="preserve">Age</t>
  </si>
  <si>
    <t xml:space="preserve">Monthly sales band (KES)</t>
  </si>
  <si>
    <t xml:space="preserve">Accepts M-Pesa</t>
  </si>
  <si>
    <t xml:space="preserve">M-Pesa share of sales (%)</t>
  </si>
  <si>
    <t xml:space="preserve">Pays suppliers digitally</t>
  </si>
  <si>
    <t xml:space="preserve">Main barrier (non-acceptors)</t>
  </si>
  <si>
    <t xml:space="preserve">Satisfaction (1-5)</t>
  </si>
  <si>
    <t xml:space="preserve">Interview minutes</t>
  </si>
  <si>
    <t xml:space="preserve">S0008</t>
  </si>
  <si>
    <t xml:space="preserve">10,000 to 30,000</t>
  </si>
  <si>
    <t xml:space="preserve">Yes</t>
  </si>
  <si>
    <t xml:space="preserve">No</t>
  </si>
  <si>
    <t xml:space="preserve">S0027</t>
  </si>
  <si>
    <t xml:space="preserve">Under 10,000</t>
  </si>
  <si>
    <t xml:space="preserve">S0038</t>
  </si>
  <si>
    <t xml:space="preserve">S0062</t>
  </si>
  <si>
    <t xml:space="preserve">S0073</t>
  </si>
  <si>
    <t xml:space="preserve">S0074</t>
  </si>
  <si>
    <t xml:space="preserve">Over 70,000</t>
  </si>
  <si>
    <t xml:space="preserve">S0078</t>
  </si>
  <si>
    <t xml:space="preserve">S0124</t>
  </si>
  <si>
    <t xml:space="preserve">S0125</t>
  </si>
  <si>
    <t xml:space="preserve">S0127</t>
  </si>
  <si>
    <t xml:space="preserve">S0218</t>
  </si>
  <si>
    <t xml:space="preserve">S0254</t>
  </si>
  <si>
    <t xml:space="preserve">S0259</t>
  </si>
  <si>
    <t xml:space="preserve">S0268</t>
  </si>
  <si>
    <t xml:space="preserve">S0015</t>
  </si>
  <si>
    <t xml:space="preserve">S0031</t>
  </si>
  <si>
    <t xml:space="preserve">S0054</t>
  </si>
  <si>
    <t xml:space="preserve">30,001 to 70,000</t>
  </si>
  <si>
    <t xml:space="preserve">S0068</t>
  </si>
  <si>
    <t xml:space="preserve">S0085</t>
  </si>
  <si>
    <t xml:space="preserve">S0111</t>
  </si>
  <si>
    <t xml:space="preserve">S0123</t>
  </si>
  <si>
    <t xml:space="preserve">S0139</t>
  </si>
  <si>
    <t xml:space="preserve">S0156</t>
  </si>
  <si>
    <t xml:space="preserve">S0180</t>
  </si>
  <si>
    <t xml:space="preserve">S0191</t>
  </si>
  <si>
    <t xml:space="preserve">S0194</t>
  </si>
  <si>
    <t xml:space="preserve">S0240</t>
  </si>
  <si>
    <t xml:space="preserve">S0250</t>
  </si>
  <si>
    <t xml:space="preserve">S0271</t>
  </si>
  <si>
    <t xml:space="preserve">S0279</t>
  </si>
  <si>
    <t xml:space="preserve">S0307</t>
  </si>
  <si>
    <t xml:space="preserve">S0025</t>
  </si>
  <si>
    <t xml:space="preserve">S0029</t>
  </si>
  <si>
    <t xml:space="preserve">S0057</t>
  </si>
  <si>
    <t xml:space="preserve">S0060</t>
  </si>
  <si>
    <t xml:space="preserve">S0075</t>
  </si>
  <si>
    <t xml:space="preserve">S0090</t>
  </si>
  <si>
    <t xml:space="preserve">S0097</t>
  </si>
  <si>
    <t xml:space="preserve">S0117</t>
  </si>
  <si>
    <t xml:space="preserve">S0132</t>
  </si>
  <si>
    <t xml:space="preserve">S0157</t>
  </si>
  <si>
    <t xml:space="preserve">S0168</t>
  </si>
  <si>
    <t xml:space="preserve">S0231</t>
  </si>
  <si>
    <t xml:space="preserve">S0232</t>
  </si>
  <si>
    <t xml:space="preserve">S0244</t>
  </si>
  <si>
    <t xml:space="preserve">S0249</t>
  </si>
  <si>
    <t xml:space="preserve">S0280</t>
  </si>
  <si>
    <t xml:space="preserve">S0290</t>
  </si>
  <si>
    <t xml:space="preserve">S0019</t>
  </si>
  <si>
    <t xml:space="preserve">S0024</t>
  </si>
  <si>
    <t xml:space="preserve">S0070</t>
  </si>
  <si>
    <t xml:space="preserve">S0092</t>
  </si>
  <si>
    <t xml:space="preserve">S0107</t>
  </si>
  <si>
    <t xml:space="preserve">S0110</t>
  </si>
  <si>
    <t xml:space="preserve">S0113</t>
  </si>
  <si>
    <t xml:space="preserve">S0178</t>
  </si>
  <si>
    <t xml:space="preserve">S0196</t>
  </si>
  <si>
    <t xml:space="preserve">S0198</t>
  </si>
  <si>
    <t xml:space="preserve">S0199</t>
  </si>
  <si>
    <t xml:space="preserve">S0203</t>
  </si>
  <si>
    <t xml:space="preserve">S0251</t>
  </si>
  <si>
    <t xml:space="preserve">S0299</t>
  </si>
  <si>
    <t xml:space="preserve">S0001</t>
  </si>
  <si>
    <t xml:space="preserve">S0126</t>
  </si>
  <si>
    <t xml:space="preserve">S0129</t>
  </si>
  <si>
    <t xml:space="preserve">S0134</t>
  </si>
  <si>
    <t xml:space="preserve">S0136</t>
  </si>
  <si>
    <t xml:space="preserve">S0152</t>
  </si>
  <si>
    <t xml:space="preserve">S0179</t>
  </si>
  <si>
    <t xml:space="preserve">S0189</t>
  </si>
  <si>
    <t xml:space="preserve">S0207</t>
  </si>
  <si>
    <t xml:space="preserve">S0222</t>
  </si>
  <si>
    <t xml:space="preserve">S0226</t>
  </si>
  <si>
    <t xml:space="preserve">S0277</t>
  </si>
  <si>
    <t xml:space="preserve">S0298</t>
  </si>
  <si>
    <t xml:space="preserve">S0301</t>
  </si>
  <si>
    <t xml:space="preserve">S0022</t>
  </si>
  <si>
    <t xml:space="preserve">S0049</t>
  </si>
  <si>
    <t xml:space="preserve">S0065</t>
  </si>
  <si>
    <t xml:space="preserve">S0109</t>
  </si>
  <si>
    <t xml:space="preserve">S0140</t>
  </si>
  <si>
    <t xml:space="preserve">S0144</t>
  </si>
  <si>
    <t xml:space="preserve">S0163</t>
  </si>
  <si>
    <t xml:space="preserve">S0182</t>
  </si>
  <si>
    <t xml:space="preserve">S0185</t>
  </si>
  <si>
    <t xml:space="preserve">S0225</t>
  </si>
  <si>
    <t xml:space="preserve">S0237</t>
  </si>
  <si>
    <t xml:space="preserve">S0272</t>
  </si>
  <si>
    <t xml:space="preserve">S0273</t>
  </si>
  <si>
    <t xml:space="preserve">S0278</t>
  </si>
  <si>
    <t xml:space="preserve">S0300</t>
  </si>
  <si>
    <t xml:space="preserve">S0011</t>
  </si>
  <si>
    <t xml:space="preserve">S0083</t>
  </si>
  <si>
    <t xml:space="preserve">S0128</t>
  </si>
  <si>
    <t xml:space="preserve">S0133</t>
  </si>
  <si>
    <t xml:space="preserve">S0138</t>
  </si>
  <si>
    <t xml:space="preserve">S0142</t>
  </si>
  <si>
    <t xml:space="preserve">S0175</t>
  </si>
  <si>
    <t xml:space="preserve">S0183</t>
  </si>
  <si>
    <t xml:space="preserve">S0267</t>
  </si>
  <si>
    <t xml:space="preserve">S0009</t>
  </si>
  <si>
    <t xml:space="preserve">S0010</t>
  </si>
  <si>
    <t xml:space="preserve">S0028</t>
  </si>
  <si>
    <t xml:space="preserve">S0048</t>
  </si>
  <si>
    <t xml:space="preserve">S0059</t>
  </si>
  <si>
    <t xml:space="preserve">S0066</t>
  </si>
  <si>
    <t xml:space="preserve">S0069</t>
  </si>
  <si>
    <t xml:space="preserve">S0091</t>
  </si>
  <si>
    <t xml:space="preserve">S0098</t>
  </si>
  <si>
    <t xml:space="preserve">S0103</t>
  </si>
  <si>
    <t xml:space="preserve">S0137</t>
  </si>
  <si>
    <t xml:space="preserve">S0164</t>
  </si>
  <si>
    <t xml:space="preserve">S0165</t>
  </si>
  <si>
    <t xml:space="preserve">S0202</t>
  </si>
  <si>
    <t xml:space="preserve">S0219</t>
  </si>
  <si>
    <t xml:space="preserve">S0224</t>
  </si>
  <si>
    <t xml:space="preserve">S0282</t>
  </si>
  <si>
    <t xml:space="preserve">S0289</t>
  </si>
  <si>
    <t xml:space="preserve">S0005</t>
  </si>
  <si>
    <t xml:space="preserve">S0040</t>
  </si>
  <si>
    <t xml:space="preserve">S0063</t>
  </si>
  <si>
    <t xml:space="preserve">S0093</t>
  </si>
  <si>
    <t xml:space="preserve">S0104</t>
  </si>
  <si>
    <t xml:space="preserve">S0116</t>
  </si>
  <si>
    <t xml:space="preserve">S0153</t>
  </si>
  <si>
    <t xml:space="preserve">S0167</t>
  </si>
  <si>
    <t xml:space="preserve">S0170</t>
  </si>
  <si>
    <t xml:space="preserve">S0212</t>
  </si>
  <si>
    <t xml:space="preserve">S0228</t>
  </si>
  <si>
    <t xml:space="preserve">S0238</t>
  </si>
  <si>
    <t xml:space="preserve">S0245</t>
  </si>
  <si>
    <t xml:space="preserve">S0261</t>
  </si>
  <si>
    <t xml:space="preserve">S0291</t>
  </si>
  <si>
    <t xml:space="preserve">S0296</t>
  </si>
  <si>
    <t xml:space="preserve">S0297</t>
  </si>
  <si>
    <t xml:space="preserve">S0305</t>
  </si>
  <si>
    <t xml:space="preserve">S0002</t>
  </si>
  <si>
    <t xml:space="preserve">S0007</t>
  </si>
  <si>
    <t xml:space="preserve">S0014</t>
  </si>
  <si>
    <t xml:space="preserve">S0039</t>
  </si>
  <si>
    <t xml:space="preserve">S0115</t>
  </si>
  <si>
    <t xml:space="preserve">S0146</t>
  </si>
  <si>
    <t xml:space="preserve">S0162</t>
  </si>
  <si>
    <t xml:space="preserve">S0169</t>
  </si>
  <si>
    <t xml:space="preserve">S0171</t>
  </si>
  <si>
    <t xml:space="preserve">S0181</t>
  </si>
  <si>
    <t xml:space="preserve">S0188</t>
  </si>
  <si>
    <t xml:space="preserve">S0195</t>
  </si>
  <si>
    <t xml:space="preserve">S0213</t>
  </si>
  <si>
    <t xml:space="preserve">S0242</t>
  </si>
  <si>
    <t xml:space="preserve">S0252</t>
  </si>
  <si>
    <t xml:space="preserve">S0255</t>
  </si>
  <si>
    <t xml:space="preserve">S0262</t>
  </si>
  <si>
    <t xml:space="preserve">S0003</t>
  </si>
  <si>
    <t xml:space="preserve">S0042</t>
  </si>
  <si>
    <t xml:space="preserve">S0047</t>
  </si>
  <si>
    <t xml:space="preserve">S0077</t>
  </si>
  <si>
    <t xml:space="preserve">S0102</t>
  </si>
  <si>
    <t xml:space="preserve">S0149</t>
  </si>
  <si>
    <t xml:space="preserve">S0176</t>
  </si>
  <si>
    <t xml:space="preserve">S0205</t>
  </si>
  <si>
    <t xml:space="preserve">S0246</t>
  </si>
  <si>
    <t xml:space="preserve">S0253</t>
  </si>
  <si>
    <t xml:space="preserve">S0260</t>
  </si>
  <si>
    <t xml:space="preserve">S0269</t>
  </si>
  <si>
    <t xml:space="preserve">S0283</t>
  </si>
  <si>
    <t xml:space="preserve">S0006</t>
  </si>
  <si>
    <t xml:space="preserve">S0020</t>
  </si>
  <si>
    <t xml:space="preserve">S0041</t>
  </si>
  <si>
    <t xml:space="preserve">S0147</t>
  </si>
  <si>
    <t xml:space="preserve">S0177</t>
  </si>
  <si>
    <t xml:space="preserve">S0197</t>
  </si>
  <si>
    <t xml:space="preserve">S0201</t>
  </si>
  <si>
    <t xml:space="preserve">S0229</t>
  </si>
  <si>
    <t xml:space="preserve">S0248</t>
  </si>
  <si>
    <t xml:space="preserve">S0286</t>
  </si>
  <si>
    <t xml:space="preserve">S0293</t>
  </si>
  <si>
    <t xml:space="preserve">S0004</t>
  </si>
  <si>
    <t xml:space="preserve">S0033</t>
  </si>
  <si>
    <t xml:space="preserve">S0051</t>
  </si>
  <si>
    <t xml:space="preserve">S0089</t>
  </si>
  <si>
    <t xml:space="preserve">S0106</t>
  </si>
  <si>
    <t xml:space="preserve">S0122</t>
  </si>
  <si>
    <t xml:space="preserve">S0143</t>
  </si>
  <si>
    <t xml:space="preserve">S0145</t>
  </si>
  <si>
    <t xml:space="preserve">S0184</t>
  </si>
  <si>
    <t xml:space="preserve">S0187</t>
  </si>
  <si>
    <t xml:space="preserve">S0227</t>
  </si>
  <si>
    <t xml:space="preserve">S0012</t>
  </si>
  <si>
    <t xml:space="preserve">S0050</t>
  </si>
  <si>
    <t xml:space="preserve">S0087</t>
  </si>
  <si>
    <t xml:space="preserve">S0096</t>
  </si>
  <si>
    <t xml:space="preserve">S0101</t>
  </si>
  <si>
    <t xml:space="preserve">S0131</t>
  </si>
  <si>
    <t xml:space="preserve">S0135</t>
  </si>
  <si>
    <t xml:space="preserve">S0141</t>
  </si>
  <si>
    <t xml:space="preserve">S0148</t>
  </si>
  <si>
    <t xml:space="preserve">S0150</t>
  </si>
  <si>
    <t xml:space="preserve">S0155</t>
  </si>
  <si>
    <t xml:space="preserve">S0216</t>
  </si>
  <si>
    <t xml:space="preserve">S0217</t>
  </si>
  <si>
    <t xml:space="preserve">S0223</t>
  </si>
  <si>
    <t xml:space="preserve">S0234</t>
  </si>
  <si>
    <t xml:space="preserve">S0239</t>
  </si>
  <si>
    <t xml:space="preserve">S0241</t>
  </si>
  <si>
    <t xml:space="preserve">S0266</t>
  </si>
  <si>
    <t xml:space="preserve">S0270</t>
  </si>
  <si>
    <t xml:space="preserve">S0035</t>
  </si>
  <si>
    <t xml:space="preserve">S0046</t>
  </si>
  <si>
    <t xml:space="preserve">S0058</t>
  </si>
  <si>
    <t xml:space="preserve">S0072</t>
  </si>
  <si>
    <t xml:space="preserve">S0099</t>
  </si>
  <si>
    <t xml:space="preserve">S0265</t>
  </si>
  <si>
    <t xml:space="preserve">S0306</t>
  </si>
  <si>
    <t xml:space="preserve">S0017</t>
  </si>
  <si>
    <t xml:space="preserve">S0021</t>
  </si>
  <si>
    <t xml:space="preserve">S0044</t>
  </si>
  <si>
    <t xml:space="preserve">S0061</t>
  </si>
  <si>
    <t xml:space="preserve">S0080</t>
  </si>
  <si>
    <t xml:space="preserve">S0105</t>
  </si>
  <si>
    <t xml:space="preserve">S0108</t>
  </si>
  <si>
    <t xml:space="preserve">S0186</t>
  </si>
  <si>
    <t xml:space="preserve">S0193</t>
  </si>
  <si>
    <t xml:space="preserve">S0204</t>
  </si>
  <si>
    <t xml:space="preserve">S0210</t>
  </si>
  <si>
    <t xml:space="preserve">S0214</t>
  </si>
  <si>
    <t xml:space="preserve">S0215</t>
  </si>
  <si>
    <t xml:space="preserve">S0235</t>
  </si>
  <si>
    <t xml:space="preserve">S0274</t>
  </si>
  <si>
    <t xml:space="preserve">S0281</t>
  </si>
  <si>
    <t xml:space="preserve">S0295</t>
  </si>
  <si>
    <t xml:space="preserve">S0304</t>
  </si>
  <si>
    <t xml:space="preserve">S0308</t>
  </si>
  <si>
    <t xml:space="preserve">S0023</t>
  </si>
  <si>
    <t xml:space="preserve">S0030</t>
  </si>
  <si>
    <t xml:space="preserve">S0043</t>
  </si>
  <si>
    <t xml:space="preserve">S0084</t>
  </si>
  <si>
    <t xml:space="preserve">S0094</t>
  </si>
  <si>
    <t xml:space="preserve">S0112</t>
  </si>
  <si>
    <t xml:space="preserve">S0114</t>
  </si>
  <si>
    <t xml:space="preserve">S0121</t>
  </si>
  <si>
    <t xml:space="preserve">S0130</t>
  </si>
  <si>
    <t xml:space="preserve">S0209</t>
  </si>
  <si>
    <t xml:space="preserve">S0211</t>
  </si>
  <si>
    <t xml:space="preserve">S0230</t>
  </si>
  <si>
    <t xml:space="preserve">S0236</t>
  </si>
  <si>
    <t xml:space="preserve">S0247</t>
  </si>
  <si>
    <t xml:space="preserve">S0276</t>
  </si>
  <si>
    <t xml:space="preserve">S0285</t>
  </si>
  <si>
    <t xml:space="preserve">S0287</t>
  </si>
  <si>
    <t xml:space="preserve">S0303</t>
  </si>
  <si>
    <t xml:space="preserve">S0026</t>
  </si>
  <si>
    <t xml:space="preserve">S0052</t>
  </si>
  <si>
    <t xml:space="preserve">S0071</t>
  </si>
  <si>
    <t xml:space="preserve">S0081</t>
  </si>
  <si>
    <t xml:space="preserve">S0095</t>
  </si>
  <si>
    <t xml:space="preserve">S0151</t>
  </si>
  <si>
    <t xml:space="preserve">S0160</t>
  </si>
  <si>
    <t xml:space="preserve">S0161</t>
  </si>
  <si>
    <t xml:space="preserve">S0174</t>
  </si>
  <si>
    <t xml:space="preserve">S0190</t>
  </si>
  <si>
    <t xml:space="preserve">S0192</t>
  </si>
  <si>
    <t xml:space="preserve">S0200</t>
  </si>
  <si>
    <t xml:space="preserve">S0208</t>
  </si>
  <si>
    <t xml:space="preserve">S0243</t>
  </si>
  <si>
    <t xml:space="preserve">S0013</t>
  </si>
  <si>
    <t xml:space="preserve">S0016</t>
  </si>
  <si>
    <t xml:space="preserve">S0018</t>
  </si>
  <si>
    <t xml:space="preserve">S0034</t>
  </si>
  <si>
    <t xml:space="preserve">S0037</t>
  </si>
  <si>
    <t xml:space="preserve">S0053</t>
  </si>
  <si>
    <t xml:space="preserve">S0055</t>
  </si>
  <si>
    <t xml:space="preserve">S0064</t>
  </si>
  <si>
    <t xml:space="preserve">S0082</t>
  </si>
  <si>
    <t xml:space="preserve">S0088</t>
  </si>
  <si>
    <t xml:space="preserve">S0118</t>
  </si>
  <si>
    <t xml:space="preserve">S0120</t>
  </si>
  <si>
    <t xml:space="preserve">S0158</t>
  </si>
  <si>
    <t xml:space="preserve">S0159</t>
  </si>
  <si>
    <t xml:space="preserve">S0206</t>
  </si>
  <si>
    <t xml:space="preserve">S0233</t>
  </si>
  <si>
    <t xml:space="preserve">S0256</t>
  </si>
  <si>
    <t xml:space="preserve">S0284</t>
  </si>
  <si>
    <t xml:space="preserve">S0302</t>
  </si>
  <si>
    <t xml:space="preserve">S0036</t>
  </si>
  <si>
    <t xml:space="preserve">S0045</t>
  </si>
  <si>
    <t xml:space="preserve">S0079</t>
  </si>
  <si>
    <t xml:space="preserve">S0086</t>
  </si>
  <si>
    <t xml:space="preserve">S0100</t>
  </si>
  <si>
    <t xml:space="preserve">S0154</t>
  </si>
  <si>
    <t xml:space="preserve">S0166</t>
  </si>
  <si>
    <t xml:space="preserve">S0172</t>
  </si>
  <si>
    <t xml:space="preserve">S0220</t>
  </si>
  <si>
    <t xml:space="preserve">S0221</t>
  </si>
  <si>
    <t xml:space="preserve">S0257</t>
  </si>
  <si>
    <t xml:space="preserve">S0264</t>
  </si>
  <si>
    <t xml:space="preserve">S0275</t>
  </si>
  <si>
    <t xml:space="preserve">S0294</t>
  </si>
  <si>
    <t xml:space="preserve">S0032</t>
  </si>
  <si>
    <t xml:space="preserve">S0056</t>
  </si>
  <si>
    <t xml:space="preserve">S0067</t>
  </si>
  <si>
    <t xml:space="preserve">S0076</t>
  </si>
  <si>
    <t xml:space="preserve">S0119</t>
  </si>
  <si>
    <t xml:space="preserve">S0173</t>
  </si>
  <si>
    <t xml:space="preserve">S0258</t>
  </si>
  <si>
    <t xml:space="preserve">S0263</t>
  </si>
  <si>
    <t xml:space="preserve">S0288</t>
  </si>
  <si>
    <t xml:space="preserve">S0292</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</si>
</sst>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0"/>
    <numFmt numFmtId="169" formatCode="dd\ mmm\ yyyy"/>
  </numFmts>
  <fonts count="20">
    <font>
      <sz val="11"/>
      <color theme="1"/>
      <name val="Calibri"/>
      <family val="2"/>
      <charset val="1"/>
    </font>
    <font>
      <sz val="10"/>
      <name val="Arial"/>
      <family val="0"/>
    </font>
    <font>
      <sz val="10"/>
      <name val="Arial"/>
      <family val="0"/>
    </font>
    <font>
      <sz val="10"/>
      <name val="Arial"/>
      <family val="0"/>
    </font>
    <font>
      <b val="true"/>
      <sz val="16"/>
      <color rgb="FF5C1A1B"/>
      <name val="Arial"/>
      <family val="0"/>
      <charset val="1"/>
    </font>
    <font>
      <i val="true"/>
      <sz val="10"/>
      <color rgb="FF6B5D54"/>
      <name val="Arial"/>
      <family val="0"/>
      <charset val="1"/>
    </font>
    <font>
      <b val="true"/>
      <sz val="10"/>
      <color rgb="FFFFFFFF"/>
      <name val="Arial"/>
      <family val="0"/>
      <charset val="1"/>
    </font>
    <font>
      <sz val="10"/>
      <color rgb="FF000000"/>
      <name val="Arial"/>
      <family val="0"/>
      <charset val="1"/>
    </font>
    <font>
      <b val="true"/>
      <sz val="18"/>
      <color rgb="FFFFFFFF"/>
      <name val="Arial"/>
      <family val="0"/>
      <charset val="1"/>
    </font>
    <font>
      <i val="true"/>
      <sz val="9"/>
      <color rgb="FF6B5D54"/>
      <name val="Arial"/>
      <family val="0"/>
      <charset val="1"/>
    </font>
    <font>
      <b val="true"/>
      <sz val="8"/>
      <color rgb="FFFFFFFF"/>
      <name val="Arial"/>
      <family val="0"/>
      <charset val="1"/>
    </font>
    <font>
      <b val="true"/>
      <sz val="11"/>
      <color rgb="FFFFFFFF"/>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
      <i val="true"/>
      <sz val="9"/>
      <color rgb="FF000000"/>
      <name val="Arial"/>
      <family val="0"/>
      <charset val="1"/>
    </font>
    <font>
      <b val="true"/>
      <sz val="18"/>
      <color rgb="FF000000"/>
      <name val="Calibri"/>
      <family val="2"/>
    </font>
    <font>
      <sz val="10"/>
      <color rgb="FF000000"/>
      <name val="Calibri"/>
      <family val="2"/>
    </font>
    <font>
      <sz val="7.5"/>
      <color rgb="FF000000"/>
      <name val="Calibri"/>
      <family val="2"/>
    </font>
    <font>
      <sz val="9"/>
      <color rgb="FF0000FF"/>
      <name val="Arial"/>
      <family val="0"/>
      <charset val="1"/>
    </font>
  </fonts>
  <fills count="6">
    <fill>
      <patternFill patternType="none"/>
    </fill>
    <fill>
      <patternFill patternType="gray125"/>
    </fill>
    <fill>
      <patternFill patternType="solid">
        <fgColor rgb="FF5C1A1B"/>
        <bgColor rgb="FF800000"/>
      </patternFill>
    </fill>
    <fill>
      <patternFill patternType="solid">
        <fgColor rgb="FFC9A66B"/>
        <bgColor rgb="FFF4B6B6"/>
      </patternFill>
    </fill>
    <fill>
      <patternFill patternType="solid">
        <fgColor rgb="FFF6EFE2"/>
        <bgColor rgb="FFFFF2CC"/>
      </patternFill>
    </fill>
    <fill>
      <patternFill patternType="solid">
        <fgColor rgb="FFFFF2CC"/>
        <bgColor rgb="FFF6EFE2"/>
      </patternFill>
    </fill>
  </fills>
  <borders count="3">
    <border diagonalUp="false" diagonalDown="false">
      <left/>
      <right/>
      <top/>
      <bottom/>
      <diagonal/>
    </border>
    <border diagonalUp="false" diagonalDown="false">
      <left style="thin">
        <color rgb="FFD9CFC0"/>
      </left>
      <right style="thin">
        <color rgb="FFD9CFC0"/>
      </right>
      <top style="thin">
        <color rgb="FFD9CFC0"/>
      </top>
      <bottom style="thin">
        <color rgb="FFD9CFC0"/>
      </bottom>
      <diagonal/>
    </border>
    <border diagonalUp="false" diagonalDown="false">
      <left style="thin">
        <color rgb="FFD9CFC0"/>
      </left>
      <right/>
      <top style="thin">
        <color rgb="FFD9CFC0"/>
      </top>
      <bottom style="thin">
        <color rgb="FFD9CF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5" fontId="4" fillId="4" borderId="0" xfId="0" applyFont="true" applyBorder="true" applyAlignment="true" applyProtection="false">
      <alignment horizontal="center" vertical="center" textRotation="0" wrapText="false" indent="0" shrinkToFit="false"/>
      <protection locked="true" hidden="false"/>
    </xf>
    <xf numFmtId="166" fontId="4" fillId="4" borderId="0"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5" fontId="14" fillId="0" borderId="1" xfId="0" applyFont="true" applyBorder="true" applyAlignment="true" applyProtection="false">
      <alignment horizontal="right" vertical="center" textRotation="0" wrapText="false" indent="0" shrinkToFit="false"/>
      <protection locked="true" hidden="false"/>
    </xf>
    <xf numFmtId="166" fontId="14" fillId="0" borderId="1" xfId="0" applyFont="true" applyBorder="true" applyAlignment="true" applyProtection="false">
      <alignment horizontal="right"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4" fontId="13" fillId="4" borderId="1" xfId="0" applyFont="true" applyBorder="true" applyAlignment="true" applyProtection="false">
      <alignment horizontal="left" vertical="center" textRotation="0" wrapText="false" indent="0" shrinkToFit="false"/>
      <protection locked="true" hidden="false"/>
    </xf>
    <xf numFmtId="165" fontId="13" fillId="4" borderId="1" xfId="0" applyFont="true" applyBorder="true" applyAlignment="true" applyProtection="false">
      <alignment horizontal="right" vertical="center" textRotation="0" wrapText="false" indent="0" shrinkToFit="false"/>
      <protection locked="true" hidden="false"/>
    </xf>
    <xf numFmtId="166" fontId="13" fillId="4"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7" fontId="14" fillId="0" borderId="1"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8" fontId="19" fillId="5"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6" fontId="19" fillId="5" borderId="1" xfId="0" applyFont="true" applyBorder="true" applyAlignment="true" applyProtection="false">
      <alignment horizontal="right" vertical="center" textRotation="0" wrapText="false" indent="0" shrinkToFit="false"/>
      <protection locked="true" hidden="false"/>
    </xf>
    <xf numFmtId="165" fontId="19" fillId="5" borderId="1" xfId="0" applyFont="true" applyBorder="true" applyAlignment="true" applyProtection="false">
      <alignment horizontal="right" vertical="center"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4B6B6"/>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5C1A1B"/>
      <rgbColor rgb="FF008000"/>
      <rgbColor rgb="FF000080"/>
      <rgbColor rgb="FF808000"/>
      <rgbColor rgb="FF800080"/>
      <rgbColor rgb="FF008080"/>
      <rgbColor rgb="FFD9CFC0"/>
      <rgbColor rgb="FF878787"/>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F6EFE2"/>
      <rgbColor rgb="FFFFE699"/>
      <rgbColor rgb="FF99CCFF"/>
      <rgbColor rgb="FFFF99CC"/>
      <rgbColor rgb="FFCC99FF"/>
      <rgbColor rgb="FFF4B6B6"/>
      <rgbColor rgb="FF3366FF"/>
      <rgbColor rgb="FF33CCCC"/>
      <rgbColor rgb="FF99CC00"/>
      <rgbColor rgb="FFFFCC00"/>
      <rgbColor rgb="FFFF9900"/>
      <rgbColor rgb="FFFF6600"/>
      <rgbColor rgb="FF6B5D54"/>
      <rgbColor rgb="FFC9A66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Adoption by town</a:t>
            </a:r>
          </a:p>
        </c:rich>
      </c:tx>
      <c:overlay val="0"/>
      <c:spPr>
        <a:noFill/>
        <a:ln w="0">
          <a:noFill/>
        </a:ln>
      </c:spPr>
    </c:title>
    <c:autoTitleDeleted val="0"/>
    <c:plotArea>
      <c:barChart>
        <c:barDir val="col"/>
        <c:grouping val="clustered"/>
        <c:varyColors val="0"/>
        <c:ser>
          <c:idx val="0"/>
          <c:order val="0"/>
          <c:tx>
            <c:strRef>
              <c:f>Dashboard!G17</c:f>
              <c:strCache>
                <c:ptCount val="1"/>
                <c:pt idx="0">
                  <c:v>Accept M-Pesa</c:v>
                </c:pt>
              </c:strCache>
            </c:strRef>
          </c:tx>
          <c:spPr>
            <a:solidFill>
              <a:srgbClr val="5c1a1b"/>
            </a:solidFill>
            <a:ln w="9360">
              <a:solidFill>
                <a:srgbClr val="5c1a1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Dashboard!$A$18:$A$21</c:f>
              <c:strCache>
                <c:ptCount val="4"/>
                <c:pt idx="0">
                  <c:v>Nairobi</c:v>
                </c:pt>
                <c:pt idx="1">
                  <c:v>Kisumu</c:v>
                </c:pt>
                <c:pt idx="2">
                  <c:v>Mombasa</c:v>
                </c:pt>
                <c:pt idx="3">
                  <c:v>Nakuru</c:v>
                </c:pt>
              </c:strCache>
            </c:strRef>
          </c:cat>
          <c:val>
            <c:numRef>
              <c:f>Dashboard!$G$18:$G$21</c:f>
              <c:numCache>
                <c:formatCode>0%</c:formatCode>
                <c:ptCount val="4"/>
                <c:pt idx="0">
                  <c:v>0.908045977011494</c:v>
                </c:pt>
                <c:pt idx="1">
                  <c:v>0.65</c:v>
                </c:pt>
                <c:pt idx="2">
                  <c:v>0.824561403508772</c:v>
                </c:pt>
                <c:pt idx="3">
                  <c:v>0.784810126582278</c:v>
                </c:pt>
              </c:numCache>
            </c:numRef>
          </c:val>
        </c:ser>
        <c:gapWidth val="150"/>
        <c:overlap val="0"/>
        <c:axId val="53500769"/>
        <c:axId val="44917726"/>
      </c:barChart>
      <c:catAx>
        <c:axId val="535007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917726"/>
        <c:crosses val="autoZero"/>
        <c:auto val="1"/>
        <c:lblAlgn val="ctr"/>
        <c:lblOffset val="100"/>
        <c:noMultiLvlLbl val="0"/>
      </c:catAx>
      <c:valAx>
        <c:axId val="4491772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50076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M-Pesa adoption by business type</a:t>
            </a:r>
          </a:p>
        </c:rich>
      </c:tx>
      <c:overlay val="0"/>
      <c:spPr>
        <a:noFill/>
        <a:ln w="0">
          <a:noFill/>
        </a:ln>
      </c:spPr>
    </c:title>
    <c:autoTitleDeleted val="0"/>
    <c:plotArea>
      <c:barChart>
        <c:barDir val="bar"/>
        <c:grouping val="clustered"/>
        <c:varyColors val="0"/>
        <c:ser>
          <c:idx val="0"/>
          <c:order val="0"/>
          <c:tx>
            <c:strRef>
              <c:f>Dashboard!C25</c:f>
              <c:strCache>
                <c:ptCount val="1"/>
                <c:pt idx="0">
                  <c:v>Accept M-Pesa</c:v>
                </c:pt>
              </c:strCache>
            </c:strRef>
          </c:tx>
          <c:spPr>
            <a:solidFill>
              <a:srgbClr val="5c1a1b"/>
            </a:solidFill>
            <a:ln w="9360">
              <a:solidFill>
                <a:srgbClr val="5c1a1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Dashboard!$A$26:$A$32</c:f>
              <c:strCache>
                <c:ptCount val="7"/>
                <c:pt idx="0">
                  <c:v>Grocery kiosk</c:v>
                </c:pt>
                <c:pt idx="1">
                  <c:v>Food vendor</c:v>
                </c:pt>
                <c:pt idx="2">
                  <c:v>Clothing stall</c:v>
                </c:pt>
                <c:pt idx="3">
                  <c:v>Salon or barber</c:v>
                </c:pt>
                <c:pt idx="4">
                  <c:v>Hardware shop</c:v>
                </c:pt>
                <c:pt idx="5">
                  <c:v>Boda boda or transport</c:v>
                </c:pt>
                <c:pt idx="6">
                  <c:v>Other services</c:v>
                </c:pt>
              </c:strCache>
            </c:strRef>
          </c:cat>
          <c:val>
            <c:numRef>
              <c:f>Dashboard!$C$26:$C$32</c:f>
              <c:numCache>
                <c:formatCode>0%</c:formatCode>
                <c:ptCount val="7"/>
                <c:pt idx="0">
                  <c:v>0.897435897435898</c:v>
                </c:pt>
                <c:pt idx="1">
                  <c:v>0.833333333333333</c:v>
                </c:pt>
                <c:pt idx="2">
                  <c:v>0.631578947368421</c:v>
                </c:pt>
                <c:pt idx="3">
                  <c:v>0.777777777777778</c:v>
                </c:pt>
                <c:pt idx="4">
                  <c:v>0.851851851851852</c:v>
                </c:pt>
                <c:pt idx="5">
                  <c:v>0.741935483870968</c:v>
                </c:pt>
                <c:pt idx="6">
                  <c:v>0.727272727272727</c:v>
                </c:pt>
              </c:numCache>
            </c:numRef>
          </c:val>
        </c:ser>
        <c:gapWidth val="150"/>
        <c:overlap val="0"/>
        <c:axId val="16532411"/>
        <c:axId val="44230465"/>
      </c:barChart>
      <c:catAx>
        <c:axId val="165324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750" spc="-1" strike="noStrike">
                <a:solidFill>
                  <a:srgbClr val="000000"/>
                </a:solidFill>
                <a:latin typeface="Calibri"/>
              </a:defRPr>
            </a:pPr>
          </a:p>
        </c:txPr>
        <c:crossAx val="44230465"/>
        <c:crosses val="autoZero"/>
        <c:auto val="1"/>
        <c:lblAlgn val="ctr"/>
        <c:lblOffset val="100"/>
        <c:noMultiLvlLbl val="0"/>
      </c:catAx>
      <c:valAx>
        <c:axId val="4423046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5324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Barriers among non-acceptors</a:t>
            </a:r>
          </a:p>
        </c:rich>
      </c:tx>
      <c:overlay val="0"/>
      <c:spPr>
        <a:noFill/>
        <a:ln w="0">
          <a:noFill/>
        </a:ln>
      </c:spPr>
    </c:title>
    <c:autoTitleDeleted val="0"/>
    <c:plotArea>
      <c:barChart>
        <c:barDir val="bar"/>
        <c:grouping val="clustered"/>
        <c:varyColors val="0"/>
        <c:ser>
          <c:idx val="0"/>
          <c:order val="0"/>
          <c:tx>
            <c:strRef>
              <c:f>Dashboard!C45</c:f>
              <c:strCache>
                <c:ptCount val="1"/>
                <c:pt idx="0">
                  <c:v>% of non-acceptors</c:v>
                </c:pt>
              </c:strCache>
            </c:strRef>
          </c:tx>
          <c:spPr>
            <a:solidFill>
              <a:srgbClr val="5c1a1b"/>
            </a:solidFill>
            <a:ln w="9360">
              <a:solidFill>
                <a:srgbClr val="5c1a1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Dashboard!$D$46:$D$50</c:f>
              <c:strCache>
                <c:ptCount val="5"/>
                <c:pt idx="0">
                  <c:v>Prefer cash</c:v>
                </c:pt>
                <c:pt idx="1">
                  <c:v>Fees</c:v>
                </c:pt>
                <c:pt idx="2">
                  <c:v>Network / float</c:v>
                </c:pt>
                <c:pt idx="3">
                  <c:v>Need training</c:v>
                </c:pt>
                <c:pt idx="4">
                  <c:v>Fraud worries</c:v>
                </c:pt>
              </c:strCache>
            </c:strRef>
          </c:cat>
          <c:val>
            <c:numRef>
              <c:f>Dashboard!$C$46:$C$50</c:f>
              <c:numCache>
                <c:formatCode>0%</c:formatCode>
                <c:ptCount val="5"/>
                <c:pt idx="0">
                  <c:v>0.285714285714286</c:v>
                </c:pt>
                <c:pt idx="1">
                  <c:v>0.303571428571429</c:v>
                </c:pt>
                <c:pt idx="2">
                  <c:v>0.178571428571429</c:v>
                </c:pt>
                <c:pt idx="3">
                  <c:v>0.0892857142857143</c:v>
                </c:pt>
                <c:pt idx="4">
                  <c:v>0.142857142857143</c:v>
                </c:pt>
              </c:numCache>
            </c:numRef>
          </c:val>
        </c:ser>
        <c:gapWidth val="150"/>
        <c:overlap val="0"/>
        <c:axId val="63332047"/>
        <c:axId val="82993135"/>
      </c:barChart>
      <c:catAx>
        <c:axId val="633320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750" spc="-1" strike="noStrike">
                <a:solidFill>
                  <a:srgbClr val="000000"/>
                </a:solidFill>
                <a:latin typeface="Calibri"/>
              </a:defRPr>
            </a:pPr>
          </a:p>
        </c:txPr>
        <c:crossAx val="82993135"/>
        <c:crosses val="autoZero"/>
        <c:auto val="1"/>
        <c:lblAlgn val="ctr"/>
        <c:lblOffset val="100"/>
        <c:noMultiLvlLbl val="0"/>
      </c:catAx>
      <c:valAx>
        <c:axId val="8299313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33204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Flag rate by enumerator</a:t>
            </a:r>
          </a:p>
        </c:rich>
      </c:tx>
      <c:overlay val="0"/>
      <c:spPr>
        <a:noFill/>
        <a:ln w="0">
          <a:noFill/>
        </a:ln>
      </c:spPr>
    </c:title>
    <c:autoTitleDeleted val="0"/>
    <c:plotArea>
      <c:barChart>
        <c:barDir val="col"/>
        <c:grouping val="clustered"/>
        <c:varyColors val="0"/>
        <c:ser>
          <c:idx val="0"/>
          <c:order val="0"/>
          <c:tx>
            <c:strRef>
              <c:f>Dashboard!D54</c:f>
              <c:strCache>
                <c:ptCount val="1"/>
                <c:pt idx="0">
                  <c:v>Flag rate</c:v>
                </c:pt>
              </c:strCache>
            </c:strRef>
          </c:tx>
          <c:spPr>
            <a:solidFill>
              <a:srgbClr val="5c1a1b"/>
            </a:solidFill>
            <a:ln w="9360">
              <a:solidFill>
                <a:srgbClr val="5c1a1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Dashboard!$A$55:$A$61</c:f>
              <c:strCache>
                <c:ptCount val="7"/>
                <c:pt idx="0">
                  <c:v>E01</c:v>
                </c:pt>
                <c:pt idx="1">
                  <c:v>E02</c:v>
                </c:pt>
                <c:pt idx="2">
                  <c:v>E03</c:v>
                </c:pt>
                <c:pt idx="3">
                  <c:v>E04</c:v>
                </c:pt>
                <c:pt idx="4">
                  <c:v>E05</c:v>
                </c:pt>
                <c:pt idx="5">
                  <c:v>E06</c:v>
                </c:pt>
                <c:pt idx="6">
                  <c:v>E07</c:v>
                </c:pt>
              </c:strCache>
            </c:strRef>
          </c:cat>
          <c:val>
            <c:numRef>
              <c:f>Dashboard!$D$55:$D$61</c:f>
              <c:numCache>
                <c:formatCode>0%</c:formatCode>
                <c:ptCount val="7"/>
                <c:pt idx="0">
                  <c:v>0</c:v>
                </c:pt>
                <c:pt idx="1">
                  <c:v>0.0697674418604651</c:v>
                </c:pt>
                <c:pt idx="2">
                  <c:v>0.0625</c:v>
                </c:pt>
                <c:pt idx="3">
                  <c:v>0.0588235294117647</c:v>
                </c:pt>
                <c:pt idx="4">
                  <c:v>0.444444444444444</c:v>
                </c:pt>
                <c:pt idx="5">
                  <c:v>0.024390243902439</c:v>
                </c:pt>
                <c:pt idx="6">
                  <c:v>0.025</c:v>
                </c:pt>
              </c:numCache>
            </c:numRef>
          </c:val>
        </c:ser>
        <c:gapWidth val="150"/>
        <c:overlap val="0"/>
        <c:axId val="4123944"/>
        <c:axId val="23371988"/>
      </c:barChart>
      <c:catAx>
        <c:axId val="41239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371988"/>
        <c:crosses val="autoZero"/>
        <c:auto val="1"/>
        <c:lblAlgn val="ctr"/>
        <c:lblOffset val="100"/>
        <c:noMultiLvlLbl val="0"/>
      </c:catAx>
      <c:valAx>
        <c:axId val="2337198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2394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16</xdr:row>
      <xdr:rowOff>0</xdr:rowOff>
    </xdr:from>
    <xdr:to>
      <xdr:col>11</xdr:col>
      <xdr:colOff>702000</xdr:colOff>
      <xdr:row>21</xdr:row>
      <xdr:rowOff>152640</xdr:rowOff>
    </xdr:to>
    <xdr:graphicFrame>
      <xdr:nvGraphicFramePr>
        <xdr:cNvPr id="0" name="Chart 1"/>
        <xdr:cNvGraphicFramePr/>
      </xdr:nvGraphicFramePr>
      <xdr:xfrm>
        <a:off x="8740080" y="3828960"/>
        <a:ext cx="3239640" cy="129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24</xdr:row>
      <xdr:rowOff>0</xdr:rowOff>
    </xdr:from>
    <xdr:to>
      <xdr:col>11</xdr:col>
      <xdr:colOff>288360</xdr:colOff>
      <xdr:row>37</xdr:row>
      <xdr:rowOff>60480</xdr:rowOff>
    </xdr:to>
    <xdr:graphicFrame>
      <xdr:nvGraphicFramePr>
        <xdr:cNvPr id="1" name="Chart 2"/>
        <xdr:cNvGraphicFramePr/>
      </xdr:nvGraphicFramePr>
      <xdr:xfrm>
        <a:off x="7894440" y="5581800"/>
        <a:ext cx="3671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43</xdr:row>
      <xdr:rowOff>0</xdr:rowOff>
    </xdr:from>
    <xdr:to>
      <xdr:col>10</xdr:col>
      <xdr:colOff>309600</xdr:colOff>
      <xdr:row>50</xdr:row>
      <xdr:rowOff>169560</xdr:rowOff>
    </xdr:to>
    <xdr:graphicFrame>
      <xdr:nvGraphicFramePr>
        <xdr:cNvPr id="2" name="Chart 3"/>
        <xdr:cNvGraphicFramePr/>
      </xdr:nvGraphicFramePr>
      <xdr:xfrm>
        <a:off x="6061680" y="9543960"/>
        <a:ext cx="4679640" cy="165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53</xdr:row>
      <xdr:rowOff>0</xdr:rowOff>
    </xdr:from>
    <xdr:to>
      <xdr:col>10</xdr:col>
      <xdr:colOff>702360</xdr:colOff>
      <xdr:row>61</xdr:row>
      <xdr:rowOff>84960</xdr:rowOff>
    </xdr:to>
    <xdr:graphicFrame>
      <xdr:nvGraphicFramePr>
        <xdr:cNvPr id="3" name="Chart 4"/>
        <xdr:cNvGraphicFramePr/>
      </xdr:nvGraphicFramePr>
      <xdr:xfrm>
        <a:off x="7894440" y="11639520"/>
        <a:ext cx="3239640" cy="17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 collapsed="false" customWidth="true" hidden="false" outlineLevel="0" max="2" min="2" style="0" width="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45" hidden="false" customHeight="true" outlineLevel="0" collapsed="false">
      <c r="A5" s="4" t="s">
        <v>3</v>
      </c>
    </row>
    <row r="7" customFormat="false" ht="15" hidden="false" customHeight="false" outlineLevel="0" collapsed="false">
      <c r="A7" s="3" t="s">
        <v>4</v>
      </c>
    </row>
    <row r="8" customFormat="false" ht="15" hidden="false" customHeight="true" outlineLevel="0" collapsed="false">
      <c r="A8" s="4" t="s">
        <v>5</v>
      </c>
    </row>
    <row r="9" customFormat="false" ht="15" hidden="false" customHeight="true" outlineLevel="0" collapsed="false">
      <c r="A9" s="4" t="s">
        <v>6</v>
      </c>
    </row>
    <row r="10" customFormat="false" ht="15" hidden="false" customHeight="true" outlineLevel="0" collapsed="false">
      <c r="A10" s="4" t="s">
        <v>7</v>
      </c>
    </row>
    <row r="11" customFormat="false" ht="15" hidden="false" customHeight="true" outlineLevel="0" collapsed="false">
      <c r="A11" s="4" t="s">
        <v>8</v>
      </c>
    </row>
    <row r="13" customFormat="false" ht="15" hidden="false" customHeight="false" outlineLevel="0" collapsed="false">
      <c r="A13" s="3" t="s">
        <v>9</v>
      </c>
    </row>
    <row r="14" customFormat="false" ht="30" hidden="false" customHeight="true" outlineLevel="0" collapsed="false">
      <c r="A14" s="4" t="s">
        <v>10</v>
      </c>
    </row>
    <row r="15" customFormat="false" ht="30" hidden="false" customHeight="true" outlineLevel="0" collapsed="false">
      <c r="A15" s="4" t="s">
        <v>11</v>
      </c>
    </row>
    <row r="16" customFormat="false" ht="15" hidden="false" customHeight="true" outlineLevel="0" collapsed="false">
      <c r="A16" s="4" t="s">
        <v>12</v>
      </c>
    </row>
    <row r="17" customFormat="false" ht="15" hidden="false" customHeight="true" outlineLevel="0" collapsed="false">
      <c r="A17" s="4" t="s">
        <v>13</v>
      </c>
    </row>
    <row r="18" customFormat="false" ht="15" hidden="false" customHeight="true" outlineLevel="0" collapsed="false">
      <c r="A18" s="4" t="s">
        <v>14</v>
      </c>
    </row>
    <row r="20" customFormat="false" ht="15" hidden="false" customHeight="false" outlineLevel="0" collapsed="false">
      <c r="A20" s="3" t="s">
        <v>15</v>
      </c>
    </row>
    <row r="21" customFormat="false" ht="15" hidden="false" customHeight="true" outlineLevel="0" collapsed="false">
      <c r="A21" s="4" t="s">
        <v>16</v>
      </c>
    </row>
    <row r="22" customFormat="false" ht="15" hidden="false" customHeight="true" outlineLevel="0" collapsed="false">
      <c r="A22" s="4" t="s">
        <v>17</v>
      </c>
    </row>
    <row r="23" customFormat="false" ht="15" hidden="false" customHeight="true" outlineLevel="0" collapsed="false">
      <c r="A23" s="4" t="s">
        <v>18</v>
      </c>
    </row>
    <row r="25" customFormat="false" ht="15" hidden="false" customHeight="false" outlineLevel="0" collapsed="false">
      <c r="A25" s="3" t="s">
        <v>19</v>
      </c>
    </row>
    <row r="26" customFormat="false" ht="15" hidden="false" customHeight="true" outlineLevel="0" collapsed="false">
      <c r="A26" s="4" t="s">
        <v>20</v>
      </c>
    </row>
    <row r="27" customFormat="false" ht="15" hidden="false" customHeight="true" outlineLevel="0" collapsed="false">
      <c r="A27" s="4" t="s">
        <v>21</v>
      </c>
    </row>
    <row r="28" customFormat="false" ht="15" hidden="false" customHeight="true" outlineLevel="0" collapsed="false">
      <c r="A28" s="4" t="s">
        <v>22</v>
      </c>
    </row>
    <row r="30" customFormat="false" ht="15" hidden="false" customHeight="false" outlineLevel="0" collapsed="false">
      <c r="A30" s="3" t="s">
        <v>23</v>
      </c>
    </row>
    <row r="31" customFormat="false" ht="30" hidden="false" customHeight="true" outlineLevel="0" collapsed="false">
      <c r="A31" s="4" t="s">
        <v>24</v>
      </c>
    </row>
    <row r="32" customFormat="false" ht="15" hidden="false" customHeight="true" outlineLevel="0" collapsed="false">
      <c r="A32" s="4" t="s">
        <v>25</v>
      </c>
    </row>
    <row r="33" customFormat="false" ht="15" hidden="false" customHeight="true" outlineLevel="0" collapsed="false">
      <c r="A33" s="4"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3"/>
    <col collapsed="false" customWidth="true" hidden="false" outlineLevel="0" max="12" min="8" style="0" width="12"/>
  </cols>
  <sheetData>
    <row r="1" customFormat="false" ht="30" hidden="false" customHeight="true" outlineLevel="0" collapsed="false">
      <c r="A1" s="5" t="s">
        <v>27</v>
      </c>
      <c r="B1" s="6"/>
      <c r="C1" s="6"/>
      <c r="D1" s="6"/>
      <c r="E1" s="6"/>
      <c r="F1" s="6"/>
      <c r="G1" s="6"/>
      <c r="H1" s="6"/>
      <c r="I1" s="6"/>
      <c r="J1" s="6"/>
      <c r="K1" s="6"/>
      <c r="L1" s="6"/>
    </row>
    <row r="2" customFormat="false" ht="15" hidden="false" customHeight="false" outlineLevel="0" collapsed="false">
      <c r="A2" s="7" t="s">
        <v>28</v>
      </c>
    </row>
    <row r="4" customFormat="false" ht="19.5" hidden="false" customHeight="true" outlineLevel="0" collapsed="false">
      <c r="A4" s="8" t="s">
        <v>29</v>
      </c>
      <c r="B4" s="8"/>
      <c r="C4" s="8" t="s">
        <v>30</v>
      </c>
      <c r="D4" s="8"/>
      <c r="E4" s="8" t="s">
        <v>31</v>
      </c>
      <c r="F4" s="8"/>
      <c r="G4" s="8" t="s">
        <v>32</v>
      </c>
      <c r="H4" s="8"/>
      <c r="I4" s="8" t="s">
        <v>33</v>
      </c>
      <c r="J4" s="8"/>
      <c r="K4" s="8" t="s">
        <v>34</v>
      </c>
      <c r="L4" s="8"/>
    </row>
    <row r="5" customFormat="false" ht="30" hidden="false" customHeight="true" outlineLevel="0" collapsed="false">
      <c r="A5" s="9" t="n">
        <f aca="false">COUNTA(Responses!$A$2:$A$315)</f>
        <v>314</v>
      </c>
      <c r="B5" s="9"/>
      <c r="C5" s="9" t="n">
        <f aca="false">SUM(Quality_Checks!$I$2:$I$315)</f>
        <v>283</v>
      </c>
      <c r="D5" s="9"/>
      <c r="E5" s="10" t="n">
        <f aca="false">SUM(Quality_Checks!$I$2:$I$315)/Assumptions!B12</f>
        <v>0.884375</v>
      </c>
      <c r="F5" s="10"/>
      <c r="G5" s="10" t="n">
        <f aca="false">COUNTIFS(Responses!$K$2:$K$315,"Yes",Quality_Checks!$I$2:$I$315,1)/SUM(Quality_Checks!$I$2:$I$315)</f>
        <v>0.802120141342756</v>
      </c>
      <c r="H5" s="10"/>
      <c r="I5" s="10" t="n">
        <f aca="false">AVERAGEIFS(Responses!$L$2:$L$315,Responses!$K$2:$K$315,"Yes",Quality_Checks!$I$2:$I$315,1)/100</f>
        <v>0.428854625550661</v>
      </c>
      <c r="J5" s="10"/>
      <c r="K5" s="10" t="n">
        <f aca="false">COUNTIFS(Responses!$P$2:$P$315,"Yes",Quality_Checks!$I$2:$I$315,1)/SUM(Quality_Checks!$I$2:$I$315)</f>
        <v>0.42756183745583</v>
      </c>
      <c r="L5" s="10"/>
    </row>
    <row r="7" customFormat="false" ht="18" hidden="false" customHeight="true" outlineLevel="0" collapsed="false">
      <c r="A7" s="11" t="s">
        <v>35</v>
      </c>
      <c r="B7" s="6"/>
      <c r="C7" s="6"/>
      <c r="D7" s="6"/>
      <c r="E7" s="6"/>
      <c r="F7" s="6"/>
      <c r="G7" s="6"/>
      <c r="H7" s="6"/>
      <c r="I7" s="6"/>
      <c r="J7" s="6"/>
      <c r="K7" s="6"/>
      <c r="L7" s="6"/>
    </row>
    <row r="8" customFormat="false" ht="18" hidden="false" customHeight="true" outlineLevel="0" collapsed="false">
      <c r="A8" s="12" t="str">
        <f aca="false">"1. "&amp;C5&amp;" of "&amp;A5&amp;" submissions passed the quality checks ("&amp;TEXT(C5/A5,"0%")&amp;"); that is "&amp;TEXT(E5,"0%")&amp;" of the "&amp;TEXT(Assumptions!B12,"#,##0")&amp;"-interview target."</f>
        <v>1. 283 of 314 submissions passed the quality checks (90%); that is 88% of the 320-interview target.</v>
      </c>
      <c r="B8" s="12"/>
      <c r="C8" s="12"/>
      <c r="D8" s="12"/>
      <c r="E8" s="12"/>
      <c r="F8" s="12"/>
      <c r="G8" s="12"/>
      <c r="H8" s="12"/>
      <c r="I8" s="12"/>
      <c r="J8" s="12"/>
      <c r="K8" s="12"/>
      <c r="L8" s="12"/>
    </row>
    <row r="9" customFormat="false" ht="18" hidden="false" customHeight="true" outlineLevel="0" collapsed="false">
      <c r="A9" s="12" t="str">
        <f aca="false">"2. Furthest behind target: "&amp;INDEX(A18:A21,MATCH(MIN(E18:E21),E18:E21,0))&amp;" ("&amp;TEXT(MIN(E18:E21),"0%")&amp;" of its sample); "&amp;TEXT(SUM(F18:F22),"0")&amp;" interviews are held back for review."</f>
        <v>2. Furthest behind target: Mombasa (71% of its sample); 31 interviews are held back for review.</v>
      </c>
      <c r="B9" s="12"/>
      <c r="C9" s="12"/>
      <c r="D9" s="12"/>
      <c r="E9" s="12"/>
      <c r="F9" s="12"/>
      <c r="G9" s="12"/>
      <c r="H9" s="12"/>
      <c r="I9" s="12"/>
      <c r="J9" s="12"/>
      <c r="K9" s="12"/>
      <c r="L9" s="12"/>
    </row>
    <row r="10" customFormat="false" ht="18" hidden="false" customHeight="true" outlineLevel="0" collapsed="false">
      <c r="A10" s="12" t="str">
        <f aca="false">"3. "&amp;TEXT(G5,"0%")&amp;" of traders accept M-Pesa: highest in "&amp;INDEX(A26:A32,MATCH(MAX(C26:C32),C26:C32,0))&amp;" ("&amp;TEXT(MAX(C26:C32),"0%")&amp;"), lowest in "&amp;INDEX(A26:A32,MATCH(MIN(C26:C32),C26:C32,0))&amp;" ("&amp;TEXT(MIN(C26:C32),"0%")&amp;")."</f>
        <v>3. 80% of traders accept M-Pesa: highest in Grocery kiosk (90%), lowest in Clothing stall (63%).</v>
      </c>
      <c r="B10" s="12"/>
      <c r="C10" s="12"/>
      <c r="D10" s="12"/>
      <c r="E10" s="12"/>
      <c r="F10" s="12"/>
      <c r="G10" s="12"/>
      <c r="H10" s="12"/>
      <c r="I10" s="12"/>
      <c r="J10" s="12"/>
      <c r="K10" s="12"/>
      <c r="L10" s="12"/>
    </row>
    <row r="11" customFormat="false" ht="18" hidden="false" customHeight="true" outlineLevel="0" collapsed="false">
      <c r="A11" s="12" t="str">
        <f aca="false">"4. By town, adoption is highest in "&amp;INDEX(A18:A21,MATCH(MAX(G18:G21),G18:G21,0))&amp;" ("&amp;TEXT(MAX(G18:G21),"0%")&amp;") and lowest in "&amp;INDEX(A18:A21,MATCH(MIN(G18:G21),G18:G21,0))&amp;" ("&amp;TEXT(MIN(G18:G21),"0%")&amp;")."</f>
        <v>4. By town, adoption is highest in Nairobi (91%) and lowest in Kisumu (65%).</v>
      </c>
      <c r="B11" s="12"/>
      <c r="C11" s="12"/>
      <c r="D11" s="12"/>
      <c r="E11" s="12"/>
      <c r="F11" s="12"/>
      <c r="G11" s="12"/>
      <c r="H11" s="12"/>
      <c r="I11" s="12"/>
      <c r="J11" s="12"/>
      <c r="K11" s="12"/>
      <c r="L11" s="12"/>
    </row>
    <row r="12" customFormat="false" ht="18" hidden="false" customHeight="true" outlineLevel="0" collapsed="false">
      <c r="A12" s="12" t="str">
        <f aca="false">"5. Main barrier among non-acceptors: "&amp;INDEX(A46:A50,MATCH(MAX(B46:B50),B46:B50,0))&amp;" ("&amp;TEXT(MAX(C46:C50),"0%")&amp;"), followed by "&amp;INDEX(A46:A50,MATCH(LARGE(B46:B50,2),B46:B50,0))&amp;" ("&amp;TEXT(LARGE(C46:C50,2),"0%")&amp;")."</f>
        <v>5. Main barrier among non-acceptors: Transaction fees (30%), followed by Customers prefer cash (29%).</v>
      </c>
      <c r="B12" s="12"/>
      <c r="C12" s="12"/>
      <c r="D12" s="12"/>
      <c r="E12" s="12"/>
      <c r="F12" s="12"/>
      <c r="G12" s="12"/>
      <c r="H12" s="12"/>
      <c r="I12" s="12"/>
      <c r="J12" s="12"/>
      <c r="K12" s="12"/>
      <c r="L12" s="12"/>
    </row>
    <row r="13" customFormat="false" ht="18" hidden="false" customHeight="true" outlineLevel="0" collapsed="false">
      <c r="A13" s="12" t="str">
        <f aca="false">"6. Enumerator "&amp;INDEX(A55:A61,MATCH(MAX(D55:D61),D55:D61,0))&amp;" has the highest flag rate ("&amp;TEXT(MAX(D55:D61),"0%")&amp;"); the shortest average interview is "&amp;TEXT(MIN(E55:E61),"0.0")&amp;" minutes ("&amp;INDEX(A55:A61,MATCH(MIN(E55:E61),E55:E61,0))&amp;"). Schedule back-checks before using their data."</f>
        <v>6. Enumerator E05 has the highest flag rate (44%); the shortest average interview is 6.8 minutes (E05). Schedule back-checks before using their data.</v>
      </c>
      <c r="B13" s="12"/>
      <c r="C13" s="12"/>
      <c r="D13" s="12"/>
      <c r="E13" s="12"/>
      <c r="F13" s="12"/>
      <c r="G13" s="12"/>
      <c r="H13" s="12"/>
      <c r="I13" s="12"/>
      <c r="J13" s="12"/>
      <c r="K13" s="12"/>
      <c r="L13" s="12"/>
    </row>
    <row r="14" customFormat="false" ht="18" hidden="false" customHeight="true" outlineLevel="0" collapsed="false">
      <c r="A14" s="12" t="str">
        <f aca="false">"7. Training interest is "&amp;TEXT(COUNTIFS(Responses!$K$2:$K$315,"No",Responses!$P$2:$P$315,"Yes",Quality_Checks!$I$2:$I$315,1)/COUNTIFS(Responses!$K$2:$K$315,"No",Quality_Checks!$I$2:$I$315,1),"0%")&amp;" among non-acceptors vs "&amp;TEXT(COUNTIFS(Responses!$K$2:$K$315,"Yes",Responses!$P$2:$P$315,"Yes",Quality_Checks!$I$2:$I$315,1)/COUNTIFS(Responses!$K$2:$K$315,"Yes",Quality_Checks!$I$2:$I$315,1),"0%")&amp;" among acceptors."</f>
        <v>7. Training interest is 57% among non-acceptors vs 39% among acceptors.</v>
      </c>
      <c r="B14" s="12"/>
      <c r="C14" s="12"/>
      <c r="D14" s="12"/>
      <c r="E14" s="12"/>
      <c r="F14" s="12"/>
      <c r="G14" s="12"/>
      <c r="H14" s="12"/>
      <c r="I14" s="12"/>
      <c r="J14" s="12"/>
      <c r="K14" s="12"/>
      <c r="L14" s="12"/>
    </row>
    <row r="16" customFormat="false" ht="18" hidden="false" customHeight="true" outlineLevel="0" collapsed="false">
      <c r="A16" s="11" t="s">
        <v>36</v>
      </c>
      <c r="B16" s="6"/>
      <c r="C16" s="6"/>
      <c r="D16" s="6"/>
      <c r="E16" s="6"/>
      <c r="F16" s="6"/>
      <c r="G16" s="6"/>
      <c r="H16" s="6"/>
      <c r="I16" s="6"/>
      <c r="J16" s="6"/>
      <c r="K16" s="6"/>
      <c r="L16" s="6"/>
    </row>
    <row r="17" customFormat="false" ht="30" hidden="false" customHeight="true" outlineLevel="0" collapsed="false">
      <c r="A17" s="13" t="s">
        <v>37</v>
      </c>
      <c r="B17" s="13" t="s">
        <v>38</v>
      </c>
      <c r="C17" s="13" t="s">
        <v>39</v>
      </c>
      <c r="D17" s="13" t="s">
        <v>40</v>
      </c>
      <c r="E17" s="13" t="s">
        <v>41</v>
      </c>
      <c r="F17" s="13" t="s">
        <v>42</v>
      </c>
      <c r="G17" s="13" t="s">
        <v>43</v>
      </c>
    </row>
    <row r="18" customFormat="false" ht="15" hidden="false" customHeight="false" outlineLevel="0" collapsed="false">
      <c r="A18" s="14" t="s">
        <v>44</v>
      </c>
      <c r="B18" s="15" t="n">
        <f aca="false">Assumptions!B8</f>
        <v>90</v>
      </c>
      <c r="C18" s="15" t="n">
        <f aca="false">COUNTIF(Responses!$D$2:$D$315,A18)</f>
        <v>90</v>
      </c>
      <c r="D18" s="15" t="n">
        <f aca="false">COUNTIFS(Responses!$D$2:$D$315,A18,Quality_Checks!$I$2:$I$315,1)</f>
        <v>87</v>
      </c>
      <c r="E18" s="16" t="n">
        <f aca="false">IFERROR(D18/B18,0)</f>
        <v>0.966666666666667</v>
      </c>
      <c r="F18" s="15" t="n">
        <f aca="false">C18-D18</f>
        <v>3</v>
      </c>
      <c r="G18" s="16" t="n">
        <f aca="false">IFERROR(COUNTIFS(Responses!$D$2:$D$315,A18,Responses!$K$2:$K$315,"Yes",Quality_Checks!$I$2:$I$315,1)/D18,0)</f>
        <v>0.908045977011494</v>
      </c>
    </row>
    <row r="19" customFormat="false" ht="15" hidden="false" customHeight="false" outlineLevel="0" collapsed="false">
      <c r="A19" s="14" t="s">
        <v>45</v>
      </c>
      <c r="B19" s="15" t="n">
        <f aca="false">Assumptions!B9</f>
        <v>70</v>
      </c>
      <c r="C19" s="15" t="n">
        <f aca="false">COUNTIF(Responses!$D$2:$D$315,A19)</f>
        <v>64</v>
      </c>
      <c r="D19" s="15" t="n">
        <f aca="false">COUNTIFS(Responses!$D$2:$D$315,A19,Quality_Checks!$I$2:$I$315,1)</f>
        <v>60</v>
      </c>
      <c r="E19" s="16" t="n">
        <f aca="false">IFERROR(D19/B19,0)</f>
        <v>0.857142857142857</v>
      </c>
      <c r="F19" s="15" t="n">
        <f aca="false">C19-D19</f>
        <v>4</v>
      </c>
      <c r="G19" s="16" t="n">
        <f aca="false">IFERROR(COUNTIFS(Responses!$D$2:$D$315,A19,Responses!$K$2:$K$315,"Yes",Quality_Checks!$I$2:$I$315,1)/D19,0)</f>
        <v>0.65</v>
      </c>
    </row>
    <row r="20" customFormat="false" ht="15" hidden="false" customHeight="false" outlineLevel="0" collapsed="false">
      <c r="A20" s="14" t="s">
        <v>46</v>
      </c>
      <c r="B20" s="15" t="n">
        <f aca="false">Assumptions!B10</f>
        <v>80</v>
      </c>
      <c r="C20" s="15" t="n">
        <f aca="false">COUNTIF(Responses!$D$2:$D$315,A20)</f>
        <v>76</v>
      </c>
      <c r="D20" s="15" t="n">
        <f aca="false">COUNTIFS(Responses!$D$2:$D$315,A20,Quality_Checks!$I$2:$I$315,1)</f>
        <v>57</v>
      </c>
      <c r="E20" s="16" t="n">
        <f aca="false">IFERROR(D20/B20,0)</f>
        <v>0.7125</v>
      </c>
      <c r="F20" s="15" t="n">
        <f aca="false">C20-D20</f>
        <v>19</v>
      </c>
      <c r="G20" s="16" t="n">
        <f aca="false">IFERROR(COUNTIFS(Responses!$D$2:$D$315,A20,Responses!$K$2:$K$315,"Yes",Quality_Checks!$I$2:$I$315,1)/D20,0)</f>
        <v>0.824561403508772</v>
      </c>
    </row>
    <row r="21" customFormat="false" ht="15" hidden="false" customHeight="false" outlineLevel="0" collapsed="false">
      <c r="A21" s="14" t="s">
        <v>47</v>
      </c>
      <c r="B21" s="15" t="n">
        <f aca="false">Assumptions!B11</f>
        <v>80</v>
      </c>
      <c r="C21" s="15" t="n">
        <f aca="false">COUNTIF(Responses!$D$2:$D$315,A21)</f>
        <v>81</v>
      </c>
      <c r="D21" s="15" t="n">
        <f aca="false">COUNTIFS(Responses!$D$2:$D$315,A21,Quality_Checks!$I$2:$I$315,1)</f>
        <v>79</v>
      </c>
      <c r="E21" s="16" t="n">
        <f aca="false">IFERROR(D21/B21,0)</f>
        <v>0.9875</v>
      </c>
      <c r="F21" s="15" t="n">
        <f aca="false">C21-D21</f>
        <v>2</v>
      </c>
      <c r="G21" s="16" t="n">
        <f aca="false">IFERROR(COUNTIFS(Responses!$D$2:$D$315,A21,Responses!$K$2:$K$315,"Yes",Quality_Checks!$I$2:$I$315,1)/D21,0)</f>
        <v>0.784810126582278</v>
      </c>
    </row>
    <row r="22" customFormat="false" ht="15" hidden="false" customHeight="false" outlineLevel="0" collapsed="false">
      <c r="A22" s="17" t="s">
        <v>48</v>
      </c>
      <c r="B22" s="18"/>
      <c r="C22" s="15" t="n">
        <f aca="false">COUNTA(Responses!$A$2:$A$315)-SUM(C18:C21)</f>
        <v>3</v>
      </c>
      <c r="D22" s="15" t="n">
        <f aca="false">SUM(Quality_Checks!$I$2:$I$315)-SUM(D18:D21)</f>
        <v>0</v>
      </c>
      <c r="E22" s="18"/>
      <c r="F22" s="15" t="n">
        <f aca="false">C22-D22</f>
        <v>3</v>
      </c>
      <c r="G22" s="18"/>
    </row>
    <row r="23" customFormat="false" ht="15" hidden="false" customHeight="false" outlineLevel="0" collapsed="false">
      <c r="A23" s="19" t="s">
        <v>49</v>
      </c>
      <c r="B23" s="20" t="n">
        <f aca="false">SUM(B18:B21)</f>
        <v>320</v>
      </c>
      <c r="C23" s="20" t="n">
        <f aca="false">SUM(C18:C22)</f>
        <v>314</v>
      </c>
      <c r="D23" s="20" t="n">
        <f aca="false">SUM(D18:D22)</f>
        <v>283</v>
      </c>
      <c r="E23" s="21" t="n">
        <f aca="false">IFERROR(D23/B23,0)</f>
        <v>0.884375</v>
      </c>
      <c r="F23" s="20" t="n">
        <f aca="false">SUM(F18:F22)</f>
        <v>31</v>
      </c>
      <c r="G23" s="21" t="n">
        <f aca="false">G5</f>
        <v>0.802120141342756</v>
      </c>
    </row>
    <row r="24" customFormat="false" ht="18" hidden="false" customHeight="true" outlineLevel="0" collapsed="false">
      <c r="A24" s="11" t="s">
        <v>50</v>
      </c>
      <c r="B24" s="6"/>
      <c r="C24" s="6"/>
      <c r="D24" s="6"/>
      <c r="E24" s="6"/>
      <c r="F24" s="6"/>
      <c r="G24" s="6"/>
      <c r="H24" s="6"/>
      <c r="I24" s="6"/>
      <c r="J24" s="6"/>
      <c r="K24" s="6"/>
      <c r="L24" s="6"/>
    </row>
    <row r="25" customFormat="false" ht="30" hidden="false" customHeight="true" outlineLevel="0" collapsed="false">
      <c r="A25" s="13" t="s">
        <v>51</v>
      </c>
      <c r="B25" s="13" t="s">
        <v>52</v>
      </c>
      <c r="C25" s="13" t="s">
        <v>43</v>
      </c>
      <c r="D25" s="13" t="s">
        <v>53</v>
      </c>
      <c r="E25" s="13" t="s">
        <v>54</v>
      </c>
      <c r="F25" s="13" t="s">
        <v>55</v>
      </c>
    </row>
    <row r="26" customFormat="false" ht="15" hidden="false" customHeight="false" outlineLevel="0" collapsed="false">
      <c r="A26" s="14" t="s">
        <v>56</v>
      </c>
      <c r="B26" s="15" t="n">
        <f aca="false">COUNTIFS(Responses!$E$2:$E$315,A26,Quality_Checks!$I$2:$I$315,1)</f>
        <v>78</v>
      </c>
      <c r="C26" s="16" t="n">
        <f aca="false">IFERROR(COUNTIFS(Responses!$E$2:$E$315,A26,Responses!$K$2:$K$315,"Yes",Quality_Checks!$I$2:$I$315,1)/B26,0)</f>
        <v>0.897435897435898</v>
      </c>
      <c r="D26" s="16" t="n">
        <f aca="false">IFERROR(AVERAGEIFS(Responses!$L$2:$L$315,Responses!$E$2:$E$315,A26,Responses!$K$2:$K$315,"Yes",Quality_Checks!$I$2:$I$315,1)/100,0)</f>
        <v>0.444428571428571</v>
      </c>
      <c r="E26" s="16" t="n">
        <f aca="false">IFERROR(COUNTIFS(Responses!$E$2:$E$315,A26,Responses!$M$2:$M$315,"Yes",Quality_Checks!$I$2:$I$315,1)/B26,0)</f>
        <v>0.41025641025641</v>
      </c>
      <c r="F26" s="16" t="n">
        <f aca="false">IFERROR(COUNTIFS(Responses!$E$2:$E$315,A26,Responses!$P$2:$P$315,"Yes",Quality_Checks!$I$2:$I$315,1)/B26,0)</f>
        <v>0.448717948717949</v>
      </c>
    </row>
    <row r="27" customFormat="false" ht="15" hidden="false" customHeight="false" outlineLevel="0" collapsed="false">
      <c r="A27" s="14" t="s">
        <v>57</v>
      </c>
      <c r="B27" s="15" t="n">
        <f aca="false">COUNTIFS(Responses!$E$2:$E$315,A27,Quality_Checks!$I$2:$I$315,1)</f>
        <v>60</v>
      </c>
      <c r="C27" s="16" t="n">
        <f aca="false">IFERROR(COUNTIFS(Responses!$E$2:$E$315,A27,Responses!$K$2:$K$315,"Yes",Quality_Checks!$I$2:$I$315,1)/B27,0)</f>
        <v>0.833333333333333</v>
      </c>
      <c r="D27" s="16" t="n">
        <f aca="false">IFERROR(AVERAGEIFS(Responses!$L$2:$L$315,Responses!$E$2:$E$315,A27,Responses!$K$2:$K$315,"Yes",Quality_Checks!$I$2:$I$315,1)/100,0)</f>
        <v>0.403</v>
      </c>
      <c r="E27" s="16" t="n">
        <f aca="false">IFERROR(COUNTIFS(Responses!$E$2:$E$315,A27,Responses!$M$2:$M$315,"Yes",Quality_Checks!$I$2:$I$315,1)/B27,0)</f>
        <v>0.483333333333333</v>
      </c>
      <c r="F27" s="16" t="n">
        <f aca="false">IFERROR(COUNTIFS(Responses!$E$2:$E$315,A27,Responses!$P$2:$P$315,"Yes",Quality_Checks!$I$2:$I$315,1)/B27,0)</f>
        <v>0.483333333333333</v>
      </c>
    </row>
    <row r="28" customFormat="false" ht="15" hidden="false" customHeight="false" outlineLevel="0" collapsed="false">
      <c r="A28" s="14" t="s">
        <v>58</v>
      </c>
      <c r="B28" s="15" t="n">
        <f aca="false">COUNTIFS(Responses!$E$2:$E$315,A28,Quality_Checks!$I$2:$I$315,1)</f>
        <v>38</v>
      </c>
      <c r="C28" s="16" t="n">
        <f aca="false">IFERROR(COUNTIFS(Responses!$E$2:$E$315,A28,Responses!$K$2:$K$315,"Yes",Quality_Checks!$I$2:$I$315,1)/B28,0)</f>
        <v>0.631578947368421</v>
      </c>
      <c r="D28" s="16" t="n">
        <f aca="false">IFERROR(AVERAGEIFS(Responses!$L$2:$L$315,Responses!$E$2:$E$315,A28,Responses!$K$2:$K$315,"Yes",Quality_Checks!$I$2:$I$315,1)/100,0)</f>
        <v>0.511666666666667</v>
      </c>
      <c r="E28" s="16" t="n">
        <f aca="false">IFERROR(COUNTIFS(Responses!$E$2:$E$315,A28,Responses!$M$2:$M$315,"Yes",Quality_Checks!$I$2:$I$315,1)/B28,0)</f>
        <v>0.447368421052632</v>
      </c>
      <c r="F28" s="16" t="n">
        <f aca="false">IFERROR(COUNTIFS(Responses!$E$2:$E$315,A28,Responses!$P$2:$P$315,"Yes",Quality_Checks!$I$2:$I$315,1)/B28,0)</f>
        <v>0.342105263157895</v>
      </c>
    </row>
    <row r="29" customFormat="false" ht="15" hidden="false" customHeight="false" outlineLevel="0" collapsed="false">
      <c r="A29" s="14" t="s">
        <v>59</v>
      </c>
      <c r="B29" s="15" t="n">
        <f aca="false">COUNTIFS(Responses!$E$2:$E$315,A29,Quality_Checks!$I$2:$I$315,1)</f>
        <v>27</v>
      </c>
      <c r="C29" s="16" t="n">
        <f aca="false">IFERROR(COUNTIFS(Responses!$E$2:$E$315,A29,Responses!$K$2:$K$315,"Yes",Quality_Checks!$I$2:$I$315,1)/B29,0)</f>
        <v>0.777777777777778</v>
      </c>
      <c r="D29" s="16" t="n">
        <f aca="false">IFERROR(AVERAGEIFS(Responses!$L$2:$L$315,Responses!$E$2:$E$315,A29,Responses!$K$2:$K$315,"Yes",Quality_Checks!$I$2:$I$315,1)/100,0)</f>
        <v>0.379047619047619</v>
      </c>
      <c r="E29" s="16" t="n">
        <f aca="false">IFERROR(COUNTIFS(Responses!$E$2:$E$315,A29,Responses!$M$2:$M$315,"Yes",Quality_Checks!$I$2:$I$315,1)/B29,0)</f>
        <v>0.481481481481481</v>
      </c>
      <c r="F29" s="16" t="n">
        <f aca="false">IFERROR(COUNTIFS(Responses!$E$2:$E$315,A29,Responses!$P$2:$P$315,"Yes",Quality_Checks!$I$2:$I$315,1)/B29,0)</f>
        <v>0.444444444444444</v>
      </c>
    </row>
    <row r="30" customFormat="false" ht="15" hidden="false" customHeight="false" outlineLevel="0" collapsed="false">
      <c r="A30" s="14" t="s">
        <v>60</v>
      </c>
      <c r="B30" s="15" t="n">
        <f aca="false">COUNTIFS(Responses!$E$2:$E$315,A30,Quality_Checks!$I$2:$I$315,1)</f>
        <v>27</v>
      </c>
      <c r="C30" s="16" t="n">
        <f aca="false">IFERROR(COUNTIFS(Responses!$E$2:$E$315,A30,Responses!$K$2:$K$315,"Yes",Quality_Checks!$I$2:$I$315,1)/B30,0)</f>
        <v>0.851851851851852</v>
      </c>
      <c r="D30" s="16" t="n">
        <f aca="false">IFERROR(AVERAGEIFS(Responses!$L$2:$L$315,Responses!$E$2:$E$315,A30,Responses!$K$2:$K$315,"Yes",Quality_Checks!$I$2:$I$315,1)/100,0)</f>
        <v>0.44304347826087</v>
      </c>
      <c r="E30" s="16" t="n">
        <f aca="false">IFERROR(COUNTIFS(Responses!$E$2:$E$315,A30,Responses!$M$2:$M$315,"Yes",Quality_Checks!$I$2:$I$315,1)/B30,0)</f>
        <v>0.518518518518519</v>
      </c>
      <c r="F30" s="16" t="n">
        <f aca="false">IFERROR(COUNTIFS(Responses!$E$2:$E$315,A30,Responses!$P$2:$P$315,"Yes",Quality_Checks!$I$2:$I$315,1)/B30,0)</f>
        <v>0.37037037037037</v>
      </c>
    </row>
    <row r="31" customFormat="false" ht="15" hidden="false" customHeight="false" outlineLevel="0" collapsed="false">
      <c r="A31" s="14" t="s">
        <v>61</v>
      </c>
      <c r="B31" s="15" t="n">
        <f aca="false">COUNTIFS(Responses!$E$2:$E$315,A31,Quality_Checks!$I$2:$I$315,1)</f>
        <v>31</v>
      </c>
      <c r="C31" s="16" t="n">
        <f aca="false">IFERROR(COUNTIFS(Responses!$E$2:$E$315,A31,Responses!$K$2:$K$315,"Yes",Quality_Checks!$I$2:$I$315,1)/B31,0)</f>
        <v>0.741935483870968</v>
      </c>
      <c r="D31" s="16" t="n">
        <f aca="false">IFERROR(AVERAGEIFS(Responses!$L$2:$L$315,Responses!$E$2:$E$315,A31,Responses!$K$2:$K$315,"Yes",Quality_Checks!$I$2:$I$315,1)/100,0)</f>
        <v>0.373478260869565</v>
      </c>
      <c r="E31" s="16" t="n">
        <f aca="false">IFERROR(COUNTIFS(Responses!$E$2:$E$315,A31,Responses!$M$2:$M$315,"Yes",Quality_Checks!$I$2:$I$315,1)/B31,0)</f>
        <v>0.483870967741936</v>
      </c>
      <c r="F31" s="16" t="n">
        <f aca="false">IFERROR(COUNTIFS(Responses!$E$2:$E$315,A31,Responses!$P$2:$P$315,"Yes",Quality_Checks!$I$2:$I$315,1)/B31,0)</f>
        <v>0.32258064516129</v>
      </c>
    </row>
    <row r="32" customFormat="false" ht="15" hidden="false" customHeight="false" outlineLevel="0" collapsed="false">
      <c r="A32" s="14" t="s">
        <v>62</v>
      </c>
      <c r="B32" s="15" t="n">
        <f aca="false">COUNTIFS(Responses!$E$2:$E$315,A32,Quality_Checks!$I$2:$I$315,1)</f>
        <v>22</v>
      </c>
      <c r="C32" s="16" t="n">
        <f aca="false">IFERROR(COUNTIFS(Responses!$E$2:$E$315,A32,Responses!$K$2:$K$315,"Yes",Quality_Checks!$I$2:$I$315,1)/B32,0)</f>
        <v>0.727272727272727</v>
      </c>
      <c r="D32" s="16" t="n">
        <f aca="false">IFERROR(AVERAGEIFS(Responses!$L$2:$L$315,Responses!$E$2:$E$315,A32,Responses!$K$2:$K$315,"Yes",Quality_Checks!$I$2:$I$315,1)/100,0)</f>
        <v>0.441875</v>
      </c>
      <c r="E32" s="16" t="n">
        <f aca="false">IFERROR(COUNTIFS(Responses!$E$2:$E$315,A32,Responses!$M$2:$M$315,"Yes",Quality_Checks!$I$2:$I$315,1)/B32,0)</f>
        <v>0.409090909090909</v>
      </c>
      <c r="F32" s="16" t="n">
        <f aca="false">IFERROR(COUNTIFS(Responses!$E$2:$E$315,A32,Responses!$P$2:$P$315,"Yes",Quality_Checks!$I$2:$I$315,1)/B32,0)</f>
        <v>0.545454545454545</v>
      </c>
    </row>
    <row r="33" customFormat="false" ht="15" hidden="false" customHeight="false" outlineLevel="0" collapsed="false">
      <c r="A33" s="19" t="s">
        <v>63</v>
      </c>
      <c r="B33" s="20" t="n">
        <f aca="false">SUM(B26:B32)</f>
        <v>283</v>
      </c>
      <c r="C33" s="21" t="n">
        <f aca="false">G5</f>
        <v>0.802120141342756</v>
      </c>
      <c r="D33" s="21" t="n">
        <f aca="false">I5</f>
        <v>0.428854625550661</v>
      </c>
      <c r="E33" s="21" t="n">
        <f aca="false">COUNTIFS(Responses!$M$2:$M$315,"Yes",Quality_Checks!$I$2:$I$315,1)/SUM(Quality_Checks!$I$2:$I$315)</f>
        <v>0.45583038869258</v>
      </c>
      <c r="F33" s="21" t="n">
        <f aca="false">K5</f>
        <v>0.42756183745583</v>
      </c>
    </row>
    <row r="35" customFormat="false" ht="18" hidden="false" customHeight="true" outlineLevel="0" collapsed="false">
      <c r="A35" s="11" t="s">
        <v>64</v>
      </c>
      <c r="B35" s="6"/>
      <c r="C35" s="6"/>
      <c r="D35" s="6"/>
      <c r="E35" s="6"/>
      <c r="F35" s="6"/>
    </row>
    <row r="36" customFormat="false" ht="24" hidden="false" customHeight="true" outlineLevel="0" collapsed="false">
      <c r="A36" s="13" t="s">
        <v>65</v>
      </c>
      <c r="B36" s="13" t="s">
        <v>52</v>
      </c>
      <c r="C36" s="13" t="s">
        <v>43</v>
      </c>
    </row>
    <row r="37" customFormat="false" ht="15" hidden="false" customHeight="false" outlineLevel="0" collapsed="false">
      <c r="A37" s="14" t="s">
        <v>66</v>
      </c>
      <c r="B37" s="15" t="n">
        <f aca="false">COUNTIFS(Responses!$J$2:$J$315,"Under 10,000",Quality_Checks!$I$2:$I$315,1)</f>
        <v>69</v>
      </c>
      <c r="C37" s="16" t="n">
        <f aca="false">IFERROR(COUNTIFS(Responses!$J$2:$J$315,"Under 10,000",Responses!$K$2:$K$315,"Yes",Quality_Checks!$I$2:$I$315,1)/B37,0)</f>
        <v>0.710144927536232</v>
      </c>
    </row>
    <row r="38" customFormat="false" ht="15" hidden="false" customHeight="false" outlineLevel="0" collapsed="false">
      <c r="A38" s="14" t="s">
        <v>67</v>
      </c>
      <c r="B38" s="15" t="n">
        <f aca="false">COUNTIFS(Responses!$J$2:$J$315,"10,000 to 30,000",Quality_Checks!$I$2:$I$315,1)</f>
        <v>115</v>
      </c>
      <c r="C38" s="16" t="n">
        <f aca="false">IFERROR(COUNTIFS(Responses!$J$2:$J$315,"10,000 to 30,000",Responses!$K$2:$K$315,"Yes",Quality_Checks!$I$2:$I$315,1)/B38,0)</f>
        <v>0.791304347826087</v>
      </c>
    </row>
    <row r="39" customFormat="false" ht="15" hidden="false" customHeight="false" outlineLevel="0" collapsed="false">
      <c r="A39" s="14" t="s">
        <v>68</v>
      </c>
      <c r="B39" s="15" t="n">
        <f aca="false">COUNTIFS(Responses!$J$2:$J$315,"30,001 to 70,000",Quality_Checks!$I$2:$I$315,1)</f>
        <v>66</v>
      </c>
      <c r="C39" s="16" t="n">
        <f aca="false">IFERROR(COUNTIFS(Responses!$J$2:$J$315,"30,001 to 70,000",Responses!$K$2:$K$315,"Yes",Quality_Checks!$I$2:$I$315,1)/B39,0)</f>
        <v>0.863636363636364</v>
      </c>
    </row>
    <row r="40" customFormat="false" ht="15" hidden="false" customHeight="false" outlineLevel="0" collapsed="false">
      <c r="A40" s="14" t="s">
        <v>69</v>
      </c>
      <c r="B40" s="15" t="n">
        <f aca="false">COUNTIFS(Responses!$J$2:$J$315,"Over 70,000",Quality_Checks!$I$2:$I$315,1)</f>
        <v>33</v>
      </c>
      <c r="C40" s="16" t="n">
        <f aca="false">IFERROR(COUNTIFS(Responses!$J$2:$J$315,"Over 70,000",Responses!$K$2:$K$315,"Yes",Quality_Checks!$I$2:$I$315,1)/B40,0)</f>
        <v>0.909090909090909</v>
      </c>
    </row>
    <row r="41" customFormat="false" ht="15" hidden="false" customHeight="false" outlineLevel="0" collapsed="false">
      <c r="A41" s="14" t="s">
        <v>70</v>
      </c>
      <c r="B41" s="15" t="n">
        <f aca="false">COUNTIFS(Responses!$H$2:$H$315,A41,Quality_Checks!$I$2:$I$315,1)</f>
        <v>141</v>
      </c>
      <c r="C41" s="16" t="n">
        <f aca="false">IFERROR(COUNTIFS(Responses!$H$2:$H$315,A41,Responses!$K$2:$K$315,"Yes",Quality_Checks!$I$2:$I$315,1)/B41,0)</f>
        <v>0.822695035460993</v>
      </c>
    </row>
    <row r="42" customFormat="false" ht="15" hidden="false" customHeight="false" outlineLevel="0" collapsed="false">
      <c r="A42" s="14" t="s">
        <v>71</v>
      </c>
      <c r="B42" s="15" t="n">
        <f aca="false">COUNTIFS(Responses!$H$2:$H$315,A42,Quality_Checks!$I$2:$I$315,1)</f>
        <v>142</v>
      </c>
      <c r="C42" s="16" t="n">
        <f aca="false">IFERROR(COUNTIFS(Responses!$H$2:$H$315,A42,Responses!$K$2:$K$315,"Yes",Quality_Checks!$I$2:$I$315,1)/B42,0)</f>
        <v>0.78169014084507</v>
      </c>
    </row>
    <row r="44" customFormat="false" ht="18" hidden="false" customHeight="true" outlineLevel="0" collapsed="false">
      <c r="A44" s="11" t="s">
        <v>72</v>
      </c>
      <c r="B44" s="6"/>
      <c r="C44" s="6"/>
      <c r="D44" s="6"/>
      <c r="E44" s="6"/>
      <c r="F44" s="6"/>
      <c r="G44" s="6"/>
      <c r="H44" s="6"/>
      <c r="I44" s="6"/>
      <c r="J44" s="6"/>
      <c r="K44" s="6"/>
      <c r="L44" s="6"/>
    </row>
    <row r="45" customFormat="false" ht="24" hidden="false" customHeight="true" outlineLevel="0" collapsed="false">
      <c r="A45" s="13" t="s">
        <v>73</v>
      </c>
      <c r="B45" s="13" t="s">
        <v>74</v>
      </c>
      <c r="C45" s="13" t="s">
        <v>75</v>
      </c>
      <c r="D45" s="13" t="s">
        <v>76</v>
      </c>
    </row>
    <row r="46" customFormat="false" ht="15" hidden="false" customHeight="false" outlineLevel="0" collapsed="false">
      <c r="A46" s="14" t="s">
        <v>77</v>
      </c>
      <c r="B46" s="15" t="n">
        <f aca="false">COUNTIFS(Responses!$N$2:$N$315,A46,Quality_Checks!$I$2:$I$315,1)</f>
        <v>16</v>
      </c>
      <c r="C46" s="16" t="n">
        <f aca="false">IFERROR(B46/B$51,0)</f>
        <v>0.285714285714286</v>
      </c>
      <c r="D46" s="22" t="s">
        <v>78</v>
      </c>
    </row>
    <row r="47" customFormat="false" ht="15" hidden="false" customHeight="false" outlineLevel="0" collapsed="false">
      <c r="A47" s="14" t="s">
        <v>79</v>
      </c>
      <c r="B47" s="15" t="n">
        <f aca="false">COUNTIFS(Responses!$N$2:$N$315,A47,Quality_Checks!$I$2:$I$315,1)</f>
        <v>17</v>
      </c>
      <c r="C47" s="16" t="n">
        <f aca="false">IFERROR(B47/B$51,0)</f>
        <v>0.303571428571429</v>
      </c>
      <c r="D47" s="22" t="s">
        <v>80</v>
      </c>
    </row>
    <row r="48" customFormat="false" ht="15" hidden="false" customHeight="false" outlineLevel="0" collapsed="false">
      <c r="A48" s="14" t="s">
        <v>81</v>
      </c>
      <c r="B48" s="15" t="n">
        <f aca="false">COUNTIFS(Responses!$N$2:$N$315,A48,Quality_Checks!$I$2:$I$315,1)</f>
        <v>10</v>
      </c>
      <c r="C48" s="16" t="n">
        <f aca="false">IFERROR(B48/B$51,0)</f>
        <v>0.178571428571429</v>
      </c>
      <c r="D48" s="22" t="s">
        <v>82</v>
      </c>
    </row>
    <row r="49" customFormat="false" ht="15" hidden="false" customHeight="false" outlineLevel="0" collapsed="false">
      <c r="A49" s="14" t="s">
        <v>83</v>
      </c>
      <c r="B49" s="15" t="n">
        <f aca="false">COUNTIFS(Responses!$N$2:$N$315,A49,Quality_Checks!$I$2:$I$315,1)</f>
        <v>5</v>
      </c>
      <c r="C49" s="16" t="n">
        <f aca="false">IFERROR(B49/B$51,0)</f>
        <v>0.0892857142857143</v>
      </c>
      <c r="D49" s="22" t="s">
        <v>84</v>
      </c>
    </row>
    <row r="50" customFormat="false" ht="15" hidden="false" customHeight="false" outlineLevel="0" collapsed="false">
      <c r="A50" s="14" t="s">
        <v>85</v>
      </c>
      <c r="B50" s="15" t="n">
        <f aca="false">COUNTIFS(Responses!$N$2:$N$315,A50,Quality_Checks!$I$2:$I$315,1)</f>
        <v>8</v>
      </c>
      <c r="C50" s="16" t="n">
        <f aca="false">IFERROR(B50/B$51,0)</f>
        <v>0.142857142857143</v>
      </c>
      <c r="D50" s="22" t="s">
        <v>86</v>
      </c>
    </row>
    <row r="51" customFormat="false" ht="15" hidden="false" customHeight="false" outlineLevel="0" collapsed="false">
      <c r="A51" s="19" t="s">
        <v>87</v>
      </c>
      <c r="B51" s="20" t="n">
        <f aca="false">COUNTIFS(Responses!$K$2:$K$315,"No",Quality_Checks!$I$2:$I$315,1)</f>
        <v>56</v>
      </c>
      <c r="C51" s="21" t="n">
        <f aca="false">SUM(C46:C50)</f>
        <v>1</v>
      </c>
    </row>
    <row r="53" customFormat="false" ht="18" hidden="false" customHeight="true" outlineLevel="0" collapsed="false">
      <c r="A53" s="11" t="s">
        <v>88</v>
      </c>
      <c r="B53" s="6"/>
      <c r="C53" s="6"/>
      <c r="D53" s="6"/>
      <c r="E53" s="6"/>
      <c r="F53" s="6"/>
      <c r="G53" s="6"/>
      <c r="H53" s="6"/>
      <c r="I53" s="6"/>
      <c r="J53" s="6"/>
      <c r="K53" s="6"/>
      <c r="L53" s="6"/>
    </row>
    <row r="54" customFormat="false" ht="30" hidden="false" customHeight="true" outlineLevel="0" collapsed="false">
      <c r="A54" s="13" t="s">
        <v>89</v>
      </c>
      <c r="B54" s="13" t="s">
        <v>90</v>
      </c>
      <c r="C54" s="13" t="s">
        <v>42</v>
      </c>
      <c r="D54" s="13" t="s">
        <v>91</v>
      </c>
      <c r="E54" s="13" t="s">
        <v>92</v>
      </c>
      <c r="F54" s="13" t="s">
        <v>93</v>
      </c>
    </row>
    <row r="55" customFormat="false" ht="15" hidden="false" customHeight="false" outlineLevel="0" collapsed="false">
      <c r="A55" s="14" t="s">
        <v>94</v>
      </c>
      <c r="B55" s="15" t="n">
        <f aca="false">COUNTIF(Responses!$C$2:$C$315,A55)</f>
        <v>47</v>
      </c>
      <c r="C55" s="15" t="n">
        <f aca="false">COUNTIFS(Responses!$C$2:$C$315,A55,Quality_Checks!$I$2:$I$315,0)</f>
        <v>0</v>
      </c>
      <c r="D55" s="16" t="n">
        <f aca="false">IFERROR(C55/B55,0)</f>
        <v>0</v>
      </c>
      <c r="E55" s="23" t="n">
        <f aca="false">AVERAGEIFS(Responses!$Q$2:$Q$315,Responses!$C$2:$C$315,A55)</f>
        <v>13.9382978723404</v>
      </c>
      <c r="F55" s="15" t="n">
        <f aca="false">COUNTIFS(Responses!$C$2:$C$315,A55,Quality_Checks!$E$2:$E$315,1)</f>
        <v>0</v>
      </c>
    </row>
    <row r="56" customFormat="false" ht="15" hidden="false" customHeight="false" outlineLevel="0" collapsed="false">
      <c r="A56" s="14" t="s">
        <v>95</v>
      </c>
      <c r="B56" s="15" t="n">
        <f aca="false">COUNTIF(Responses!$C$2:$C$315,A56)</f>
        <v>43</v>
      </c>
      <c r="C56" s="15" t="n">
        <f aca="false">COUNTIFS(Responses!$C$2:$C$315,A56,Quality_Checks!$I$2:$I$315,0)</f>
        <v>3</v>
      </c>
      <c r="D56" s="16" t="n">
        <f aca="false">IFERROR(C56/B56,0)</f>
        <v>0.0697674418604651</v>
      </c>
      <c r="E56" s="23" t="n">
        <f aca="false">AVERAGEIFS(Responses!$Q$2:$Q$315,Responses!$C$2:$C$315,A56)</f>
        <v>13.5023255813953</v>
      </c>
      <c r="F56" s="15" t="n">
        <f aca="false">COUNTIFS(Responses!$C$2:$C$315,A56,Quality_Checks!$E$2:$E$315,1)</f>
        <v>0</v>
      </c>
    </row>
    <row r="57" customFormat="false" ht="15" hidden="false" customHeight="false" outlineLevel="0" collapsed="false">
      <c r="A57" s="14" t="s">
        <v>96</v>
      </c>
      <c r="B57" s="15" t="n">
        <f aca="false">COUNTIF(Responses!$C$2:$C$315,A57)</f>
        <v>64</v>
      </c>
      <c r="C57" s="15" t="n">
        <f aca="false">COUNTIFS(Responses!$C$2:$C$315,A57,Quality_Checks!$I$2:$I$315,0)</f>
        <v>4</v>
      </c>
      <c r="D57" s="16" t="n">
        <f aca="false">IFERROR(C57/B57,0)</f>
        <v>0.0625</v>
      </c>
      <c r="E57" s="23" t="n">
        <f aca="false">AVERAGEIFS(Responses!$Q$2:$Q$315,Responses!$C$2:$C$315,A57)</f>
        <v>13.296875</v>
      </c>
      <c r="F57" s="15" t="n">
        <f aca="false">COUNTIFS(Responses!$C$2:$C$315,A57,Quality_Checks!$E$2:$E$315,1)</f>
        <v>0</v>
      </c>
    </row>
    <row r="58" customFormat="false" ht="15" hidden="false" customHeight="false" outlineLevel="0" collapsed="false">
      <c r="A58" s="14" t="s">
        <v>97</v>
      </c>
      <c r="B58" s="15" t="n">
        <f aca="false">COUNTIF(Responses!$C$2:$C$315,A58)</f>
        <v>34</v>
      </c>
      <c r="C58" s="15" t="n">
        <f aca="false">COUNTIFS(Responses!$C$2:$C$315,A58,Quality_Checks!$I$2:$I$315,0)</f>
        <v>2</v>
      </c>
      <c r="D58" s="16" t="n">
        <f aca="false">IFERROR(C58/B58,0)</f>
        <v>0.0588235294117647</v>
      </c>
      <c r="E58" s="23" t="n">
        <f aca="false">AVERAGEIFS(Responses!$Q$2:$Q$315,Responses!$C$2:$C$315,A58)</f>
        <v>13.1411764705882</v>
      </c>
      <c r="F58" s="15" t="n">
        <f aca="false">COUNTIFS(Responses!$C$2:$C$315,A58,Quality_Checks!$E$2:$E$315,1)</f>
        <v>1</v>
      </c>
    </row>
    <row r="59" customFormat="false" ht="15" hidden="false" customHeight="false" outlineLevel="0" collapsed="false">
      <c r="A59" s="14" t="s">
        <v>98</v>
      </c>
      <c r="B59" s="15" t="n">
        <f aca="false">COUNTIF(Responses!$C$2:$C$315,A59)</f>
        <v>45</v>
      </c>
      <c r="C59" s="15" t="n">
        <f aca="false">COUNTIFS(Responses!$C$2:$C$315,A59,Quality_Checks!$I$2:$I$315,0)</f>
        <v>20</v>
      </c>
      <c r="D59" s="16" t="n">
        <f aca="false">IFERROR(C59/B59,0)</f>
        <v>0.444444444444444</v>
      </c>
      <c r="E59" s="23" t="n">
        <f aca="false">AVERAGEIFS(Responses!$Q$2:$Q$315,Responses!$C$2:$C$315,A59)</f>
        <v>6.82888888888889</v>
      </c>
      <c r="F59" s="15" t="n">
        <f aca="false">COUNTIFS(Responses!$C$2:$C$315,A59,Quality_Checks!$E$2:$E$315,1)</f>
        <v>17</v>
      </c>
    </row>
    <row r="60" customFormat="false" ht="15" hidden="false" customHeight="false" outlineLevel="0" collapsed="false">
      <c r="A60" s="14" t="s">
        <v>99</v>
      </c>
      <c r="B60" s="15" t="n">
        <f aca="false">COUNTIF(Responses!$C$2:$C$315,A60)</f>
        <v>41</v>
      </c>
      <c r="C60" s="15" t="n">
        <f aca="false">COUNTIFS(Responses!$C$2:$C$315,A60,Quality_Checks!$I$2:$I$315,0)</f>
        <v>1</v>
      </c>
      <c r="D60" s="16" t="n">
        <f aca="false">IFERROR(C60/B60,0)</f>
        <v>0.024390243902439</v>
      </c>
      <c r="E60" s="23" t="n">
        <f aca="false">AVERAGEIFS(Responses!$Q$2:$Q$315,Responses!$C$2:$C$315,A60)</f>
        <v>14.8390243902439</v>
      </c>
      <c r="F60" s="15" t="n">
        <f aca="false">COUNTIFS(Responses!$C$2:$C$315,A60,Quality_Checks!$E$2:$E$315,1)</f>
        <v>0</v>
      </c>
    </row>
    <row r="61" customFormat="false" ht="15" hidden="false" customHeight="false" outlineLevel="0" collapsed="false">
      <c r="A61" s="14" t="s">
        <v>100</v>
      </c>
      <c r="B61" s="15" t="n">
        <f aca="false">COUNTIF(Responses!$C$2:$C$315,A61)</f>
        <v>40</v>
      </c>
      <c r="C61" s="15" t="n">
        <f aca="false">COUNTIFS(Responses!$C$2:$C$315,A61,Quality_Checks!$I$2:$I$315,0)</f>
        <v>1</v>
      </c>
      <c r="D61" s="16" t="n">
        <f aca="false">IFERROR(C61/B61,0)</f>
        <v>0.025</v>
      </c>
      <c r="E61" s="23" t="n">
        <f aca="false">AVERAGEIFS(Responses!$Q$2:$Q$315,Responses!$C$2:$C$315,A61)</f>
        <v>14.3575</v>
      </c>
      <c r="F61" s="15" t="n">
        <f aca="false">COUNTIFS(Responses!$C$2:$C$315,A61,Quality_Checks!$E$2:$E$315,1)</f>
        <v>0</v>
      </c>
    </row>
    <row r="63" customFormat="false" ht="18" hidden="false" customHeight="true" outlineLevel="0" collapsed="false">
      <c r="A63" s="11" t="s">
        <v>101</v>
      </c>
      <c r="B63" s="6"/>
      <c r="C63" s="6"/>
      <c r="D63" s="6"/>
      <c r="E63" s="6"/>
      <c r="F63" s="6"/>
      <c r="G63" s="6"/>
      <c r="H63" s="6"/>
      <c r="I63" s="6"/>
      <c r="J63" s="6"/>
      <c r="K63" s="6"/>
      <c r="L63" s="6"/>
    </row>
    <row r="64" customFormat="false" ht="21.75" hidden="false" customHeight="true" outlineLevel="0" collapsed="false">
      <c r="A64" s="13" t="s">
        <v>102</v>
      </c>
      <c r="B64" s="13" t="s">
        <v>103</v>
      </c>
      <c r="C64" s="13" t="s">
        <v>104</v>
      </c>
      <c r="D64" s="13"/>
      <c r="E64" s="13"/>
      <c r="F64" s="13"/>
      <c r="G64" s="13"/>
      <c r="H64" s="13"/>
      <c r="I64" s="13"/>
    </row>
    <row r="65" customFormat="false" ht="15" hidden="false" customHeight="false" outlineLevel="0" collapsed="false">
      <c r="A65" s="14" t="s">
        <v>105</v>
      </c>
      <c r="B65" s="15" t="n">
        <f aca="false">SUM(Quality_Checks!$B$2:$B$315)</f>
        <v>6</v>
      </c>
      <c r="C65" s="24" t="s">
        <v>106</v>
      </c>
      <c r="D65" s="24"/>
      <c r="E65" s="24"/>
      <c r="F65" s="24"/>
      <c r="G65" s="24"/>
      <c r="H65" s="24"/>
      <c r="I65" s="24"/>
    </row>
    <row r="66" customFormat="false" ht="15" hidden="false" customHeight="false" outlineLevel="0" collapsed="false">
      <c r="A66" s="14" t="s">
        <v>107</v>
      </c>
      <c r="B66" s="15" t="n">
        <f aca="false">SUM(Quality_Checks!$C$2:$C$315)</f>
        <v>5</v>
      </c>
      <c r="C66" s="24" t="s">
        <v>108</v>
      </c>
      <c r="D66" s="24"/>
      <c r="E66" s="24"/>
      <c r="F66" s="24"/>
      <c r="G66" s="24"/>
      <c r="H66" s="24"/>
      <c r="I66" s="24"/>
    </row>
    <row r="67" customFormat="false" ht="15" hidden="false" customHeight="false" outlineLevel="0" collapsed="false">
      <c r="A67" s="14" t="s">
        <v>109</v>
      </c>
      <c r="B67" s="15" t="n">
        <f aca="false">SUM(Quality_Checks!$D$2:$D$315)</f>
        <v>2</v>
      </c>
      <c r="C67" s="24" t="s">
        <v>110</v>
      </c>
      <c r="D67" s="24"/>
      <c r="E67" s="24"/>
      <c r="F67" s="24"/>
      <c r="G67" s="24"/>
      <c r="H67" s="24"/>
      <c r="I67" s="24"/>
    </row>
    <row r="68" customFormat="false" ht="15" hidden="false" customHeight="false" outlineLevel="0" collapsed="false">
      <c r="A68" s="14" t="s">
        <v>111</v>
      </c>
      <c r="B68" s="15" t="n">
        <f aca="false">SUM(Quality_Checks!$E$2:$E$315)</f>
        <v>18</v>
      </c>
      <c r="C68" s="24" t="s">
        <v>112</v>
      </c>
      <c r="D68" s="24"/>
      <c r="E68" s="24"/>
      <c r="F68" s="24"/>
      <c r="G68" s="24"/>
      <c r="H68" s="24"/>
      <c r="I68" s="24"/>
    </row>
    <row r="69" customFormat="false" ht="15" hidden="false" customHeight="false" outlineLevel="0" collapsed="false">
      <c r="A69" s="14" t="s">
        <v>113</v>
      </c>
      <c r="B69" s="15" t="n">
        <f aca="false">SUM(Quality_Checks!$F$2:$F$315)</f>
        <v>4</v>
      </c>
      <c r="C69" s="24" t="s">
        <v>114</v>
      </c>
      <c r="D69" s="24"/>
      <c r="E69" s="24"/>
      <c r="F69" s="24"/>
      <c r="G69" s="24"/>
      <c r="H69" s="24"/>
      <c r="I69" s="24"/>
    </row>
  </sheetData>
  <mergeCells count="25">
    <mergeCell ref="A4:B4"/>
    <mergeCell ref="C4:D4"/>
    <mergeCell ref="E4:F4"/>
    <mergeCell ref="G4:H4"/>
    <mergeCell ref="I4:J4"/>
    <mergeCell ref="K4:L4"/>
    <mergeCell ref="A5:B5"/>
    <mergeCell ref="C5:D5"/>
    <mergeCell ref="E5:F5"/>
    <mergeCell ref="G5:H5"/>
    <mergeCell ref="I5:J5"/>
    <mergeCell ref="K5:L5"/>
    <mergeCell ref="A8:L8"/>
    <mergeCell ref="A9:L9"/>
    <mergeCell ref="A10:L10"/>
    <mergeCell ref="A11:L11"/>
    <mergeCell ref="A12:L12"/>
    <mergeCell ref="A13:L13"/>
    <mergeCell ref="A14:L14"/>
    <mergeCell ref="C64:I64"/>
    <mergeCell ref="C65:I65"/>
    <mergeCell ref="C66:I66"/>
    <mergeCell ref="C67:I67"/>
    <mergeCell ref="C68:I68"/>
    <mergeCell ref="C69:I69"/>
  </mergeCells>
  <conditionalFormatting sqref="D55:D61">
    <cfRule type="expression" priority="2" aboveAverage="0" equalAverage="0" bottom="0" percent="0" rank="0" text="" dxfId="0">
      <formula>D55&gt;Assumptions!$B$7</formula>
    </cfRule>
  </conditionalFormatting>
  <conditionalFormatting sqref="E55:E61">
    <cfRule type="expression" priority="3" aboveAverage="0" equalAverage="0" bottom="0" percent="0" rank="0" text="" dxfId="1">
      <formula>E55&lt;Assumptions!$B$6</formula>
    </cfRule>
  </conditionalFormatting>
  <printOptions headings="false" gridLines="false" gridLinesSet="true" horizontalCentered="false" verticalCentered="false"/>
  <pageMargins left="0.3" right="0.3" top="0.3" bottom="0.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90"/>
  </cols>
  <sheetData>
    <row r="1" customFormat="false" ht="19.7" hidden="false" customHeight="false" outlineLevel="0" collapsed="false">
      <c r="A1" s="1" t="s">
        <v>115</v>
      </c>
    </row>
    <row r="2" customFormat="false" ht="15" hidden="false" customHeight="false" outlineLevel="0" collapsed="false">
      <c r="A2" s="7" t="s">
        <v>116</v>
      </c>
    </row>
    <row r="3" customFormat="false" ht="15" hidden="false" customHeight="false" outlineLevel="0" collapsed="false">
      <c r="A3" s="13" t="s">
        <v>117</v>
      </c>
      <c r="B3" s="13" t="s">
        <v>118</v>
      </c>
      <c r="C3" s="13" t="s">
        <v>119</v>
      </c>
    </row>
    <row r="4" customFormat="false" ht="15" hidden="false" customHeight="false" outlineLevel="0" collapsed="false">
      <c r="A4" s="14" t="s">
        <v>120</v>
      </c>
      <c r="B4" s="25" t="n">
        <v>18</v>
      </c>
      <c r="C4" s="26" t="s">
        <v>121</v>
      </c>
    </row>
    <row r="5" customFormat="false" ht="15" hidden="false" customHeight="false" outlineLevel="0" collapsed="false">
      <c r="A5" s="14" t="s">
        <v>122</v>
      </c>
      <c r="B5" s="25" t="n">
        <v>80</v>
      </c>
      <c r="C5" s="26" t="s">
        <v>123</v>
      </c>
    </row>
    <row r="6" customFormat="false" ht="15" hidden="false" customHeight="false" outlineLevel="0" collapsed="false">
      <c r="A6" s="14" t="s">
        <v>124</v>
      </c>
      <c r="B6" s="25" t="n">
        <v>6</v>
      </c>
      <c r="C6" s="26" t="s">
        <v>125</v>
      </c>
    </row>
    <row r="7" customFormat="false" ht="15" hidden="false" customHeight="false" outlineLevel="0" collapsed="false">
      <c r="A7" s="14" t="s">
        <v>126</v>
      </c>
      <c r="B7" s="27" t="n">
        <v>0.1</v>
      </c>
      <c r="C7" s="26" t="s">
        <v>127</v>
      </c>
    </row>
    <row r="8" customFormat="false" ht="15" hidden="false" customHeight="false" outlineLevel="0" collapsed="false">
      <c r="A8" s="14" t="s">
        <v>128</v>
      </c>
      <c r="B8" s="28" t="n">
        <v>90</v>
      </c>
      <c r="C8" s="26" t="s">
        <v>129</v>
      </c>
    </row>
    <row r="9" customFormat="false" ht="15" hidden="false" customHeight="false" outlineLevel="0" collapsed="false">
      <c r="A9" s="14" t="s">
        <v>130</v>
      </c>
      <c r="B9" s="28" t="n">
        <v>70</v>
      </c>
      <c r="C9" s="26" t="s">
        <v>129</v>
      </c>
    </row>
    <row r="10" customFormat="false" ht="15" hidden="false" customHeight="false" outlineLevel="0" collapsed="false">
      <c r="A10" s="14" t="s">
        <v>131</v>
      </c>
      <c r="B10" s="28" t="n">
        <v>80</v>
      </c>
      <c r="C10" s="26" t="s">
        <v>129</v>
      </c>
    </row>
    <row r="11" customFormat="false" ht="15" hidden="false" customHeight="false" outlineLevel="0" collapsed="false">
      <c r="A11" s="14" t="s">
        <v>132</v>
      </c>
      <c r="B11" s="28" t="n">
        <v>80</v>
      </c>
      <c r="C11" s="26" t="s">
        <v>129</v>
      </c>
    </row>
    <row r="12" customFormat="false" ht="15" hidden="false" customHeight="false" outlineLevel="0" collapsed="false">
      <c r="A12" s="14" t="s">
        <v>133</v>
      </c>
      <c r="B12" s="15" t="n">
        <f aca="false">SUM(B8:B11)</f>
        <v>320</v>
      </c>
      <c r="C12" s="26"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4" min="3" style="0" width="12"/>
    <col collapsed="false" customWidth="true" hidden="false" outlineLevel="0" max="5" min="5" style="0" width="10"/>
    <col collapsed="false" customWidth="true" hidden="false" outlineLevel="0" max="6" min="6" style="0" width="13"/>
    <col collapsed="false" customWidth="true" hidden="false" outlineLevel="0" max="7" min="7" style="0" width="8"/>
    <col collapsed="false" customWidth="true" hidden="false" outlineLevel="0" max="8" min="8" style="0" width="10"/>
    <col collapsed="false" customWidth="true" hidden="false" outlineLevel="0" max="9" min="9" style="0" width="8"/>
  </cols>
  <sheetData>
    <row r="1" customFormat="false" ht="27.75" hidden="false" customHeight="true" outlineLevel="0" collapsed="false">
      <c r="A1" s="29" t="s">
        <v>135</v>
      </c>
      <c r="B1" s="29" t="s">
        <v>136</v>
      </c>
      <c r="C1" s="29" t="s">
        <v>107</v>
      </c>
      <c r="D1" s="29" t="s">
        <v>109</v>
      </c>
      <c r="E1" s="29" t="s">
        <v>137</v>
      </c>
      <c r="F1" s="29" t="s">
        <v>113</v>
      </c>
      <c r="G1" s="29" t="s">
        <v>138</v>
      </c>
      <c r="H1" s="29" t="s">
        <v>139</v>
      </c>
      <c r="I1" s="29" t="s">
        <v>140</v>
      </c>
    </row>
    <row r="2" customFormat="false" ht="15" hidden="false" customHeight="false" outlineLevel="0" collapsed="false">
      <c r="A2" s="30" t="str">
        <f aca="false">Responses!A2</f>
        <v>S0008</v>
      </c>
      <c r="B2" s="30" t="n">
        <f aca="false">IF(COUNTIF(Responses!$A$2:A2,Responses!A2)&gt;1,1,0)</f>
        <v>0</v>
      </c>
      <c r="C2" s="30" t="n">
        <f aca="false">IF(OR(Responses!D2="",Responses!E2="",Responses!J2="",Responses!K2="",Responses!I2=""),1,0)</f>
        <v>0</v>
      </c>
      <c r="D2" s="30" t="n">
        <f aca="false">IF(Responses!I2="",0,IF(OR(Responses!I2&lt;Assumptions!$B$4,Responses!I2&gt;Assumptions!$B$5),1,0))</f>
        <v>0</v>
      </c>
      <c r="E2" s="30" t="n">
        <f aca="false">IF(Responses!Q2&lt;Assumptions!$B$6,1,0)</f>
        <v>0</v>
      </c>
      <c r="F2" s="30" t="n">
        <f aca="false">IF(OR(AND(Responses!K2="No",Responses!L2&lt;&gt;""),AND(Responses!K2="Yes",Responses!L2="")),1,0)</f>
        <v>0</v>
      </c>
      <c r="G2" s="30" t="n">
        <f aca="false">SUM(B2:F2)</f>
        <v>0</v>
      </c>
      <c r="H2" s="30" t="str">
        <f aca="false">IF(G2=0,"Valid","Review")</f>
        <v>Valid</v>
      </c>
      <c r="I2" s="30" t="n">
        <f aca="false">IF(G2=0,1,0)</f>
        <v>1</v>
      </c>
    </row>
    <row r="3" customFormat="false" ht="15" hidden="false" customHeight="false" outlineLevel="0" collapsed="false">
      <c r="A3" s="30" t="str">
        <f aca="false">Responses!A3</f>
        <v>S0027</v>
      </c>
      <c r="B3" s="30" t="n">
        <f aca="false">IF(COUNTIF(Responses!$A$2:A3,Responses!A3)&gt;1,1,0)</f>
        <v>0</v>
      </c>
      <c r="C3" s="30" t="n">
        <f aca="false">IF(OR(Responses!D3="",Responses!E3="",Responses!J3="",Responses!K3="",Responses!I3=""),1,0)</f>
        <v>0</v>
      </c>
      <c r="D3" s="30" t="n">
        <f aca="false">IF(Responses!I3="",0,IF(OR(Responses!I3&lt;Assumptions!$B$4,Responses!I3&gt;Assumptions!$B$5),1,0))</f>
        <v>0</v>
      </c>
      <c r="E3" s="30" t="n">
        <f aca="false">IF(Responses!Q3&lt;Assumptions!$B$6,1,0)</f>
        <v>0</v>
      </c>
      <c r="F3" s="30" t="n">
        <f aca="false">IF(OR(AND(Responses!K3="No",Responses!L3&lt;&gt;""),AND(Responses!K3="Yes",Responses!L3="")),1,0)</f>
        <v>0</v>
      </c>
      <c r="G3" s="30" t="n">
        <f aca="false">SUM(B3:F3)</f>
        <v>0</v>
      </c>
      <c r="H3" s="30" t="str">
        <f aca="false">IF(G3=0,"Valid","Review")</f>
        <v>Valid</v>
      </c>
      <c r="I3" s="30" t="n">
        <f aca="false">IF(G3=0,1,0)</f>
        <v>1</v>
      </c>
    </row>
    <row r="4" customFormat="false" ht="15" hidden="false" customHeight="false" outlineLevel="0" collapsed="false">
      <c r="A4" s="30" t="str">
        <f aca="false">Responses!A4</f>
        <v>S0038</v>
      </c>
      <c r="B4" s="30" t="n">
        <f aca="false">IF(COUNTIF(Responses!$A$2:A4,Responses!A4)&gt;1,1,0)</f>
        <v>0</v>
      </c>
      <c r="C4" s="30" t="n">
        <f aca="false">IF(OR(Responses!D4="",Responses!E4="",Responses!J4="",Responses!K4="",Responses!I4=""),1,0)</f>
        <v>0</v>
      </c>
      <c r="D4" s="30" t="n">
        <f aca="false">IF(Responses!I4="",0,IF(OR(Responses!I4&lt;Assumptions!$B$4,Responses!I4&gt;Assumptions!$B$5),1,0))</f>
        <v>0</v>
      </c>
      <c r="E4" s="30" t="n">
        <f aca="false">IF(Responses!Q4&lt;Assumptions!$B$6,1,0)</f>
        <v>0</v>
      </c>
      <c r="F4" s="30" t="n">
        <f aca="false">IF(OR(AND(Responses!K4="No",Responses!L4&lt;&gt;""),AND(Responses!K4="Yes",Responses!L4="")),1,0)</f>
        <v>0</v>
      </c>
      <c r="G4" s="30" t="n">
        <f aca="false">SUM(B4:F4)</f>
        <v>0</v>
      </c>
      <c r="H4" s="30" t="str">
        <f aca="false">IF(G4=0,"Valid","Review")</f>
        <v>Valid</v>
      </c>
      <c r="I4" s="30" t="n">
        <f aca="false">IF(G4=0,1,0)</f>
        <v>1</v>
      </c>
    </row>
    <row r="5" customFormat="false" ht="15" hidden="false" customHeight="false" outlineLevel="0" collapsed="false">
      <c r="A5" s="30" t="str">
        <f aca="false">Responses!A5</f>
        <v>S0062</v>
      </c>
      <c r="B5" s="30" t="n">
        <f aca="false">IF(COUNTIF(Responses!$A$2:A5,Responses!A5)&gt;1,1,0)</f>
        <v>0</v>
      </c>
      <c r="C5" s="30" t="n">
        <f aca="false">IF(OR(Responses!D5="",Responses!E5="",Responses!J5="",Responses!K5="",Responses!I5=""),1,0)</f>
        <v>0</v>
      </c>
      <c r="D5" s="30" t="n">
        <f aca="false">IF(Responses!I5="",0,IF(OR(Responses!I5&lt;Assumptions!$B$4,Responses!I5&gt;Assumptions!$B$5),1,0))</f>
        <v>0</v>
      </c>
      <c r="E5" s="30" t="n">
        <f aca="false">IF(Responses!Q5&lt;Assumptions!$B$6,1,0)</f>
        <v>0</v>
      </c>
      <c r="F5" s="30" t="n">
        <f aca="false">IF(OR(AND(Responses!K5="No",Responses!L5&lt;&gt;""),AND(Responses!K5="Yes",Responses!L5="")),1,0)</f>
        <v>0</v>
      </c>
      <c r="G5" s="30" t="n">
        <f aca="false">SUM(B5:F5)</f>
        <v>0</v>
      </c>
      <c r="H5" s="30" t="str">
        <f aca="false">IF(G5=0,"Valid","Review")</f>
        <v>Valid</v>
      </c>
      <c r="I5" s="30" t="n">
        <f aca="false">IF(G5=0,1,0)</f>
        <v>1</v>
      </c>
    </row>
    <row r="6" customFormat="false" ht="15" hidden="false" customHeight="false" outlineLevel="0" collapsed="false">
      <c r="A6" s="30" t="str">
        <f aca="false">Responses!A6</f>
        <v>S0073</v>
      </c>
      <c r="B6" s="30" t="n">
        <f aca="false">IF(COUNTIF(Responses!$A$2:A6,Responses!A6)&gt;1,1,0)</f>
        <v>0</v>
      </c>
      <c r="C6" s="30" t="n">
        <f aca="false">IF(OR(Responses!D6="",Responses!E6="",Responses!J6="",Responses!K6="",Responses!I6=""),1,0)</f>
        <v>0</v>
      </c>
      <c r="D6" s="30" t="n">
        <f aca="false">IF(Responses!I6="",0,IF(OR(Responses!I6&lt;Assumptions!$B$4,Responses!I6&gt;Assumptions!$B$5),1,0))</f>
        <v>0</v>
      </c>
      <c r="E6" s="30" t="n">
        <f aca="false">IF(Responses!Q6&lt;Assumptions!$B$6,1,0)</f>
        <v>0</v>
      </c>
      <c r="F6" s="30" t="n">
        <f aca="false">IF(OR(AND(Responses!K6="No",Responses!L6&lt;&gt;""),AND(Responses!K6="Yes",Responses!L6="")),1,0)</f>
        <v>0</v>
      </c>
      <c r="G6" s="30" t="n">
        <f aca="false">SUM(B6:F6)</f>
        <v>0</v>
      </c>
      <c r="H6" s="30" t="str">
        <f aca="false">IF(G6=0,"Valid","Review")</f>
        <v>Valid</v>
      </c>
      <c r="I6" s="30" t="n">
        <f aca="false">IF(G6=0,1,0)</f>
        <v>1</v>
      </c>
    </row>
    <row r="7" customFormat="false" ht="15" hidden="false" customHeight="false" outlineLevel="0" collapsed="false">
      <c r="A7" s="30" t="str">
        <f aca="false">Responses!A7</f>
        <v>S0074</v>
      </c>
      <c r="B7" s="30" t="n">
        <f aca="false">IF(COUNTIF(Responses!$A$2:A7,Responses!A7)&gt;1,1,0)</f>
        <v>0</v>
      </c>
      <c r="C7" s="30" t="n">
        <f aca="false">IF(OR(Responses!D7="",Responses!E7="",Responses!J7="",Responses!K7="",Responses!I7=""),1,0)</f>
        <v>0</v>
      </c>
      <c r="D7" s="30" t="n">
        <f aca="false">IF(Responses!I7="",0,IF(OR(Responses!I7&lt;Assumptions!$B$4,Responses!I7&gt;Assumptions!$B$5),1,0))</f>
        <v>0</v>
      </c>
      <c r="E7" s="30" t="n">
        <f aca="false">IF(Responses!Q7&lt;Assumptions!$B$6,1,0)</f>
        <v>0</v>
      </c>
      <c r="F7" s="30" t="n">
        <f aca="false">IF(OR(AND(Responses!K7="No",Responses!L7&lt;&gt;""),AND(Responses!K7="Yes",Responses!L7="")),1,0)</f>
        <v>0</v>
      </c>
      <c r="G7" s="30" t="n">
        <f aca="false">SUM(B7:F7)</f>
        <v>0</v>
      </c>
      <c r="H7" s="30" t="str">
        <f aca="false">IF(G7=0,"Valid","Review")</f>
        <v>Valid</v>
      </c>
      <c r="I7" s="30" t="n">
        <f aca="false">IF(G7=0,1,0)</f>
        <v>1</v>
      </c>
    </row>
    <row r="8" customFormat="false" ht="15" hidden="false" customHeight="false" outlineLevel="0" collapsed="false">
      <c r="A8" s="30" t="str">
        <f aca="false">Responses!A8</f>
        <v>S0078</v>
      </c>
      <c r="B8" s="30" t="n">
        <f aca="false">IF(COUNTIF(Responses!$A$2:A8,Responses!A8)&gt;1,1,0)</f>
        <v>0</v>
      </c>
      <c r="C8" s="30" t="n">
        <f aca="false">IF(OR(Responses!D8="",Responses!E8="",Responses!J8="",Responses!K8="",Responses!I8=""),1,0)</f>
        <v>0</v>
      </c>
      <c r="D8" s="30" t="n">
        <f aca="false">IF(Responses!I8="",0,IF(OR(Responses!I8&lt;Assumptions!$B$4,Responses!I8&gt;Assumptions!$B$5),1,0))</f>
        <v>0</v>
      </c>
      <c r="E8" s="30" t="n">
        <f aca="false">IF(Responses!Q8&lt;Assumptions!$B$6,1,0)</f>
        <v>0</v>
      </c>
      <c r="F8" s="30" t="n">
        <f aca="false">IF(OR(AND(Responses!K8="No",Responses!L8&lt;&gt;""),AND(Responses!K8="Yes",Responses!L8="")),1,0)</f>
        <v>0</v>
      </c>
      <c r="G8" s="30" t="n">
        <f aca="false">SUM(B8:F8)</f>
        <v>0</v>
      </c>
      <c r="H8" s="30" t="str">
        <f aca="false">IF(G8=0,"Valid","Review")</f>
        <v>Valid</v>
      </c>
      <c r="I8" s="30" t="n">
        <f aca="false">IF(G8=0,1,0)</f>
        <v>1</v>
      </c>
    </row>
    <row r="9" customFormat="false" ht="15" hidden="false" customHeight="false" outlineLevel="0" collapsed="false">
      <c r="A9" s="30" t="str">
        <f aca="false">Responses!A9</f>
        <v>S0124</v>
      </c>
      <c r="B9" s="30" t="n">
        <f aca="false">IF(COUNTIF(Responses!$A$2:A9,Responses!A9)&gt;1,1,0)</f>
        <v>0</v>
      </c>
      <c r="C9" s="30" t="n">
        <f aca="false">IF(OR(Responses!D9="",Responses!E9="",Responses!J9="",Responses!K9="",Responses!I9=""),1,0)</f>
        <v>0</v>
      </c>
      <c r="D9" s="30" t="n">
        <f aca="false">IF(Responses!I9="",0,IF(OR(Responses!I9&lt;Assumptions!$B$4,Responses!I9&gt;Assumptions!$B$5),1,0))</f>
        <v>0</v>
      </c>
      <c r="E9" s="30" t="n">
        <f aca="false">IF(Responses!Q9&lt;Assumptions!$B$6,1,0)</f>
        <v>0</v>
      </c>
      <c r="F9" s="30" t="n">
        <f aca="false">IF(OR(AND(Responses!K9="No",Responses!L9&lt;&gt;""),AND(Responses!K9="Yes",Responses!L9="")),1,0)</f>
        <v>0</v>
      </c>
      <c r="G9" s="30" t="n">
        <f aca="false">SUM(B9:F9)</f>
        <v>0</v>
      </c>
      <c r="H9" s="30" t="str">
        <f aca="false">IF(G9=0,"Valid","Review")</f>
        <v>Valid</v>
      </c>
      <c r="I9" s="30" t="n">
        <f aca="false">IF(G9=0,1,0)</f>
        <v>1</v>
      </c>
    </row>
    <row r="10" customFormat="false" ht="15" hidden="false" customHeight="false" outlineLevel="0" collapsed="false">
      <c r="A10" s="30" t="str">
        <f aca="false">Responses!A10</f>
        <v>S0125</v>
      </c>
      <c r="B10" s="30" t="n">
        <f aca="false">IF(COUNTIF(Responses!$A$2:A10,Responses!A10)&gt;1,1,0)</f>
        <v>0</v>
      </c>
      <c r="C10" s="30" t="n">
        <f aca="false">IF(OR(Responses!D10="",Responses!E10="",Responses!J10="",Responses!K10="",Responses!I10=""),1,0)</f>
        <v>0</v>
      </c>
      <c r="D10" s="30" t="n">
        <f aca="false">IF(Responses!I10="",0,IF(OR(Responses!I10&lt;Assumptions!$B$4,Responses!I10&gt;Assumptions!$B$5),1,0))</f>
        <v>0</v>
      </c>
      <c r="E10" s="30" t="n">
        <f aca="false">IF(Responses!Q10&lt;Assumptions!$B$6,1,0)</f>
        <v>0</v>
      </c>
      <c r="F10" s="30" t="n">
        <f aca="false">IF(OR(AND(Responses!K10="No",Responses!L10&lt;&gt;""),AND(Responses!K10="Yes",Responses!L10="")),1,0)</f>
        <v>0</v>
      </c>
      <c r="G10" s="30" t="n">
        <f aca="false">SUM(B10:F10)</f>
        <v>0</v>
      </c>
      <c r="H10" s="30" t="str">
        <f aca="false">IF(G10=0,"Valid","Review")</f>
        <v>Valid</v>
      </c>
      <c r="I10" s="30" t="n">
        <f aca="false">IF(G10=0,1,0)</f>
        <v>1</v>
      </c>
    </row>
    <row r="11" customFormat="false" ht="15" hidden="false" customHeight="false" outlineLevel="0" collapsed="false">
      <c r="A11" s="30" t="str">
        <f aca="false">Responses!A11</f>
        <v>S0127</v>
      </c>
      <c r="B11" s="30" t="n">
        <f aca="false">IF(COUNTIF(Responses!$A$2:A11,Responses!A11)&gt;1,1,0)</f>
        <v>0</v>
      </c>
      <c r="C11" s="30" t="n">
        <f aca="false">IF(OR(Responses!D11="",Responses!E11="",Responses!J11="",Responses!K11="",Responses!I11=""),1,0)</f>
        <v>0</v>
      </c>
      <c r="D11" s="30" t="n">
        <f aca="false">IF(Responses!I11="",0,IF(OR(Responses!I11&lt;Assumptions!$B$4,Responses!I11&gt;Assumptions!$B$5),1,0))</f>
        <v>0</v>
      </c>
      <c r="E11" s="30" t="n">
        <f aca="false">IF(Responses!Q11&lt;Assumptions!$B$6,1,0)</f>
        <v>0</v>
      </c>
      <c r="F11" s="30" t="n">
        <f aca="false">IF(OR(AND(Responses!K11="No",Responses!L11&lt;&gt;""),AND(Responses!K11="Yes",Responses!L11="")),1,0)</f>
        <v>0</v>
      </c>
      <c r="G11" s="30" t="n">
        <f aca="false">SUM(B11:F11)</f>
        <v>0</v>
      </c>
      <c r="H11" s="30" t="str">
        <f aca="false">IF(G11=0,"Valid","Review")</f>
        <v>Valid</v>
      </c>
      <c r="I11" s="30" t="n">
        <f aca="false">IF(G11=0,1,0)</f>
        <v>1</v>
      </c>
    </row>
    <row r="12" customFormat="false" ht="15" hidden="false" customHeight="false" outlineLevel="0" collapsed="false">
      <c r="A12" s="30" t="str">
        <f aca="false">Responses!A12</f>
        <v>S0218</v>
      </c>
      <c r="B12" s="30" t="n">
        <f aca="false">IF(COUNTIF(Responses!$A$2:A12,Responses!A12)&gt;1,1,0)</f>
        <v>0</v>
      </c>
      <c r="C12" s="30" t="n">
        <f aca="false">IF(OR(Responses!D12="",Responses!E12="",Responses!J12="",Responses!K12="",Responses!I12=""),1,0)</f>
        <v>0</v>
      </c>
      <c r="D12" s="30" t="n">
        <f aca="false">IF(Responses!I12="",0,IF(OR(Responses!I12&lt;Assumptions!$B$4,Responses!I12&gt;Assumptions!$B$5),1,0))</f>
        <v>0</v>
      </c>
      <c r="E12" s="30" t="n">
        <f aca="false">IF(Responses!Q12&lt;Assumptions!$B$6,1,0)</f>
        <v>1</v>
      </c>
      <c r="F12" s="30" t="n">
        <f aca="false">IF(OR(AND(Responses!K12="No",Responses!L12&lt;&gt;""),AND(Responses!K12="Yes",Responses!L12="")),1,0)</f>
        <v>0</v>
      </c>
      <c r="G12" s="30" t="n">
        <f aca="false">SUM(B12:F12)</f>
        <v>1</v>
      </c>
      <c r="H12" s="30" t="str">
        <f aca="false">IF(G12=0,"Valid","Review")</f>
        <v>Review</v>
      </c>
      <c r="I12" s="30" t="n">
        <f aca="false">IF(G12=0,1,0)</f>
        <v>0</v>
      </c>
    </row>
    <row r="13" customFormat="false" ht="15" hidden="false" customHeight="false" outlineLevel="0" collapsed="false">
      <c r="A13" s="30" t="str">
        <f aca="false">Responses!A13</f>
        <v>S0254</v>
      </c>
      <c r="B13" s="30" t="n">
        <f aca="false">IF(COUNTIF(Responses!$A$2:A13,Responses!A13)&gt;1,1,0)</f>
        <v>0</v>
      </c>
      <c r="C13" s="30" t="n">
        <f aca="false">IF(OR(Responses!D13="",Responses!E13="",Responses!J13="",Responses!K13="",Responses!I13=""),1,0)</f>
        <v>0</v>
      </c>
      <c r="D13" s="30" t="n">
        <f aca="false">IF(Responses!I13="",0,IF(OR(Responses!I13&lt;Assumptions!$B$4,Responses!I13&gt;Assumptions!$B$5),1,0))</f>
        <v>0</v>
      </c>
      <c r="E13" s="30" t="n">
        <f aca="false">IF(Responses!Q13&lt;Assumptions!$B$6,1,0)</f>
        <v>0</v>
      </c>
      <c r="F13" s="30" t="n">
        <f aca="false">IF(OR(AND(Responses!K13="No",Responses!L13&lt;&gt;""),AND(Responses!K13="Yes",Responses!L13="")),1,0)</f>
        <v>0</v>
      </c>
      <c r="G13" s="30" t="n">
        <f aca="false">SUM(B13:F13)</f>
        <v>0</v>
      </c>
      <c r="H13" s="30" t="str">
        <f aca="false">IF(G13=0,"Valid","Review")</f>
        <v>Valid</v>
      </c>
      <c r="I13" s="30" t="n">
        <f aca="false">IF(G13=0,1,0)</f>
        <v>1</v>
      </c>
    </row>
    <row r="14" customFormat="false" ht="15" hidden="false" customHeight="false" outlineLevel="0" collapsed="false">
      <c r="A14" s="30" t="str">
        <f aca="false">Responses!A14</f>
        <v>S0259</v>
      </c>
      <c r="B14" s="30" t="n">
        <f aca="false">IF(COUNTIF(Responses!$A$2:A14,Responses!A14)&gt;1,1,0)</f>
        <v>0</v>
      </c>
      <c r="C14" s="30" t="n">
        <f aca="false">IF(OR(Responses!D14="",Responses!E14="",Responses!J14="",Responses!K14="",Responses!I14=""),1,0)</f>
        <v>0</v>
      </c>
      <c r="D14" s="30" t="n">
        <f aca="false">IF(Responses!I14="",0,IF(OR(Responses!I14&lt;Assumptions!$B$4,Responses!I14&gt;Assumptions!$B$5),1,0))</f>
        <v>0</v>
      </c>
      <c r="E14" s="30" t="n">
        <f aca="false">IF(Responses!Q14&lt;Assumptions!$B$6,1,0)</f>
        <v>0</v>
      </c>
      <c r="F14" s="30" t="n">
        <f aca="false">IF(OR(AND(Responses!K14="No",Responses!L14&lt;&gt;""),AND(Responses!K14="Yes",Responses!L14="")),1,0)</f>
        <v>0</v>
      </c>
      <c r="G14" s="30" t="n">
        <f aca="false">SUM(B14:F14)</f>
        <v>0</v>
      </c>
      <c r="H14" s="30" t="str">
        <f aca="false">IF(G14=0,"Valid","Review")</f>
        <v>Valid</v>
      </c>
      <c r="I14" s="30" t="n">
        <f aca="false">IF(G14=0,1,0)</f>
        <v>1</v>
      </c>
    </row>
    <row r="15" customFormat="false" ht="15" hidden="false" customHeight="false" outlineLevel="0" collapsed="false">
      <c r="A15" s="30" t="str">
        <f aca="false">Responses!A15</f>
        <v>S0268</v>
      </c>
      <c r="B15" s="30" t="n">
        <f aca="false">IF(COUNTIF(Responses!$A$2:A15,Responses!A15)&gt;1,1,0)</f>
        <v>0</v>
      </c>
      <c r="C15" s="30" t="n">
        <f aca="false">IF(OR(Responses!D15="",Responses!E15="",Responses!J15="",Responses!K15="",Responses!I15=""),1,0)</f>
        <v>0</v>
      </c>
      <c r="D15" s="30" t="n">
        <f aca="false">IF(Responses!I15="",0,IF(OR(Responses!I15&lt;Assumptions!$B$4,Responses!I15&gt;Assumptions!$B$5),1,0))</f>
        <v>0</v>
      </c>
      <c r="E15" s="30" t="n">
        <f aca="false">IF(Responses!Q15&lt;Assumptions!$B$6,1,0)</f>
        <v>0</v>
      </c>
      <c r="F15" s="30" t="n">
        <f aca="false">IF(OR(AND(Responses!K15="No",Responses!L15&lt;&gt;""),AND(Responses!K15="Yes",Responses!L15="")),1,0)</f>
        <v>0</v>
      </c>
      <c r="G15" s="30" t="n">
        <f aca="false">SUM(B15:F15)</f>
        <v>0</v>
      </c>
      <c r="H15" s="30" t="str">
        <f aca="false">IF(G15=0,"Valid","Review")</f>
        <v>Valid</v>
      </c>
      <c r="I15" s="30" t="n">
        <f aca="false">IF(G15=0,1,0)</f>
        <v>1</v>
      </c>
    </row>
    <row r="16" customFormat="false" ht="15" hidden="false" customHeight="false" outlineLevel="0" collapsed="false">
      <c r="A16" s="30" t="str">
        <f aca="false">Responses!A16</f>
        <v>S0015</v>
      </c>
      <c r="B16" s="30" t="n">
        <f aca="false">IF(COUNTIF(Responses!$A$2:A16,Responses!A16)&gt;1,1,0)</f>
        <v>0</v>
      </c>
      <c r="C16" s="30" t="n">
        <f aca="false">IF(OR(Responses!D16="",Responses!E16="",Responses!J16="",Responses!K16="",Responses!I16=""),1,0)</f>
        <v>0</v>
      </c>
      <c r="D16" s="30" t="n">
        <f aca="false">IF(Responses!I16="",0,IF(OR(Responses!I16&lt;Assumptions!$B$4,Responses!I16&gt;Assumptions!$B$5),1,0))</f>
        <v>0</v>
      </c>
      <c r="E16" s="30" t="n">
        <f aca="false">IF(Responses!Q16&lt;Assumptions!$B$6,1,0)</f>
        <v>0</v>
      </c>
      <c r="F16" s="30" t="n">
        <f aca="false">IF(OR(AND(Responses!K16="No",Responses!L16&lt;&gt;""),AND(Responses!K16="Yes",Responses!L16="")),1,0)</f>
        <v>0</v>
      </c>
      <c r="G16" s="30" t="n">
        <f aca="false">SUM(B16:F16)</f>
        <v>0</v>
      </c>
      <c r="H16" s="30" t="str">
        <f aca="false">IF(G16=0,"Valid","Review")</f>
        <v>Valid</v>
      </c>
      <c r="I16" s="30" t="n">
        <f aca="false">IF(G16=0,1,0)</f>
        <v>1</v>
      </c>
    </row>
    <row r="17" customFormat="false" ht="15" hidden="false" customHeight="false" outlineLevel="0" collapsed="false">
      <c r="A17" s="30" t="str">
        <f aca="false">Responses!A17</f>
        <v>S0031</v>
      </c>
      <c r="B17" s="30" t="n">
        <f aca="false">IF(COUNTIF(Responses!$A$2:A17,Responses!A17)&gt;1,1,0)</f>
        <v>0</v>
      </c>
      <c r="C17" s="30" t="n">
        <f aca="false">IF(OR(Responses!D17="",Responses!E17="",Responses!J17="",Responses!K17="",Responses!I17=""),1,0)</f>
        <v>0</v>
      </c>
      <c r="D17" s="30" t="n">
        <f aca="false">IF(Responses!I17="",0,IF(OR(Responses!I17&lt;Assumptions!$B$4,Responses!I17&gt;Assumptions!$B$5),1,0))</f>
        <v>0</v>
      </c>
      <c r="E17" s="30" t="n">
        <f aca="false">IF(Responses!Q17&lt;Assumptions!$B$6,1,0)</f>
        <v>0</v>
      </c>
      <c r="F17" s="30" t="n">
        <f aca="false">IF(OR(AND(Responses!K17="No",Responses!L17&lt;&gt;""),AND(Responses!K17="Yes",Responses!L17="")),1,0)</f>
        <v>0</v>
      </c>
      <c r="G17" s="30" t="n">
        <f aca="false">SUM(B17:F17)</f>
        <v>0</v>
      </c>
      <c r="H17" s="30" t="str">
        <f aca="false">IF(G17=0,"Valid","Review")</f>
        <v>Valid</v>
      </c>
      <c r="I17" s="30" t="n">
        <f aca="false">IF(G17=0,1,0)</f>
        <v>1</v>
      </c>
    </row>
    <row r="18" customFormat="false" ht="15" hidden="false" customHeight="false" outlineLevel="0" collapsed="false">
      <c r="A18" s="30" t="str">
        <f aca="false">Responses!A18</f>
        <v>S0054</v>
      </c>
      <c r="B18" s="30" t="n">
        <f aca="false">IF(COUNTIF(Responses!$A$2:A18,Responses!A18)&gt;1,1,0)</f>
        <v>0</v>
      </c>
      <c r="C18" s="30" t="n">
        <f aca="false">IF(OR(Responses!D18="",Responses!E18="",Responses!J18="",Responses!K18="",Responses!I18=""),1,0)</f>
        <v>0</v>
      </c>
      <c r="D18" s="30" t="n">
        <f aca="false">IF(Responses!I18="",0,IF(OR(Responses!I18&lt;Assumptions!$B$4,Responses!I18&gt;Assumptions!$B$5),1,0))</f>
        <v>0</v>
      </c>
      <c r="E18" s="30" t="n">
        <f aca="false">IF(Responses!Q18&lt;Assumptions!$B$6,1,0)</f>
        <v>0</v>
      </c>
      <c r="F18" s="30" t="n">
        <f aca="false">IF(OR(AND(Responses!K18="No",Responses!L18&lt;&gt;""),AND(Responses!K18="Yes",Responses!L18="")),1,0)</f>
        <v>0</v>
      </c>
      <c r="G18" s="30" t="n">
        <f aca="false">SUM(B18:F18)</f>
        <v>0</v>
      </c>
      <c r="H18" s="30" t="str">
        <f aca="false">IF(G18=0,"Valid","Review")</f>
        <v>Valid</v>
      </c>
      <c r="I18" s="30" t="n">
        <f aca="false">IF(G18=0,1,0)</f>
        <v>1</v>
      </c>
    </row>
    <row r="19" customFormat="false" ht="15" hidden="false" customHeight="false" outlineLevel="0" collapsed="false">
      <c r="A19" s="30" t="str">
        <f aca="false">Responses!A19</f>
        <v>S0068</v>
      </c>
      <c r="B19" s="30" t="n">
        <f aca="false">IF(COUNTIF(Responses!$A$2:A19,Responses!A19)&gt;1,1,0)</f>
        <v>0</v>
      </c>
      <c r="C19" s="30" t="n">
        <f aca="false">IF(OR(Responses!D19="",Responses!E19="",Responses!J19="",Responses!K19="",Responses!I19=""),1,0)</f>
        <v>0</v>
      </c>
      <c r="D19" s="30" t="n">
        <f aca="false">IF(Responses!I19="",0,IF(OR(Responses!I19&lt;Assumptions!$B$4,Responses!I19&gt;Assumptions!$B$5),1,0))</f>
        <v>0</v>
      </c>
      <c r="E19" s="30" t="n">
        <f aca="false">IF(Responses!Q19&lt;Assumptions!$B$6,1,0)</f>
        <v>0</v>
      </c>
      <c r="F19" s="30" t="n">
        <f aca="false">IF(OR(AND(Responses!K19="No",Responses!L19&lt;&gt;""),AND(Responses!K19="Yes",Responses!L19="")),1,0)</f>
        <v>0</v>
      </c>
      <c r="G19" s="30" t="n">
        <f aca="false">SUM(B19:F19)</f>
        <v>0</v>
      </c>
      <c r="H19" s="30" t="str">
        <f aca="false">IF(G19=0,"Valid","Review")</f>
        <v>Valid</v>
      </c>
      <c r="I19" s="30" t="n">
        <f aca="false">IF(G19=0,1,0)</f>
        <v>1</v>
      </c>
    </row>
    <row r="20" customFormat="false" ht="15" hidden="false" customHeight="false" outlineLevel="0" collapsed="false">
      <c r="A20" s="30" t="str">
        <f aca="false">Responses!A20</f>
        <v>S0085</v>
      </c>
      <c r="B20" s="30" t="n">
        <f aca="false">IF(COUNTIF(Responses!$A$2:A20,Responses!A20)&gt;1,1,0)</f>
        <v>0</v>
      </c>
      <c r="C20" s="30" t="n">
        <f aca="false">IF(OR(Responses!D20="",Responses!E20="",Responses!J20="",Responses!K20="",Responses!I20=""),1,0)</f>
        <v>0</v>
      </c>
      <c r="D20" s="30" t="n">
        <f aca="false">IF(Responses!I20="",0,IF(OR(Responses!I20&lt;Assumptions!$B$4,Responses!I20&gt;Assumptions!$B$5),1,0))</f>
        <v>0</v>
      </c>
      <c r="E20" s="30" t="n">
        <f aca="false">IF(Responses!Q20&lt;Assumptions!$B$6,1,0)</f>
        <v>0</v>
      </c>
      <c r="F20" s="30" t="n">
        <f aca="false">IF(OR(AND(Responses!K20="No",Responses!L20&lt;&gt;""),AND(Responses!K20="Yes",Responses!L20="")),1,0)</f>
        <v>0</v>
      </c>
      <c r="G20" s="30" t="n">
        <f aca="false">SUM(B20:F20)</f>
        <v>0</v>
      </c>
      <c r="H20" s="30" t="str">
        <f aca="false">IF(G20=0,"Valid","Review")</f>
        <v>Valid</v>
      </c>
      <c r="I20" s="30" t="n">
        <f aca="false">IF(G20=0,1,0)</f>
        <v>1</v>
      </c>
    </row>
    <row r="21" customFormat="false" ht="15" hidden="false" customHeight="false" outlineLevel="0" collapsed="false">
      <c r="A21" s="30" t="str">
        <f aca="false">Responses!A21</f>
        <v>S0111</v>
      </c>
      <c r="B21" s="30" t="n">
        <f aca="false">IF(COUNTIF(Responses!$A$2:A21,Responses!A21)&gt;1,1,0)</f>
        <v>0</v>
      </c>
      <c r="C21" s="30" t="n">
        <f aca="false">IF(OR(Responses!D21="",Responses!E21="",Responses!J21="",Responses!K21="",Responses!I21=""),1,0)</f>
        <v>0</v>
      </c>
      <c r="D21" s="30" t="n">
        <f aca="false">IF(Responses!I21="",0,IF(OR(Responses!I21&lt;Assumptions!$B$4,Responses!I21&gt;Assumptions!$B$5),1,0))</f>
        <v>0</v>
      </c>
      <c r="E21" s="30" t="n">
        <f aca="false">IF(Responses!Q21&lt;Assumptions!$B$6,1,0)</f>
        <v>0</v>
      </c>
      <c r="F21" s="30" t="n">
        <f aca="false">IF(OR(AND(Responses!K21="No",Responses!L21&lt;&gt;""),AND(Responses!K21="Yes",Responses!L21="")),1,0)</f>
        <v>0</v>
      </c>
      <c r="G21" s="30" t="n">
        <f aca="false">SUM(B21:F21)</f>
        <v>0</v>
      </c>
      <c r="H21" s="30" t="str">
        <f aca="false">IF(G21=0,"Valid","Review")</f>
        <v>Valid</v>
      </c>
      <c r="I21" s="30" t="n">
        <f aca="false">IF(G21=0,1,0)</f>
        <v>1</v>
      </c>
    </row>
    <row r="22" customFormat="false" ht="15" hidden="false" customHeight="false" outlineLevel="0" collapsed="false">
      <c r="A22" s="30" t="str">
        <f aca="false">Responses!A22</f>
        <v>S0123</v>
      </c>
      <c r="B22" s="30" t="n">
        <f aca="false">IF(COUNTIF(Responses!$A$2:A22,Responses!A22)&gt;1,1,0)</f>
        <v>0</v>
      </c>
      <c r="C22" s="30" t="n">
        <f aca="false">IF(OR(Responses!D22="",Responses!E22="",Responses!J22="",Responses!K22="",Responses!I22=""),1,0)</f>
        <v>0</v>
      </c>
      <c r="D22" s="30" t="n">
        <f aca="false">IF(Responses!I22="",0,IF(OR(Responses!I22&lt;Assumptions!$B$4,Responses!I22&gt;Assumptions!$B$5),1,0))</f>
        <v>0</v>
      </c>
      <c r="E22" s="30" t="n">
        <f aca="false">IF(Responses!Q22&lt;Assumptions!$B$6,1,0)</f>
        <v>0</v>
      </c>
      <c r="F22" s="30" t="n">
        <f aca="false">IF(OR(AND(Responses!K22="No",Responses!L22&lt;&gt;""),AND(Responses!K22="Yes",Responses!L22="")),1,0)</f>
        <v>0</v>
      </c>
      <c r="G22" s="30" t="n">
        <f aca="false">SUM(B22:F22)</f>
        <v>0</v>
      </c>
      <c r="H22" s="30" t="str">
        <f aca="false">IF(G22=0,"Valid","Review")</f>
        <v>Valid</v>
      </c>
      <c r="I22" s="30" t="n">
        <f aca="false">IF(G22=0,1,0)</f>
        <v>1</v>
      </c>
    </row>
    <row r="23" customFormat="false" ht="15" hidden="false" customHeight="false" outlineLevel="0" collapsed="false">
      <c r="A23" s="30" t="str">
        <f aca="false">Responses!A23</f>
        <v>S0139</v>
      </c>
      <c r="B23" s="30" t="n">
        <f aca="false">IF(COUNTIF(Responses!$A$2:A23,Responses!A23)&gt;1,1,0)</f>
        <v>0</v>
      </c>
      <c r="C23" s="30" t="n">
        <f aca="false">IF(OR(Responses!D23="",Responses!E23="",Responses!J23="",Responses!K23="",Responses!I23=""),1,0)</f>
        <v>0</v>
      </c>
      <c r="D23" s="30" t="n">
        <f aca="false">IF(Responses!I23="",0,IF(OR(Responses!I23&lt;Assumptions!$B$4,Responses!I23&gt;Assumptions!$B$5),1,0))</f>
        <v>0</v>
      </c>
      <c r="E23" s="30" t="n">
        <f aca="false">IF(Responses!Q23&lt;Assumptions!$B$6,1,0)</f>
        <v>0</v>
      </c>
      <c r="F23" s="30" t="n">
        <f aca="false">IF(OR(AND(Responses!K23="No",Responses!L23&lt;&gt;""),AND(Responses!K23="Yes",Responses!L23="")),1,0)</f>
        <v>0</v>
      </c>
      <c r="G23" s="30" t="n">
        <f aca="false">SUM(B23:F23)</f>
        <v>0</v>
      </c>
      <c r="H23" s="30" t="str">
        <f aca="false">IF(G23=0,"Valid","Review")</f>
        <v>Valid</v>
      </c>
      <c r="I23" s="30" t="n">
        <f aca="false">IF(G23=0,1,0)</f>
        <v>1</v>
      </c>
    </row>
    <row r="24" customFormat="false" ht="15" hidden="false" customHeight="false" outlineLevel="0" collapsed="false">
      <c r="A24" s="30" t="str">
        <f aca="false">Responses!A24</f>
        <v>S0156</v>
      </c>
      <c r="B24" s="30" t="n">
        <f aca="false">IF(COUNTIF(Responses!$A$2:A24,Responses!A24)&gt;1,1,0)</f>
        <v>0</v>
      </c>
      <c r="C24" s="30" t="n">
        <f aca="false">IF(OR(Responses!D24="",Responses!E24="",Responses!J24="",Responses!K24="",Responses!I24=""),1,0)</f>
        <v>1</v>
      </c>
      <c r="D24" s="30" t="n">
        <f aca="false">IF(Responses!I24="",0,IF(OR(Responses!I24&lt;Assumptions!$B$4,Responses!I24&gt;Assumptions!$B$5),1,0))</f>
        <v>0</v>
      </c>
      <c r="E24" s="30" t="n">
        <f aca="false">IF(Responses!Q24&lt;Assumptions!$B$6,1,0)</f>
        <v>1</v>
      </c>
      <c r="F24" s="30" t="n">
        <f aca="false">IF(OR(AND(Responses!K24="No",Responses!L24&lt;&gt;""),AND(Responses!K24="Yes",Responses!L24="")),1,0)</f>
        <v>0</v>
      </c>
      <c r="G24" s="30" t="n">
        <f aca="false">SUM(B24:F24)</f>
        <v>2</v>
      </c>
      <c r="H24" s="30" t="str">
        <f aca="false">IF(G24=0,"Valid","Review")</f>
        <v>Review</v>
      </c>
      <c r="I24" s="30" t="n">
        <f aca="false">IF(G24=0,1,0)</f>
        <v>0</v>
      </c>
    </row>
    <row r="25" customFormat="false" ht="15" hidden="false" customHeight="false" outlineLevel="0" collapsed="false">
      <c r="A25" s="30" t="str">
        <f aca="false">Responses!A25</f>
        <v>S0180</v>
      </c>
      <c r="B25" s="30" t="n">
        <f aca="false">IF(COUNTIF(Responses!$A$2:A25,Responses!A25)&gt;1,1,0)</f>
        <v>0</v>
      </c>
      <c r="C25" s="30" t="n">
        <f aca="false">IF(OR(Responses!D25="",Responses!E25="",Responses!J25="",Responses!K25="",Responses!I25=""),1,0)</f>
        <v>0</v>
      </c>
      <c r="D25" s="30" t="n">
        <f aca="false">IF(Responses!I25="",0,IF(OR(Responses!I25&lt;Assumptions!$B$4,Responses!I25&gt;Assumptions!$B$5),1,0))</f>
        <v>0</v>
      </c>
      <c r="E25" s="30" t="n">
        <f aca="false">IF(Responses!Q25&lt;Assumptions!$B$6,1,0)</f>
        <v>1</v>
      </c>
      <c r="F25" s="30" t="n">
        <f aca="false">IF(OR(AND(Responses!K25="No",Responses!L25&lt;&gt;""),AND(Responses!K25="Yes",Responses!L25="")),1,0)</f>
        <v>0</v>
      </c>
      <c r="G25" s="30" t="n">
        <f aca="false">SUM(B25:F25)</f>
        <v>1</v>
      </c>
      <c r="H25" s="30" t="str">
        <f aca="false">IF(G25=0,"Valid","Review")</f>
        <v>Review</v>
      </c>
      <c r="I25" s="30" t="n">
        <f aca="false">IF(G25=0,1,0)</f>
        <v>0</v>
      </c>
    </row>
    <row r="26" customFormat="false" ht="15" hidden="false" customHeight="false" outlineLevel="0" collapsed="false">
      <c r="A26" s="30" t="str">
        <f aca="false">Responses!A26</f>
        <v>S0191</v>
      </c>
      <c r="B26" s="30" t="n">
        <f aca="false">IF(COUNTIF(Responses!$A$2:A26,Responses!A26)&gt;1,1,0)</f>
        <v>0</v>
      </c>
      <c r="C26" s="30" t="n">
        <f aca="false">IF(OR(Responses!D26="",Responses!E26="",Responses!J26="",Responses!K26="",Responses!I26=""),1,0)</f>
        <v>0</v>
      </c>
      <c r="D26" s="30" t="n">
        <f aca="false">IF(Responses!I26="",0,IF(OR(Responses!I26&lt;Assumptions!$B$4,Responses!I26&gt;Assumptions!$B$5),1,0))</f>
        <v>0</v>
      </c>
      <c r="E26" s="30" t="n">
        <f aca="false">IF(Responses!Q26&lt;Assumptions!$B$6,1,0)</f>
        <v>0</v>
      </c>
      <c r="F26" s="30" t="n">
        <f aca="false">IF(OR(AND(Responses!K26="No",Responses!L26&lt;&gt;""),AND(Responses!K26="Yes",Responses!L26="")),1,0)</f>
        <v>0</v>
      </c>
      <c r="G26" s="30" t="n">
        <f aca="false">SUM(B26:F26)</f>
        <v>0</v>
      </c>
      <c r="H26" s="30" t="str">
        <f aca="false">IF(G26=0,"Valid","Review")</f>
        <v>Valid</v>
      </c>
      <c r="I26" s="30" t="n">
        <f aca="false">IF(G26=0,1,0)</f>
        <v>1</v>
      </c>
    </row>
    <row r="27" customFormat="false" ht="15" hidden="false" customHeight="false" outlineLevel="0" collapsed="false">
      <c r="A27" s="30" t="str">
        <f aca="false">Responses!A27</f>
        <v>S0194</v>
      </c>
      <c r="B27" s="30" t="n">
        <f aca="false">IF(COUNTIF(Responses!$A$2:A27,Responses!A27)&gt;1,1,0)</f>
        <v>0</v>
      </c>
      <c r="C27" s="30" t="n">
        <f aca="false">IF(OR(Responses!D27="",Responses!E27="",Responses!J27="",Responses!K27="",Responses!I27=""),1,0)</f>
        <v>0</v>
      </c>
      <c r="D27" s="30" t="n">
        <f aca="false">IF(Responses!I27="",0,IF(OR(Responses!I27&lt;Assumptions!$B$4,Responses!I27&gt;Assumptions!$B$5),1,0))</f>
        <v>0</v>
      </c>
      <c r="E27" s="30" t="n">
        <f aca="false">IF(Responses!Q27&lt;Assumptions!$B$6,1,0)</f>
        <v>0</v>
      </c>
      <c r="F27" s="30" t="n">
        <f aca="false">IF(OR(AND(Responses!K27="No",Responses!L27&lt;&gt;""),AND(Responses!K27="Yes",Responses!L27="")),1,0)</f>
        <v>0</v>
      </c>
      <c r="G27" s="30" t="n">
        <f aca="false">SUM(B27:F27)</f>
        <v>0</v>
      </c>
      <c r="H27" s="30" t="str">
        <f aca="false">IF(G27=0,"Valid","Review")</f>
        <v>Valid</v>
      </c>
      <c r="I27" s="30" t="n">
        <f aca="false">IF(G27=0,1,0)</f>
        <v>1</v>
      </c>
    </row>
    <row r="28" customFormat="false" ht="15" hidden="false" customHeight="false" outlineLevel="0" collapsed="false">
      <c r="A28" s="30" t="str">
        <f aca="false">Responses!A28</f>
        <v>S0240</v>
      </c>
      <c r="B28" s="30" t="n">
        <f aca="false">IF(COUNTIF(Responses!$A$2:A28,Responses!A28)&gt;1,1,0)</f>
        <v>0</v>
      </c>
      <c r="C28" s="30" t="n">
        <f aca="false">IF(OR(Responses!D28="",Responses!E28="",Responses!J28="",Responses!K28="",Responses!I28=""),1,0)</f>
        <v>0</v>
      </c>
      <c r="D28" s="30" t="n">
        <f aca="false">IF(Responses!I28="",0,IF(OR(Responses!I28&lt;Assumptions!$B$4,Responses!I28&gt;Assumptions!$B$5),1,0))</f>
        <v>0</v>
      </c>
      <c r="E28" s="30" t="n">
        <f aca="false">IF(Responses!Q28&lt;Assumptions!$B$6,1,0)</f>
        <v>0</v>
      </c>
      <c r="F28" s="30" t="n">
        <f aca="false">IF(OR(AND(Responses!K28="No",Responses!L28&lt;&gt;""),AND(Responses!K28="Yes",Responses!L28="")),1,0)</f>
        <v>0</v>
      </c>
      <c r="G28" s="30" t="n">
        <f aca="false">SUM(B28:F28)</f>
        <v>0</v>
      </c>
      <c r="H28" s="30" t="str">
        <f aca="false">IF(G28=0,"Valid","Review")</f>
        <v>Valid</v>
      </c>
      <c r="I28" s="30" t="n">
        <f aca="false">IF(G28=0,1,0)</f>
        <v>1</v>
      </c>
    </row>
    <row r="29" customFormat="false" ht="15" hidden="false" customHeight="false" outlineLevel="0" collapsed="false">
      <c r="A29" s="30" t="str">
        <f aca="false">Responses!A29</f>
        <v>S0250</v>
      </c>
      <c r="B29" s="30" t="n">
        <f aca="false">IF(COUNTIF(Responses!$A$2:A29,Responses!A29)&gt;1,1,0)</f>
        <v>0</v>
      </c>
      <c r="C29" s="30" t="n">
        <f aca="false">IF(OR(Responses!D29="",Responses!E29="",Responses!J29="",Responses!K29="",Responses!I29=""),1,0)</f>
        <v>0</v>
      </c>
      <c r="D29" s="30" t="n">
        <f aca="false">IF(Responses!I29="",0,IF(OR(Responses!I29&lt;Assumptions!$B$4,Responses!I29&gt;Assumptions!$B$5),1,0))</f>
        <v>0</v>
      </c>
      <c r="E29" s="30" t="n">
        <f aca="false">IF(Responses!Q29&lt;Assumptions!$B$6,1,0)</f>
        <v>0</v>
      </c>
      <c r="F29" s="30" t="n">
        <f aca="false">IF(OR(AND(Responses!K29="No",Responses!L29&lt;&gt;""),AND(Responses!K29="Yes",Responses!L29="")),1,0)</f>
        <v>0</v>
      </c>
      <c r="G29" s="30" t="n">
        <f aca="false">SUM(B29:F29)</f>
        <v>0</v>
      </c>
      <c r="H29" s="30" t="str">
        <f aca="false">IF(G29=0,"Valid","Review")</f>
        <v>Valid</v>
      </c>
      <c r="I29" s="30" t="n">
        <f aca="false">IF(G29=0,1,0)</f>
        <v>1</v>
      </c>
    </row>
    <row r="30" customFormat="false" ht="15" hidden="false" customHeight="false" outlineLevel="0" collapsed="false">
      <c r="A30" s="30" t="str">
        <f aca="false">Responses!A30</f>
        <v>S0271</v>
      </c>
      <c r="B30" s="30" t="n">
        <f aca="false">IF(COUNTIF(Responses!$A$2:A30,Responses!A30)&gt;1,1,0)</f>
        <v>0</v>
      </c>
      <c r="C30" s="30" t="n">
        <f aca="false">IF(OR(Responses!D30="",Responses!E30="",Responses!J30="",Responses!K30="",Responses!I30=""),1,0)</f>
        <v>0</v>
      </c>
      <c r="D30" s="30" t="n">
        <f aca="false">IF(Responses!I30="",0,IF(OR(Responses!I30&lt;Assumptions!$B$4,Responses!I30&gt;Assumptions!$B$5),1,0))</f>
        <v>0</v>
      </c>
      <c r="E30" s="30" t="n">
        <f aca="false">IF(Responses!Q30&lt;Assumptions!$B$6,1,0)</f>
        <v>0</v>
      </c>
      <c r="F30" s="30" t="n">
        <f aca="false">IF(OR(AND(Responses!K30="No",Responses!L30&lt;&gt;""),AND(Responses!K30="Yes",Responses!L30="")),1,0)</f>
        <v>0</v>
      </c>
      <c r="G30" s="30" t="n">
        <f aca="false">SUM(B30:F30)</f>
        <v>0</v>
      </c>
      <c r="H30" s="30" t="str">
        <f aca="false">IF(G30=0,"Valid","Review")</f>
        <v>Valid</v>
      </c>
      <c r="I30" s="30" t="n">
        <f aca="false">IF(G30=0,1,0)</f>
        <v>1</v>
      </c>
    </row>
    <row r="31" customFormat="false" ht="15" hidden="false" customHeight="false" outlineLevel="0" collapsed="false">
      <c r="A31" s="30" t="str">
        <f aca="false">Responses!A31</f>
        <v>S0279</v>
      </c>
      <c r="B31" s="30" t="n">
        <f aca="false">IF(COUNTIF(Responses!$A$2:A31,Responses!A31)&gt;1,1,0)</f>
        <v>0</v>
      </c>
      <c r="C31" s="30" t="n">
        <f aca="false">IF(OR(Responses!D31="",Responses!E31="",Responses!J31="",Responses!K31="",Responses!I31=""),1,0)</f>
        <v>0</v>
      </c>
      <c r="D31" s="30" t="n">
        <f aca="false">IF(Responses!I31="",0,IF(OR(Responses!I31&lt;Assumptions!$B$4,Responses!I31&gt;Assumptions!$B$5),1,0))</f>
        <v>0</v>
      </c>
      <c r="E31" s="30" t="n">
        <f aca="false">IF(Responses!Q31&lt;Assumptions!$B$6,1,0)</f>
        <v>0</v>
      </c>
      <c r="F31" s="30" t="n">
        <f aca="false">IF(OR(AND(Responses!K31="No",Responses!L31&lt;&gt;""),AND(Responses!K31="Yes",Responses!L31="")),1,0)</f>
        <v>0</v>
      </c>
      <c r="G31" s="30" t="n">
        <f aca="false">SUM(B31:F31)</f>
        <v>0</v>
      </c>
      <c r="H31" s="30" t="str">
        <f aca="false">IF(G31=0,"Valid","Review")</f>
        <v>Valid</v>
      </c>
      <c r="I31" s="30" t="n">
        <f aca="false">IF(G31=0,1,0)</f>
        <v>1</v>
      </c>
    </row>
    <row r="32" customFormat="false" ht="15" hidden="false" customHeight="false" outlineLevel="0" collapsed="false">
      <c r="A32" s="30" t="str">
        <f aca="false">Responses!A32</f>
        <v>S0307</v>
      </c>
      <c r="B32" s="30" t="n">
        <f aca="false">IF(COUNTIF(Responses!$A$2:A32,Responses!A32)&gt;1,1,0)</f>
        <v>0</v>
      </c>
      <c r="C32" s="30" t="n">
        <f aca="false">IF(OR(Responses!D32="",Responses!E32="",Responses!J32="",Responses!K32="",Responses!I32=""),1,0)</f>
        <v>0</v>
      </c>
      <c r="D32" s="30" t="n">
        <f aca="false">IF(Responses!I32="",0,IF(OR(Responses!I32&lt;Assumptions!$B$4,Responses!I32&gt;Assumptions!$B$5),1,0))</f>
        <v>0</v>
      </c>
      <c r="E32" s="30" t="n">
        <f aca="false">IF(Responses!Q32&lt;Assumptions!$B$6,1,0)</f>
        <v>0</v>
      </c>
      <c r="F32" s="30" t="n">
        <f aca="false">IF(OR(AND(Responses!K32="No",Responses!L32&lt;&gt;""),AND(Responses!K32="Yes",Responses!L32="")),1,0)</f>
        <v>0</v>
      </c>
      <c r="G32" s="30" t="n">
        <f aca="false">SUM(B32:F32)</f>
        <v>0</v>
      </c>
      <c r="H32" s="30" t="str">
        <f aca="false">IF(G32=0,"Valid","Review")</f>
        <v>Valid</v>
      </c>
      <c r="I32" s="30" t="n">
        <f aca="false">IF(G32=0,1,0)</f>
        <v>1</v>
      </c>
    </row>
    <row r="33" customFormat="false" ht="15" hidden="false" customHeight="false" outlineLevel="0" collapsed="false">
      <c r="A33" s="30" t="str">
        <f aca="false">Responses!A33</f>
        <v>S0025</v>
      </c>
      <c r="B33" s="30" t="n">
        <f aca="false">IF(COUNTIF(Responses!$A$2:A33,Responses!A33)&gt;1,1,0)</f>
        <v>0</v>
      </c>
      <c r="C33" s="30" t="n">
        <f aca="false">IF(OR(Responses!D33="",Responses!E33="",Responses!J33="",Responses!K33="",Responses!I33=""),1,0)</f>
        <v>0</v>
      </c>
      <c r="D33" s="30" t="n">
        <f aca="false">IF(Responses!I33="",0,IF(OR(Responses!I33&lt;Assumptions!$B$4,Responses!I33&gt;Assumptions!$B$5),1,0))</f>
        <v>0</v>
      </c>
      <c r="E33" s="30" t="n">
        <f aca="false">IF(Responses!Q33&lt;Assumptions!$B$6,1,0)</f>
        <v>0</v>
      </c>
      <c r="F33" s="30" t="n">
        <f aca="false">IF(OR(AND(Responses!K33="No",Responses!L33&lt;&gt;""),AND(Responses!K33="Yes",Responses!L33="")),1,0)</f>
        <v>0</v>
      </c>
      <c r="G33" s="30" t="n">
        <f aca="false">SUM(B33:F33)</f>
        <v>0</v>
      </c>
      <c r="H33" s="30" t="str">
        <f aca="false">IF(G33=0,"Valid","Review")</f>
        <v>Valid</v>
      </c>
      <c r="I33" s="30" t="n">
        <f aca="false">IF(G33=0,1,0)</f>
        <v>1</v>
      </c>
    </row>
    <row r="34" customFormat="false" ht="15" hidden="false" customHeight="false" outlineLevel="0" collapsed="false">
      <c r="A34" s="30" t="str">
        <f aca="false">Responses!A34</f>
        <v>S0029</v>
      </c>
      <c r="B34" s="30" t="n">
        <f aca="false">IF(COUNTIF(Responses!$A$2:A34,Responses!A34)&gt;1,1,0)</f>
        <v>0</v>
      </c>
      <c r="C34" s="30" t="n">
        <f aca="false">IF(OR(Responses!D34="",Responses!E34="",Responses!J34="",Responses!K34="",Responses!I34=""),1,0)</f>
        <v>0</v>
      </c>
      <c r="D34" s="30" t="n">
        <f aca="false">IF(Responses!I34="",0,IF(OR(Responses!I34&lt;Assumptions!$B$4,Responses!I34&gt;Assumptions!$B$5),1,0))</f>
        <v>0</v>
      </c>
      <c r="E34" s="30" t="n">
        <f aca="false">IF(Responses!Q34&lt;Assumptions!$B$6,1,0)</f>
        <v>0</v>
      </c>
      <c r="F34" s="30" t="n">
        <f aca="false">IF(OR(AND(Responses!K34="No",Responses!L34&lt;&gt;""),AND(Responses!K34="Yes",Responses!L34="")),1,0)</f>
        <v>0</v>
      </c>
      <c r="G34" s="30" t="n">
        <f aca="false">SUM(B34:F34)</f>
        <v>0</v>
      </c>
      <c r="H34" s="30" t="str">
        <f aca="false">IF(G34=0,"Valid","Review")</f>
        <v>Valid</v>
      </c>
      <c r="I34" s="30" t="n">
        <f aca="false">IF(G34=0,1,0)</f>
        <v>1</v>
      </c>
    </row>
    <row r="35" customFormat="false" ht="15" hidden="false" customHeight="false" outlineLevel="0" collapsed="false">
      <c r="A35" s="30" t="str">
        <f aca="false">Responses!A35</f>
        <v>S0057</v>
      </c>
      <c r="B35" s="30" t="n">
        <f aca="false">IF(COUNTIF(Responses!$A$2:A35,Responses!A35)&gt;1,1,0)</f>
        <v>0</v>
      </c>
      <c r="C35" s="30" t="n">
        <f aca="false">IF(OR(Responses!D35="",Responses!E35="",Responses!J35="",Responses!K35="",Responses!I35=""),1,0)</f>
        <v>0</v>
      </c>
      <c r="D35" s="30" t="n">
        <f aca="false">IF(Responses!I35="",0,IF(OR(Responses!I35&lt;Assumptions!$B$4,Responses!I35&gt;Assumptions!$B$5),1,0))</f>
        <v>0</v>
      </c>
      <c r="E35" s="30" t="n">
        <f aca="false">IF(Responses!Q35&lt;Assumptions!$B$6,1,0)</f>
        <v>0</v>
      </c>
      <c r="F35" s="30" t="n">
        <f aca="false">IF(OR(AND(Responses!K35="No",Responses!L35&lt;&gt;""),AND(Responses!K35="Yes",Responses!L35="")),1,0)</f>
        <v>0</v>
      </c>
      <c r="G35" s="30" t="n">
        <f aca="false">SUM(B35:F35)</f>
        <v>0</v>
      </c>
      <c r="H35" s="30" t="str">
        <f aca="false">IF(G35=0,"Valid","Review")</f>
        <v>Valid</v>
      </c>
      <c r="I35" s="30" t="n">
        <f aca="false">IF(G35=0,1,0)</f>
        <v>1</v>
      </c>
    </row>
    <row r="36" customFormat="false" ht="15" hidden="false" customHeight="false" outlineLevel="0" collapsed="false">
      <c r="A36" s="30" t="str">
        <f aca="false">Responses!A36</f>
        <v>S0060</v>
      </c>
      <c r="B36" s="30" t="n">
        <f aca="false">IF(COUNTIF(Responses!$A$2:A36,Responses!A36)&gt;1,1,0)</f>
        <v>0</v>
      </c>
      <c r="C36" s="30" t="n">
        <f aca="false">IF(OR(Responses!D36="",Responses!E36="",Responses!J36="",Responses!K36="",Responses!I36=""),1,0)</f>
        <v>0</v>
      </c>
      <c r="D36" s="30" t="n">
        <f aca="false">IF(Responses!I36="",0,IF(OR(Responses!I36&lt;Assumptions!$B$4,Responses!I36&gt;Assumptions!$B$5),1,0))</f>
        <v>0</v>
      </c>
      <c r="E36" s="30" t="n">
        <f aca="false">IF(Responses!Q36&lt;Assumptions!$B$6,1,0)</f>
        <v>0</v>
      </c>
      <c r="F36" s="30" t="n">
        <f aca="false">IF(OR(AND(Responses!K36="No",Responses!L36&lt;&gt;""),AND(Responses!K36="Yes",Responses!L36="")),1,0)</f>
        <v>0</v>
      </c>
      <c r="G36" s="30" t="n">
        <f aca="false">SUM(B36:F36)</f>
        <v>0</v>
      </c>
      <c r="H36" s="30" t="str">
        <f aca="false">IF(G36=0,"Valid","Review")</f>
        <v>Valid</v>
      </c>
      <c r="I36" s="30" t="n">
        <f aca="false">IF(G36=0,1,0)</f>
        <v>1</v>
      </c>
    </row>
    <row r="37" customFormat="false" ht="15" hidden="false" customHeight="false" outlineLevel="0" collapsed="false">
      <c r="A37" s="30" t="str">
        <f aca="false">Responses!A37</f>
        <v>S0075</v>
      </c>
      <c r="B37" s="30" t="n">
        <f aca="false">IF(COUNTIF(Responses!$A$2:A37,Responses!A37)&gt;1,1,0)</f>
        <v>0</v>
      </c>
      <c r="C37" s="30" t="n">
        <f aca="false">IF(OR(Responses!D37="",Responses!E37="",Responses!J37="",Responses!K37="",Responses!I37=""),1,0)</f>
        <v>0</v>
      </c>
      <c r="D37" s="30" t="n">
        <f aca="false">IF(Responses!I37="",0,IF(OR(Responses!I37&lt;Assumptions!$B$4,Responses!I37&gt;Assumptions!$B$5),1,0))</f>
        <v>0</v>
      </c>
      <c r="E37" s="30" t="n">
        <f aca="false">IF(Responses!Q37&lt;Assumptions!$B$6,1,0)</f>
        <v>0</v>
      </c>
      <c r="F37" s="30" t="n">
        <f aca="false">IF(OR(AND(Responses!K37="No",Responses!L37&lt;&gt;""),AND(Responses!K37="Yes",Responses!L37="")),1,0)</f>
        <v>0</v>
      </c>
      <c r="G37" s="30" t="n">
        <f aca="false">SUM(B37:F37)</f>
        <v>0</v>
      </c>
      <c r="H37" s="30" t="str">
        <f aca="false">IF(G37=0,"Valid","Review")</f>
        <v>Valid</v>
      </c>
      <c r="I37" s="30" t="n">
        <f aca="false">IF(G37=0,1,0)</f>
        <v>1</v>
      </c>
    </row>
    <row r="38" customFormat="false" ht="15" hidden="false" customHeight="false" outlineLevel="0" collapsed="false">
      <c r="A38" s="30" t="str">
        <f aca="false">Responses!A38</f>
        <v>S0090</v>
      </c>
      <c r="B38" s="30" t="n">
        <f aca="false">IF(COUNTIF(Responses!$A$2:A38,Responses!A38)&gt;1,1,0)</f>
        <v>0</v>
      </c>
      <c r="C38" s="30" t="n">
        <f aca="false">IF(OR(Responses!D38="",Responses!E38="",Responses!J38="",Responses!K38="",Responses!I38=""),1,0)</f>
        <v>0</v>
      </c>
      <c r="D38" s="30" t="n">
        <f aca="false">IF(Responses!I38="",0,IF(OR(Responses!I38&lt;Assumptions!$B$4,Responses!I38&gt;Assumptions!$B$5),1,0))</f>
        <v>1</v>
      </c>
      <c r="E38" s="30" t="n">
        <f aca="false">IF(Responses!Q38&lt;Assumptions!$B$6,1,0)</f>
        <v>0</v>
      </c>
      <c r="F38" s="30" t="n">
        <f aca="false">IF(OR(AND(Responses!K38="No",Responses!L38&lt;&gt;""),AND(Responses!K38="Yes",Responses!L38="")),1,0)</f>
        <v>0</v>
      </c>
      <c r="G38" s="30" t="n">
        <f aca="false">SUM(B38:F38)</f>
        <v>1</v>
      </c>
      <c r="H38" s="30" t="str">
        <f aca="false">IF(G38=0,"Valid","Review")</f>
        <v>Review</v>
      </c>
      <c r="I38" s="30" t="n">
        <f aca="false">IF(G38=0,1,0)</f>
        <v>0</v>
      </c>
    </row>
    <row r="39" customFormat="false" ht="15" hidden="false" customHeight="false" outlineLevel="0" collapsed="false">
      <c r="A39" s="30" t="str">
        <f aca="false">Responses!A39</f>
        <v>S0097</v>
      </c>
      <c r="B39" s="30" t="n">
        <f aca="false">IF(COUNTIF(Responses!$A$2:A39,Responses!A39)&gt;1,1,0)</f>
        <v>0</v>
      </c>
      <c r="C39" s="30" t="n">
        <f aca="false">IF(OR(Responses!D39="",Responses!E39="",Responses!J39="",Responses!K39="",Responses!I39=""),1,0)</f>
        <v>0</v>
      </c>
      <c r="D39" s="30" t="n">
        <f aca="false">IF(Responses!I39="",0,IF(OR(Responses!I39&lt;Assumptions!$B$4,Responses!I39&gt;Assumptions!$B$5),1,0))</f>
        <v>0</v>
      </c>
      <c r="E39" s="30" t="n">
        <f aca="false">IF(Responses!Q39&lt;Assumptions!$B$6,1,0)</f>
        <v>0</v>
      </c>
      <c r="F39" s="30" t="n">
        <f aca="false">IF(OR(AND(Responses!K39="No",Responses!L39&lt;&gt;""),AND(Responses!K39="Yes",Responses!L39="")),1,0)</f>
        <v>0</v>
      </c>
      <c r="G39" s="30" t="n">
        <f aca="false">SUM(B39:F39)</f>
        <v>0</v>
      </c>
      <c r="H39" s="30" t="str">
        <f aca="false">IF(G39=0,"Valid","Review")</f>
        <v>Valid</v>
      </c>
      <c r="I39" s="30" t="n">
        <f aca="false">IF(G39=0,1,0)</f>
        <v>1</v>
      </c>
    </row>
    <row r="40" customFormat="false" ht="15" hidden="false" customHeight="false" outlineLevel="0" collapsed="false">
      <c r="A40" s="30" t="str">
        <f aca="false">Responses!A40</f>
        <v>S0117</v>
      </c>
      <c r="B40" s="30" t="n">
        <f aca="false">IF(COUNTIF(Responses!$A$2:A40,Responses!A40)&gt;1,1,0)</f>
        <v>0</v>
      </c>
      <c r="C40" s="30" t="n">
        <f aca="false">IF(OR(Responses!D40="",Responses!E40="",Responses!J40="",Responses!K40="",Responses!I40=""),1,0)</f>
        <v>0</v>
      </c>
      <c r="D40" s="30" t="n">
        <f aca="false">IF(Responses!I40="",0,IF(OR(Responses!I40&lt;Assumptions!$B$4,Responses!I40&gt;Assumptions!$B$5),1,0))</f>
        <v>0</v>
      </c>
      <c r="E40" s="30" t="n">
        <f aca="false">IF(Responses!Q40&lt;Assumptions!$B$6,1,0)</f>
        <v>0</v>
      </c>
      <c r="F40" s="30" t="n">
        <f aca="false">IF(OR(AND(Responses!K40="No",Responses!L40&lt;&gt;""),AND(Responses!K40="Yes",Responses!L40="")),1,0)</f>
        <v>0</v>
      </c>
      <c r="G40" s="30" t="n">
        <f aca="false">SUM(B40:F40)</f>
        <v>0</v>
      </c>
      <c r="H40" s="30" t="str">
        <f aca="false">IF(G40=0,"Valid","Review")</f>
        <v>Valid</v>
      </c>
      <c r="I40" s="30" t="n">
        <f aca="false">IF(G40=0,1,0)</f>
        <v>1</v>
      </c>
    </row>
    <row r="41" customFormat="false" ht="15" hidden="false" customHeight="false" outlineLevel="0" collapsed="false">
      <c r="A41" s="30" t="str">
        <f aca="false">Responses!A41</f>
        <v>S0132</v>
      </c>
      <c r="B41" s="30" t="n">
        <f aca="false">IF(COUNTIF(Responses!$A$2:A41,Responses!A41)&gt;1,1,0)</f>
        <v>0</v>
      </c>
      <c r="C41" s="30" t="n">
        <f aca="false">IF(OR(Responses!D41="",Responses!E41="",Responses!J41="",Responses!K41="",Responses!I41=""),1,0)</f>
        <v>0</v>
      </c>
      <c r="D41" s="30" t="n">
        <f aca="false">IF(Responses!I41="",0,IF(OR(Responses!I41&lt;Assumptions!$B$4,Responses!I41&gt;Assumptions!$B$5),1,0))</f>
        <v>0</v>
      </c>
      <c r="E41" s="30" t="n">
        <f aca="false">IF(Responses!Q41&lt;Assumptions!$B$6,1,0)</f>
        <v>0</v>
      </c>
      <c r="F41" s="30" t="n">
        <f aca="false">IF(OR(AND(Responses!K41="No",Responses!L41&lt;&gt;""),AND(Responses!K41="Yes",Responses!L41="")),1,0)</f>
        <v>0</v>
      </c>
      <c r="G41" s="30" t="n">
        <f aca="false">SUM(B41:F41)</f>
        <v>0</v>
      </c>
      <c r="H41" s="30" t="str">
        <f aca="false">IF(G41=0,"Valid","Review")</f>
        <v>Valid</v>
      </c>
      <c r="I41" s="30" t="n">
        <f aca="false">IF(G41=0,1,0)</f>
        <v>1</v>
      </c>
    </row>
    <row r="42" customFormat="false" ht="15" hidden="false" customHeight="false" outlineLevel="0" collapsed="false">
      <c r="A42" s="30" t="str">
        <f aca="false">Responses!A42</f>
        <v>S0157</v>
      </c>
      <c r="B42" s="30" t="n">
        <f aca="false">IF(COUNTIF(Responses!$A$2:A42,Responses!A42)&gt;1,1,0)</f>
        <v>0</v>
      </c>
      <c r="C42" s="30" t="n">
        <f aca="false">IF(OR(Responses!D42="",Responses!E42="",Responses!J42="",Responses!K42="",Responses!I42=""),1,0)</f>
        <v>0</v>
      </c>
      <c r="D42" s="30" t="n">
        <f aca="false">IF(Responses!I42="",0,IF(OR(Responses!I42&lt;Assumptions!$B$4,Responses!I42&gt;Assumptions!$B$5),1,0))</f>
        <v>0</v>
      </c>
      <c r="E42" s="30" t="n">
        <f aca="false">IF(Responses!Q42&lt;Assumptions!$B$6,1,0)</f>
        <v>0</v>
      </c>
      <c r="F42" s="30" t="n">
        <f aca="false">IF(OR(AND(Responses!K42="No",Responses!L42&lt;&gt;""),AND(Responses!K42="Yes",Responses!L42="")),1,0)</f>
        <v>0</v>
      </c>
      <c r="G42" s="30" t="n">
        <f aca="false">SUM(B42:F42)</f>
        <v>0</v>
      </c>
      <c r="H42" s="30" t="str">
        <f aca="false">IF(G42=0,"Valid","Review")</f>
        <v>Valid</v>
      </c>
      <c r="I42" s="30" t="n">
        <f aca="false">IF(G42=0,1,0)</f>
        <v>1</v>
      </c>
    </row>
    <row r="43" customFormat="false" ht="15" hidden="false" customHeight="false" outlineLevel="0" collapsed="false">
      <c r="A43" s="30" t="str">
        <f aca="false">Responses!A43</f>
        <v>S0168</v>
      </c>
      <c r="B43" s="30" t="n">
        <f aca="false">IF(COUNTIF(Responses!$A$2:A43,Responses!A43)&gt;1,1,0)</f>
        <v>0</v>
      </c>
      <c r="C43" s="30" t="n">
        <f aca="false">IF(OR(Responses!D43="",Responses!E43="",Responses!J43="",Responses!K43="",Responses!I43=""),1,0)</f>
        <v>0</v>
      </c>
      <c r="D43" s="30" t="n">
        <f aca="false">IF(Responses!I43="",0,IF(OR(Responses!I43&lt;Assumptions!$B$4,Responses!I43&gt;Assumptions!$B$5),1,0))</f>
        <v>0</v>
      </c>
      <c r="E43" s="30" t="n">
        <f aca="false">IF(Responses!Q43&lt;Assumptions!$B$6,1,0)</f>
        <v>0</v>
      </c>
      <c r="F43" s="30" t="n">
        <f aca="false">IF(OR(AND(Responses!K43="No",Responses!L43&lt;&gt;""),AND(Responses!K43="Yes",Responses!L43="")),1,0)</f>
        <v>1</v>
      </c>
      <c r="G43" s="30" t="n">
        <f aca="false">SUM(B43:F43)</f>
        <v>1</v>
      </c>
      <c r="H43" s="30" t="str">
        <f aca="false">IF(G43=0,"Valid","Review")</f>
        <v>Review</v>
      </c>
      <c r="I43" s="30" t="n">
        <f aca="false">IF(G43=0,1,0)</f>
        <v>0</v>
      </c>
    </row>
    <row r="44" customFormat="false" ht="15" hidden="false" customHeight="false" outlineLevel="0" collapsed="false">
      <c r="A44" s="30" t="str">
        <f aca="false">Responses!A44</f>
        <v>S0231</v>
      </c>
      <c r="B44" s="30" t="n">
        <f aca="false">IF(COUNTIF(Responses!$A$2:A44,Responses!A44)&gt;1,1,0)</f>
        <v>0</v>
      </c>
      <c r="C44" s="30" t="n">
        <f aca="false">IF(OR(Responses!D44="",Responses!E44="",Responses!J44="",Responses!K44="",Responses!I44=""),1,0)</f>
        <v>0</v>
      </c>
      <c r="D44" s="30" t="n">
        <f aca="false">IF(Responses!I44="",0,IF(OR(Responses!I44&lt;Assumptions!$B$4,Responses!I44&gt;Assumptions!$B$5),1,0))</f>
        <v>0</v>
      </c>
      <c r="E44" s="30" t="n">
        <f aca="false">IF(Responses!Q44&lt;Assumptions!$B$6,1,0)</f>
        <v>0</v>
      </c>
      <c r="F44" s="30" t="n">
        <f aca="false">IF(OR(AND(Responses!K44="No",Responses!L44&lt;&gt;""),AND(Responses!K44="Yes",Responses!L44="")),1,0)</f>
        <v>0</v>
      </c>
      <c r="G44" s="30" t="n">
        <f aca="false">SUM(B44:F44)</f>
        <v>0</v>
      </c>
      <c r="H44" s="30" t="str">
        <f aca="false">IF(G44=0,"Valid","Review")</f>
        <v>Valid</v>
      </c>
      <c r="I44" s="30" t="n">
        <f aca="false">IF(G44=0,1,0)</f>
        <v>1</v>
      </c>
    </row>
    <row r="45" customFormat="false" ht="15" hidden="false" customHeight="false" outlineLevel="0" collapsed="false">
      <c r="A45" s="30" t="str">
        <f aca="false">Responses!A45</f>
        <v>S0232</v>
      </c>
      <c r="B45" s="30" t="n">
        <f aca="false">IF(COUNTIF(Responses!$A$2:A45,Responses!A45)&gt;1,1,0)</f>
        <v>0</v>
      </c>
      <c r="C45" s="30" t="n">
        <f aca="false">IF(OR(Responses!D45="",Responses!E45="",Responses!J45="",Responses!K45="",Responses!I45=""),1,0)</f>
        <v>0</v>
      </c>
      <c r="D45" s="30" t="n">
        <f aca="false">IF(Responses!I45="",0,IF(OR(Responses!I45&lt;Assumptions!$B$4,Responses!I45&gt;Assumptions!$B$5),1,0))</f>
        <v>0</v>
      </c>
      <c r="E45" s="30" t="n">
        <f aca="false">IF(Responses!Q45&lt;Assumptions!$B$6,1,0)</f>
        <v>0</v>
      </c>
      <c r="F45" s="30" t="n">
        <f aca="false">IF(OR(AND(Responses!K45="No",Responses!L45&lt;&gt;""),AND(Responses!K45="Yes",Responses!L45="")),1,0)</f>
        <v>0</v>
      </c>
      <c r="G45" s="30" t="n">
        <f aca="false">SUM(B45:F45)</f>
        <v>0</v>
      </c>
      <c r="H45" s="30" t="str">
        <f aca="false">IF(G45=0,"Valid","Review")</f>
        <v>Valid</v>
      </c>
      <c r="I45" s="30" t="n">
        <f aca="false">IF(G45=0,1,0)</f>
        <v>1</v>
      </c>
    </row>
    <row r="46" customFormat="false" ht="15" hidden="false" customHeight="false" outlineLevel="0" collapsed="false">
      <c r="A46" s="30" t="str">
        <f aca="false">Responses!A46</f>
        <v>S0244</v>
      </c>
      <c r="B46" s="30" t="n">
        <f aca="false">IF(COUNTIF(Responses!$A$2:A46,Responses!A46)&gt;1,1,0)</f>
        <v>0</v>
      </c>
      <c r="C46" s="30" t="n">
        <f aca="false">IF(OR(Responses!D46="",Responses!E46="",Responses!J46="",Responses!K46="",Responses!I46=""),1,0)</f>
        <v>0</v>
      </c>
      <c r="D46" s="30" t="n">
        <f aca="false">IF(Responses!I46="",0,IF(OR(Responses!I46&lt;Assumptions!$B$4,Responses!I46&gt;Assumptions!$B$5),1,0))</f>
        <v>0</v>
      </c>
      <c r="E46" s="30" t="n">
        <f aca="false">IF(Responses!Q46&lt;Assumptions!$B$6,1,0)</f>
        <v>0</v>
      </c>
      <c r="F46" s="30" t="n">
        <f aca="false">IF(OR(AND(Responses!K46="No",Responses!L46&lt;&gt;""),AND(Responses!K46="Yes",Responses!L46="")),1,0)</f>
        <v>0</v>
      </c>
      <c r="G46" s="30" t="n">
        <f aca="false">SUM(B46:F46)</f>
        <v>0</v>
      </c>
      <c r="H46" s="30" t="str">
        <f aca="false">IF(G46=0,"Valid","Review")</f>
        <v>Valid</v>
      </c>
      <c r="I46" s="30" t="n">
        <f aca="false">IF(G46=0,1,0)</f>
        <v>1</v>
      </c>
    </row>
    <row r="47" customFormat="false" ht="15" hidden="false" customHeight="false" outlineLevel="0" collapsed="false">
      <c r="A47" s="30" t="str">
        <f aca="false">Responses!A47</f>
        <v>S0249</v>
      </c>
      <c r="B47" s="30" t="n">
        <f aca="false">IF(COUNTIF(Responses!$A$2:A47,Responses!A47)&gt;1,1,0)</f>
        <v>0</v>
      </c>
      <c r="C47" s="30" t="n">
        <f aca="false">IF(OR(Responses!D47="",Responses!E47="",Responses!J47="",Responses!K47="",Responses!I47=""),1,0)</f>
        <v>0</v>
      </c>
      <c r="D47" s="30" t="n">
        <f aca="false">IF(Responses!I47="",0,IF(OR(Responses!I47&lt;Assumptions!$B$4,Responses!I47&gt;Assumptions!$B$5),1,0))</f>
        <v>0</v>
      </c>
      <c r="E47" s="30" t="n">
        <f aca="false">IF(Responses!Q47&lt;Assumptions!$B$6,1,0)</f>
        <v>0</v>
      </c>
      <c r="F47" s="30" t="n">
        <f aca="false">IF(OR(AND(Responses!K47="No",Responses!L47&lt;&gt;""),AND(Responses!K47="Yes",Responses!L47="")),1,0)</f>
        <v>0</v>
      </c>
      <c r="G47" s="30" t="n">
        <f aca="false">SUM(B47:F47)</f>
        <v>0</v>
      </c>
      <c r="H47" s="30" t="str">
        <f aca="false">IF(G47=0,"Valid","Review")</f>
        <v>Valid</v>
      </c>
      <c r="I47" s="30" t="n">
        <f aca="false">IF(G47=0,1,0)</f>
        <v>1</v>
      </c>
    </row>
    <row r="48" customFormat="false" ht="15" hidden="false" customHeight="false" outlineLevel="0" collapsed="false">
      <c r="A48" s="30" t="str">
        <f aca="false">Responses!A48</f>
        <v>S0280</v>
      </c>
      <c r="B48" s="30" t="n">
        <f aca="false">IF(COUNTIF(Responses!$A$2:A48,Responses!A48)&gt;1,1,0)</f>
        <v>0</v>
      </c>
      <c r="C48" s="30" t="n">
        <f aca="false">IF(OR(Responses!D48="",Responses!E48="",Responses!J48="",Responses!K48="",Responses!I48=""),1,0)</f>
        <v>0</v>
      </c>
      <c r="D48" s="30" t="n">
        <f aca="false">IF(Responses!I48="",0,IF(OR(Responses!I48&lt;Assumptions!$B$4,Responses!I48&gt;Assumptions!$B$5),1,0))</f>
        <v>0</v>
      </c>
      <c r="E48" s="30" t="n">
        <f aca="false">IF(Responses!Q48&lt;Assumptions!$B$6,1,0)</f>
        <v>0</v>
      </c>
      <c r="F48" s="30" t="n">
        <f aca="false">IF(OR(AND(Responses!K48="No",Responses!L48&lt;&gt;""),AND(Responses!K48="Yes",Responses!L48="")),1,0)</f>
        <v>0</v>
      </c>
      <c r="G48" s="30" t="n">
        <f aca="false">SUM(B48:F48)</f>
        <v>0</v>
      </c>
      <c r="H48" s="30" t="str">
        <f aca="false">IF(G48=0,"Valid","Review")</f>
        <v>Valid</v>
      </c>
      <c r="I48" s="30" t="n">
        <f aca="false">IF(G48=0,1,0)</f>
        <v>1</v>
      </c>
    </row>
    <row r="49" customFormat="false" ht="15" hidden="false" customHeight="false" outlineLevel="0" collapsed="false">
      <c r="A49" s="30" t="str">
        <f aca="false">Responses!A49</f>
        <v>S0290</v>
      </c>
      <c r="B49" s="30" t="n">
        <f aca="false">IF(COUNTIF(Responses!$A$2:A49,Responses!A49)&gt;1,1,0)</f>
        <v>0</v>
      </c>
      <c r="C49" s="30" t="n">
        <f aca="false">IF(OR(Responses!D49="",Responses!E49="",Responses!J49="",Responses!K49="",Responses!I49=""),1,0)</f>
        <v>0</v>
      </c>
      <c r="D49" s="30" t="n">
        <f aca="false">IF(Responses!I49="",0,IF(OR(Responses!I49&lt;Assumptions!$B$4,Responses!I49&gt;Assumptions!$B$5),1,0))</f>
        <v>0</v>
      </c>
      <c r="E49" s="30" t="n">
        <f aca="false">IF(Responses!Q49&lt;Assumptions!$B$6,1,0)</f>
        <v>0</v>
      </c>
      <c r="F49" s="30" t="n">
        <f aca="false">IF(OR(AND(Responses!K49="No",Responses!L49&lt;&gt;""),AND(Responses!K49="Yes",Responses!L49="")),1,0)</f>
        <v>0</v>
      </c>
      <c r="G49" s="30" t="n">
        <f aca="false">SUM(B49:F49)</f>
        <v>0</v>
      </c>
      <c r="H49" s="30" t="str">
        <f aca="false">IF(G49=0,"Valid","Review")</f>
        <v>Valid</v>
      </c>
      <c r="I49" s="30" t="n">
        <f aca="false">IF(G49=0,1,0)</f>
        <v>1</v>
      </c>
    </row>
    <row r="50" customFormat="false" ht="15" hidden="false" customHeight="false" outlineLevel="0" collapsed="false">
      <c r="A50" s="30" t="str">
        <f aca="false">Responses!A50</f>
        <v>S0019</v>
      </c>
      <c r="B50" s="30" t="n">
        <f aca="false">IF(COUNTIF(Responses!$A$2:A50,Responses!A50)&gt;1,1,0)</f>
        <v>0</v>
      </c>
      <c r="C50" s="30" t="n">
        <f aca="false">IF(OR(Responses!D50="",Responses!E50="",Responses!J50="",Responses!K50="",Responses!I50=""),1,0)</f>
        <v>0</v>
      </c>
      <c r="D50" s="30" t="n">
        <f aca="false">IF(Responses!I50="",0,IF(OR(Responses!I50&lt;Assumptions!$B$4,Responses!I50&gt;Assumptions!$B$5),1,0))</f>
        <v>0</v>
      </c>
      <c r="E50" s="30" t="n">
        <f aca="false">IF(Responses!Q50&lt;Assumptions!$B$6,1,0)</f>
        <v>0</v>
      </c>
      <c r="F50" s="30" t="n">
        <f aca="false">IF(OR(AND(Responses!K50="No",Responses!L50&lt;&gt;""),AND(Responses!K50="Yes",Responses!L50="")),1,0)</f>
        <v>0</v>
      </c>
      <c r="G50" s="30" t="n">
        <f aca="false">SUM(B50:F50)</f>
        <v>0</v>
      </c>
      <c r="H50" s="30" t="str">
        <f aca="false">IF(G50=0,"Valid","Review")</f>
        <v>Valid</v>
      </c>
      <c r="I50" s="30" t="n">
        <f aca="false">IF(G50=0,1,0)</f>
        <v>1</v>
      </c>
    </row>
    <row r="51" customFormat="false" ht="15" hidden="false" customHeight="false" outlineLevel="0" collapsed="false">
      <c r="A51" s="30" t="str">
        <f aca="false">Responses!A51</f>
        <v>S0024</v>
      </c>
      <c r="B51" s="30" t="n">
        <f aca="false">IF(COUNTIF(Responses!$A$2:A51,Responses!A51)&gt;1,1,0)</f>
        <v>0</v>
      </c>
      <c r="C51" s="30" t="n">
        <f aca="false">IF(OR(Responses!D51="",Responses!E51="",Responses!J51="",Responses!K51="",Responses!I51=""),1,0)</f>
        <v>0</v>
      </c>
      <c r="D51" s="30" t="n">
        <f aca="false">IF(Responses!I51="",0,IF(OR(Responses!I51&lt;Assumptions!$B$4,Responses!I51&gt;Assumptions!$B$5),1,0))</f>
        <v>0</v>
      </c>
      <c r="E51" s="30" t="n">
        <f aca="false">IF(Responses!Q51&lt;Assumptions!$B$6,1,0)</f>
        <v>0</v>
      </c>
      <c r="F51" s="30" t="n">
        <f aca="false">IF(OR(AND(Responses!K51="No",Responses!L51&lt;&gt;""),AND(Responses!K51="Yes",Responses!L51="")),1,0)</f>
        <v>0</v>
      </c>
      <c r="G51" s="30" t="n">
        <f aca="false">SUM(B51:F51)</f>
        <v>0</v>
      </c>
      <c r="H51" s="30" t="str">
        <f aca="false">IF(G51=0,"Valid","Review")</f>
        <v>Valid</v>
      </c>
      <c r="I51" s="30" t="n">
        <f aca="false">IF(G51=0,1,0)</f>
        <v>1</v>
      </c>
    </row>
    <row r="52" customFormat="false" ht="15" hidden="false" customHeight="false" outlineLevel="0" collapsed="false">
      <c r="A52" s="30" t="str">
        <f aca="false">Responses!A52</f>
        <v>S0024</v>
      </c>
      <c r="B52" s="30" t="n">
        <f aca="false">IF(COUNTIF(Responses!$A$2:A52,Responses!A52)&gt;1,1,0)</f>
        <v>1</v>
      </c>
      <c r="C52" s="30" t="n">
        <f aca="false">IF(OR(Responses!D52="",Responses!E52="",Responses!J52="",Responses!K52="",Responses!I52=""),1,0)</f>
        <v>0</v>
      </c>
      <c r="D52" s="30" t="n">
        <f aca="false">IF(Responses!I52="",0,IF(OR(Responses!I52&lt;Assumptions!$B$4,Responses!I52&gt;Assumptions!$B$5),1,0))</f>
        <v>0</v>
      </c>
      <c r="E52" s="30" t="n">
        <f aca="false">IF(Responses!Q52&lt;Assumptions!$B$6,1,0)</f>
        <v>0</v>
      </c>
      <c r="F52" s="30" t="n">
        <f aca="false">IF(OR(AND(Responses!K52="No",Responses!L52&lt;&gt;""),AND(Responses!K52="Yes",Responses!L52="")),1,0)</f>
        <v>0</v>
      </c>
      <c r="G52" s="30" t="n">
        <f aca="false">SUM(B52:F52)</f>
        <v>1</v>
      </c>
      <c r="H52" s="30" t="str">
        <f aca="false">IF(G52=0,"Valid","Review")</f>
        <v>Review</v>
      </c>
      <c r="I52" s="30" t="n">
        <f aca="false">IF(G52=0,1,0)</f>
        <v>0</v>
      </c>
    </row>
    <row r="53" customFormat="false" ht="15" hidden="false" customHeight="false" outlineLevel="0" collapsed="false">
      <c r="A53" s="30" t="str">
        <f aca="false">Responses!A53</f>
        <v>S0070</v>
      </c>
      <c r="B53" s="30" t="n">
        <f aca="false">IF(COUNTIF(Responses!$A$2:A53,Responses!A53)&gt;1,1,0)</f>
        <v>0</v>
      </c>
      <c r="C53" s="30" t="n">
        <f aca="false">IF(OR(Responses!D53="",Responses!E53="",Responses!J53="",Responses!K53="",Responses!I53=""),1,0)</f>
        <v>0</v>
      </c>
      <c r="D53" s="30" t="n">
        <f aca="false">IF(Responses!I53="",0,IF(OR(Responses!I53&lt;Assumptions!$B$4,Responses!I53&gt;Assumptions!$B$5),1,0))</f>
        <v>0</v>
      </c>
      <c r="E53" s="30" t="n">
        <f aca="false">IF(Responses!Q53&lt;Assumptions!$B$6,1,0)</f>
        <v>0</v>
      </c>
      <c r="F53" s="30" t="n">
        <f aca="false">IF(OR(AND(Responses!K53="No",Responses!L53&lt;&gt;""),AND(Responses!K53="Yes",Responses!L53="")),1,0)</f>
        <v>0</v>
      </c>
      <c r="G53" s="30" t="n">
        <f aca="false">SUM(B53:F53)</f>
        <v>0</v>
      </c>
      <c r="H53" s="30" t="str">
        <f aca="false">IF(G53=0,"Valid","Review")</f>
        <v>Valid</v>
      </c>
      <c r="I53" s="30" t="n">
        <f aca="false">IF(G53=0,1,0)</f>
        <v>1</v>
      </c>
    </row>
    <row r="54" customFormat="false" ht="15" hidden="false" customHeight="false" outlineLevel="0" collapsed="false">
      <c r="A54" s="30" t="str">
        <f aca="false">Responses!A54</f>
        <v>S0092</v>
      </c>
      <c r="B54" s="30" t="n">
        <f aca="false">IF(COUNTIF(Responses!$A$2:A54,Responses!A54)&gt;1,1,0)</f>
        <v>0</v>
      </c>
      <c r="C54" s="30" t="n">
        <f aca="false">IF(OR(Responses!D54="",Responses!E54="",Responses!J54="",Responses!K54="",Responses!I54=""),1,0)</f>
        <v>0</v>
      </c>
      <c r="D54" s="30" t="n">
        <f aca="false">IF(Responses!I54="",0,IF(OR(Responses!I54&lt;Assumptions!$B$4,Responses!I54&gt;Assumptions!$B$5),1,0))</f>
        <v>0</v>
      </c>
      <c r="E54" s="30" t="n">
        <f aca="false">IF(Responses!Q54&lt;Assumptions!$B$6,1,0)</f>
        <v>0</v>
      </c>
      <c r="F54" s="30" t="n">
        <f aca="false">IF(OR(AND(Responses!K54="No",Responses!L54&lt;&gt;""),AND(Responses!K54="Yes",Responses!L54="")),1,0)</f>
        <v>0</v>
      </c>
      <c r="G54" s="30" t="n">
        <f aca="false">SUM(B54:F54)</f>
        <v>0</v>
      </c>
      <c r="H54" s="30" t="str">
        <f aca="false">IF(G54=0,"Valid","Review")</f>
        <v>Valid</v>
      </c>
      <c r="I54" s="30" t="n">
        <f aca="false">IF(G54=0,1,0)</f>
        <v>1</v>
      </c>
    </row>
    <row r="55" customFormat="false" ht="15" hidden="false" customHeight="false" outlineLevel="0" collapsed="false">
      <c r="A55" s="30" t="str">
        <f aca="false">Responses!A55</f>
        <v>S0107</v>
      </c>
      <c r="B55" s="30" t="n">
        <f aca="false">IF(COUNTIF(Responses!$A$2:A55,Responses!A55)&gt;1,1,0)</f>
        <v>0</v>
      </c>
      <c r="C55" s="30" t="n">
        <f aca="false">IF(OR(Responses!D55="",Responses!E55="",Responses!J55="",Responses!K55="",Responses!I55=""),1,0)</f>
        <v>0</v>
      </c>
      <c r="D55" s="30" t="n">
        <f aca="false">IF(Responses!I55="",0,IF(OR(Responses!I55&lt;Assumptions!$B$4,Responses!I55&gt;Assumptions!$B$5),1,0))</f>
        <v>0</v>
      </c>
      <c r="E55" s="30" t="n">
        <f aca="false">IF(Responses!Q55&lt;Assumptions!$B$6,1,0)</f>
        <v>0</v>
      </c>
      <c r="F55" s="30" t="n">
        <f aca="false">IF(OR(AND(Responses!K55="No",Responses!L55&lt;&gt;""),AND(Responses!K55="Yes",Responses!L55="")),1,0)</f>
        <v>0</v>
      </c>
      <c r="G55" s="30" t="n">
        <f aca="false">SUM(B55:F55)</f>
        <v>0</v>
      </c>
      <c r="H55" s="30" t="str">
        <f aca="false">IF(G55=0,"Valid","Review")</f>
        <v>Valid</v>
      </c>
      <c r="I55" s="30" t="n">
        <f aca="false">IF(G55=0,1,0)</f>
        <v>1</v>
      </c>
    </row>
    <row r="56" customFormat="false" ht="15" hidden="false" customHeight="false" outlineLevel="0" collapsed="false">
      <c r="A56" s="30" t="str">
        <f aca="false">Responses!A56</f>
        <v>S0110</v>
      </c>
      <c r="B56" s="30" t="n">
        <f aca="false">IF(COUNTIF(Responses!$A$2:A56,Responses!A56)&gt;1,1,0)</f>
        <v>0</v>
      </c>
      <c r="C56" s="30" t="n">
        <f aca="false">IF(OR(Responses!D56="",Responses!E56="",Responses!J56="",Responses!K56="",Responses!I56=""),1,0)</f>
        <v>0</v>
      </c>
      <c r="D56" s="30" t="n">
        <f aca="false">IF(Responses!I56="",0,IF(OR(Responses!I56&lt;Assumptions!$B$4,Responses!I56&gt;Assumptions!$B$5),1,0))</f>
        <v>0</v>
      </c>
      <c r="E56" s="30" t="n">
        <f aca="false">IF(Responses!Q56&lt;Assumptions!$B$6,1,0)</f>
        <v>0</v>
      </c>
      <c r="F56" s="30" t="n">
        <f aca="false">IF(OR(AND(Responses!K56="No",Responses!L56&lt;&gt;""),AND(Responses!K56="Yes",Responses!L56="")),1,0)</f>
        <v>0</v>
      </c>
      <c r="G56" s="30" t="n">
        <f aca="false">SUM(B56:F56)</f>
        <v>0</v>
      </c>
      <c r="H56" s="30" t="str">
        <f aca="false">IF(G56=0,"Valid","Review")</f>
        <v>Valid</v>
      </c>
      <c r="I56" s="30" t="n">
        <f aca="false">IF(G56=0,1,0)</f>
        <v>1</v>
      </c>
    </row>
    <row r="57" customFormat="false" ht="15" hidden="false" customHeight="false" outlineLevel="0" collapsed="false">
      <c r="A57" s="30" t="str">
        <f aca="false">Responses!A57</f>
        <v>S0113</v>
      </c>
      <c r="B57" s="30" t="n">
        <f aca="false">IF(COUNTIF(Responses!$A$2:A57,Responses!A57)&gt;1,1,0)</f>
        <v>0</v>
      </c>
      <c r="C57" s="30" t="n">
        <f aca="false">IF(OR(Responses!D57="",Responses!E57="",Responses!J57="",Responses!K57="",Responses!I57=""),1,0)</f>
        <v>0</v>
      </c>
      <c r="D57" s="30" t="n">
        <f aca="false">IF(Responses!I57="",0,IF(OR(Responses!I57&lt;Assumptions!$B$4,Responses!I57&gt;Assumptions!$B$5),1,0))</f>
        <v>0</v>
      </c>
      <c r="E57" s="30" t="n">
        <f aca="false">IF(Responses!Q57&lt;Assumptions!$B$6,1,0)</f>
        <v>0</v>
      </c>
      <c r="F57" s="30" t="n">
        <f aca="false">IF(OR(AND(Responses!K57="No",Responses!L57&lt;&gt;""),AND(Responses!K57="Yes",Responses!L57="")),1,0)</f>
        <v>0</v>
      </c>
      <c r="G57" s="30" t="n">
        <f aca="false">SUM(B57:F57)</f>
        <v>0</v>
      </c>
      <c r="H57" s="30" t="str">
        <f aca="false">IF(G57=0,"Valid","Review")</f>
        <v>Valid</v>
      </c>
      <c r="I57" s="30" t="n">
        <f aca="false">IF(G57=0,1,0)</f>
        <v>1</v>
      </c>
    </row>
    <row r="58" customFormat="false" ht="15" hidden="false" customHeight="false" outlineLevel="0" collapsed="false">
      <c r="A58" s="30" t="str">
        <f aca="false">Responses!A58</f>
        <v>S0178</v>
      </c>
      <c r="B58" s="30" t="n">
        <f aca="false">IF(COUNTIF(Responses!$A$2:A58,Responses!A58)&gt;1,1,0)</f>
        <v>0</v>
      </c>
      <c r="C58" s="30" t="n">
        <f aca="false">IF(OR(Responses!D58="",Responses!E58="",Responses!J58="",Responses!K58="",Responses!I58=""),1,0)</f>
        <v>0</v>
      </c>
      <c r="D58" s="30" t="n">
        <f aca="false">IF(Responses!I58="",0,IF(OR(Responses!I58&lt;Assumptions!$B$4,Responses!I58&gt;Assumptions!$B$5),1,0))</f>
        <v>0</v>
      </c>
      <c r="E58" s="30" t="n">
        <f aca="false">IF(Responses!Q58&lt;Assumptions!$B$6,1,0)</f>
        <v>0</v>
      </c>
      <c r="F58" s="30" t="n">
        <f aca="false">IF(OR(AND(Responses!K58="No",Responses!L58&lt;&gt;""),AND(Responses!K58="Yes",Responses!L58="")),1,0)</f>
        <v>0</v>
      </c>
      <c r="G58" s="30" t="n">
        <f aca="false">SUM(B58:F58)</f>
        <v>0</v>
      </c>
      <c r="H58" s="30" t="str">
        <f aca="false">IF(G58=0,"Valid","Review")</f>
        <v>Valid</v>
      </c>
      <c r="I58" s="30" t="n">
        <f aca="false">IF(G58=0,1,0)</f>
        <v>1</v>
      </c>
    </row>
    <row r="59" customFormat="false" ht="15" hidden="false" customHeight="false" outlineLevel="0" collapsed="false">
      <c r="A59" s="30" t="str">
        <f aca="false">Responses!A59</f>
        <v>S0196</v>
      </c>
      <c r="B59" s="30" t="n">
        <f aca="false">IF(COUNTIF(Responses!$A$2:A59,Responses!A59)&gt;1,1,0)</f>
        <v>0</v>
      </c>
      <c r="C59" s="30" t="n">
        <f aca="false">IF(OR(Responses!D59="",Responses!E59="",Responses!J59="",Responses!K59="",Responses!I59=""),1,0)</f>
        <v>0</v>
      </c>
      <c r="D59" s="30" t="n">
        <f aca="false">IF(Responses!I59="",0,IF(OR(Responses!I59&lt;Assumptions!$B$4,Responses!I59&gt;Assumptions!$B$5),1,0))</f>
        <v>0</v>
      </c>
      <c r="E59" s="30" t="n">
        <f aca="false">IF(Responses!Q59&lt;Assumptions!$B$6,1,0)</f>
        <v>0</v>
      </c>
      <c r="F59" s="30" t="n">
        <f aca="false">IF(OR(AND(Responses!K59="No",Responses!L59&lt;&gt;""),AND(Responses!K59="Yes",Responses!L59="")),1,0)</f>
        <v>0</v>
      </c>
      <c r="G59" s="30" t="n">
        <f aca="false">SUM(B59:F59)</f>
        <v>0</v>
      </c>
      <c r="H59" s="30" t="str">
        <f aca="false">IF(G59=0,"Valid","Review")</f>
        <v>Valid</v>
      </c>
      <c r="I59" s="30" t="n">
        <f aca="false">IF(G59=0,1,0)</f>
        <v>1</v>
      </c>
    </row>
    <row r="60" customFormat="false" ht="15" hidden="false" customHeight="false" outlineLevel="0" collapsed="false">
      <c r="A60" s="30" t="str">
        <f aca="false">Responses!A60</f>
        <v>S0198</v>
      </c>
      <c r="B60" s="30" t="n">
        <f aca="false">IF(COUNTIF(Responses!$A$2:A60,Responses!A60)&gt;1,1,0)</f>
        <v>0</v>
      </c>
      <c r="C60" s="30" t="n">
        <f aca="false">IF(OR(Responses!D60="",Responses!E60="",Responses!J60="",Responses!K60="",Responses!I60=""),1,0)</f>
        <v>0</v>
      </c>
      <c r="D60" s="30" t="n">
        <f aca="false">IF(Responses!I60="",0,IF(OR(Responses!I60&lt;Assumptions!$B$4,Responses!I60&gt;Assumptions!$B$5),1,0))</f>
        <v>0</v>
      </c>
      <c r="E60" s="30" t="n">
        <f aca="false">IF(Responses!Q60&lt;Assumptions!$B$6,1,0)</f>
        <v>0</v>
      </c>
      <c r="F60" s="30" t="n">
        <f aca="false">IF(OR(AND(Responses!K60="No",Responses!L60&lt;&gt;""),AND(Responses!K60="Yes",Responses!L60="")),1,0)</f>
        <v>0</v>
      </c>
      <c r="G60" s="30" t="n">
        <f aca="false">SUM(B60:F60)</f>
        <v>0</v>
      </c>
      <c r="H60" s="30" t="str">
        <f aca="false">IF(G60=0,"Valid","Review")</f>
        <v>Valid</v>
      </c>
      <c r="I60" s="30" t="n">
        <f aca="false">IF(G60=0,1,0)</f>
        <v>1</v>
      </c>
    </row>
    <row r="61" customFormat="false" ht="15" hidden="false" customHeight="false" outlineLevel="0" collapsed="false">
      <c r="A61" s="30" t="str">
        <f aca="false">Responses!A61</f>
        <v>S0199</v>
      </c>
      <c r="B61" s="30" t="n">
        <f aca="false">IF(COUNTIF(Responses!$A$2:A61,Responses!A61)&gt;1,1,0)</f>
        <v>0</v>
      </c>
      <c r="C61" s="30" t="n">
        <f aca="false">IF(OR(Responses!D61="",Responses!E61="",Responses!J61="",Responses!K61="",Responses!I61=""),1,0)</f>
        <v>0</v>
      </c>
      <c r="D61" s="30" t="n">
        <f aca="false">IF(Responses!I61="",0,IF(OR(Responses!I61&lt;Assumptions!$B$4,Responses!I61&gt;Assumptions!$B$5),1,0))</f>
        <v>0</v>
      </c>
      <c r="E61" s="30" t="n">
        <f aca="false">IF(Responses!Q61&lt;Assumptions!$B$6,1,0)</f>
        <v>0</v>
      </c>
      <c r="F61" s="30" t="n">
        <f aca="false">IF(OR(AND(Responses!K61="No",Responses!L61&lt;&gt;""),AND(Responses!K61="Yes",Responses!L61="")),1,0)</f>
        <v>0</v>
      </c>
      <c r="G61" s="30" t="n">
        <f aca="false">SUM(B61:F61)</f>
        <v>0</v>
      </c>
      <c r="H61" s="30" t="str">
        <f aca="false">IF(G61=0,"Valid","Review")</f>
        <v>Valid</v>
      </c>
      <c r="I61" s="30" t="n">
        <f aca="false">IF(G61=0,1,0)</f>
        <v>1</v>
      </c>
    </row>
    <row r="62" customFormat="false" ht="15" hidden="false" customHeight="false" outlineLevel="0" collapsed="false">
      <c r="A62" s="30" t="str">
        <f aca="false">Responses!A62</f>
        <v>S0203</v>
      </c>
      <c r="B62" s="30" t="n">
        <f aca="false">IF(COUNTIF(Responses!$A$2:A62,Responses!A62)&gt;1,1,0)</f>
        <v>0</v>
      </c>
      <c r="C62" s="30" t="n">
        <f aca="false">IF(OR(Responses!D62="",Responses!E62="",Responses!J62="",Responses!K62="",Responses!I62=""),1,0)</f>
        <v>0</v>
      </c>
      <c r="D62" s="30" t="n">
        <f aca="false">IF(Responses!I62="",0,IF(OR(Responses!I62&lt;Assumptions!$B$4,Responses!I62&gt;Assumptions!$B$5),1,0))</f>
        <v>0</v>
      </c>
      <c r="E62" s="30" t="n">
        <f aca="false">IF(Responses!Q62&lt;Assumptions!$B$6,1,0)</f>
        <v>0</v>
      </c>
      <c r="F62" s="30" t="n">
        <f aca="false">IF(OR(AND(Responses!K62="No",Responses!L62&lt;&gt;""),AND(Responses!K62="Yes",Responses!L62="")),1,0)</f>
        <v>0</v>
      </c>
      <c r="G62" s="30" t="n">
        <f aca="false">SUM(B62:F62)</f>
        <v>0</v>
      </c>
      <c r="H62" s="30" t="str">
        <f aca="false">IF(G62=0,"Valid","Review")</f>
        <v>Valid</v>
      </c>
      <c r="I62" s="30" t="n">
        <f aca="false">IF(G62=0,1,0)</f>
        <v>1</v>
      </c>
    </row>
    <row r="63" customFormat="false" ht="15" hidden="false" customHeight="false" outlineLevel="0" collapsed="false">
      <c r="A63" s="30" t="str">
        <f aca="false">Responses!A63</f>
        <v>S0251</v>
      </c>
      <c r="B63" s="30" t="n">
        <f aca="false">IF(COUNTIF(Responses!$A$2:A63,Responses!A63)&gt;1,1,0)</f>
        <v>0</v>
      </c>
      <c r="C63" s="30" t="n">
        <f aca="false">IF(OR(Responses!D63="",Responses!E63="",Responses!J63="",Responses!K63="",Responses!I63=""),1,0)</f>
        <v>0</v>
      </c>
      <c r="D63" s="30" t="n">
        <f aca="false">IF(Responses!I63="",0,IF(OR(Responses!I63&lt;Assumptions!$B$4,Responses!I63&gt;Assumptions!$B$5),1,0))</f>
        <v>0</v>
      </c>
      <c r="E63" s="30" t="n">
        <f aca="false">IF(Responses!Q63&lt;Assumptions!$B$6,1,0)</f>
        <v>0</v>
      </c>
      <c r="F63" s="30" t="n">
        <f aca="false">IF(OR(AND(Responses!K63="No",Responses!L63&lt;&gt;""),AND(Responses!K63="Yes",Responses!L63="")),1,0)</f>
        <v>0</v>
      </c>
      <c r="G63" s="30" t="n">
        <f aca="false">SUM(B63:F63)</f>
        <v>0</v>
      </c>
      <c r="H63" s="30" t="str">
        <f aca="false">IF(G63=0,"Valid","Review")</f>
        <v>Valid</v>
      </c>
      <c r="I63" s="30" t="n">
        <f aca="false">IF(G63=0,1,0)</f>
        <v>1</v>
      </c>
    </row>
    <row r="64" customFormat="false" ht="15" hidden="false" customHeight="false" outlineLevel="0" collapsed="false">
      <c r="A64" s="30" t="str">
        <f aca="false">Responses!A64</f>
        <v>S0299</v>
      </c>
      <c r="B64" s="30" t="n">
        <f aca="false">IF(COUNTIF(Responses!$A$2:A64,Responses!A64)&gt;1,1,0)</f>
        <v>0</v>
      </c>
      <c r="C64" s="30" t="n">
        <f aca="false">IF(OR(Responses!D64="",Responses!E64="",Responses!J64="",Responses!K64="",Responses!I64=""),1,0)</f>
        <v>0</v>
      </c>
      <c r="D64" s="30" t="n">
        <f aca="false">IF(Responses!I64="",0,IF(OR(Responses!I64&lt;Assumptions!$B$4,Responses!I64&gt;Assumptions!$B$5),1,0))</f>
        <v>0</v>
      </c>
      <c r="E64" s="30" t="n">
        <f aca="false">IF(Responses!Q64&lt;Assumptions!$B$6,1,0)</f>
        <v>0</v>
      </c>
      <c r="F64" s="30" t="n">
        <f aca="false">IF(OR(AND(Responses!K64="No",Responses!L64&lt;&gt;""),AND(Responses!K64="Yes",Responses!L64="")),1,0)</f>
        <v>0</v>
      </c>
      <c r="G64" s="30" t="n">
        <f aca="false">SUM(B64:F64)</f>
        <v>0</v>
      </c>
      <c r="H64" s="30" t="str">
        <f aca="false">IF(G64=0,"Valid","Review")</f>
        <v>Valid</v>
      </c>
      <c r="I64" s="30" t="n">
        <f aca="false">IF(G64=0,1,0)</f>
        <v>1</v>
      </c>
    </row>
    <row r="65" customFormat="false" ht="15" hidden="false" customHeight="false" outlineLevel="0" collapsed="false">
      <c r="A65" s="30" t="str">
        <f aca="false">Responses!A65</f>
        <v>S0001</v>
      </c>
      <c r="B65" s="30" t="n">
        <f aca="false">IF(COUNTIF(Responses!$A$2:A65,Responses!A65)&gt;1,1,0)</f>
        <v>0</v>
      </c>
      <c r="C65" s="30" t="n">
        <f aca="false">IF(OR(Responses!D65="",Responses!E65="",Responses!J65="",Responses!K65="",Responses!I65=""),1,0)</f>
        <v>1</v>
      </c>
      <c r="D65" s="30" t="n">
        <f aca="false">IF(Responses!I65="",0,IF(OR(Responses!I65&lt;Assumptions!$B$4,Responses!I65&gt;Assumptions!$B$5),1,0))</f>
        <v>0</v>
      </c>
      <c r="E65" s="30" t="n">
        <f aca="false">IF(Responses!Q65&lt;Assumptions!$B$6,1,0)</f>
        <v>0</v>
      </c>
      <c r="F65" s="30" t="n">
        <f aca="false">IF(OR(AND(Responses!K65="No",Responses!L65&lt;&gt;""),AND(Responses!K65="Yes",Responses!L65="")),1,0)</f>
        <v>0</v>
      </c>
      <c r="G65" s="30" t="n">
        <f aca="false">SUM(B65:F65)</f>
        <v>1</v>
      </c>
      <c r="H65" s="30" t="str">
        <f aca="false">IF(G65=0,"Valid","Review")</f>
        <v>Review</v>
      </c>
      <c r="I65" s="30" t="n">
        <f aca="false">IF(G65=0,1,0)</f>
        <v>0</v>
      </c>
    </row>
    <row r="66" customFormat="false" ht="15" hidden="false" customHeight="false" outlineLevel="0" collapsed="false">
      <c r="A66" s="30" t="str">
        <f aca="false">Responses!A66</f>
        <v>S0126</v>
      </c>
      <c r="B66" s="30" t="n">
        <f aca="false">IF(COUNTIF(Responses!$A$2:A66,Responses!A66)&gt;1,1,0)</f>
        <v>0</v>
      </c>
      <c r="C66" s="30" t="n">
        <f aca="false">IF(OR(Responses!D66="",Responses!E66="",Responses!J66="",Responses!K66="",Responses!I66=""),1,0)</f>
        <v>0</v>
      </c>
      <c r="D66" s="30" t="n">
        <f aca="false">IF(Responses!I66="",0,IF(OR(Responses!I66&lt;Assumptions!$B$4,Responses!I66&gt;Assumptions!$B$5),1,0))</f>
        <v>0</v>
      </c>
      <c r="E66" s="30" t="n">
        <f aca="false">IF(Responses!Q66&lt;Assumptions!$B$6,1,0)</f>
        <v>0</v>
      </c>
      <c r="F66" s="30" t="n">
        <f aca="false">IF(OR(AND(Responses!K66="No",Responses!L66&lt;&gt;""),AND(Responses!K66="Yes",Responses!L66="")),1,0)</f>
        <v>0</v>
      </c>
      <c r="G66" s="30" t="n">
        <f aca="false">SUM(B66:F66)</f>
        <v>0</v>
      </c>
      <c r="H66" s="30" t="str">
        <f aca="false">IF(G66=0,"Valid","Review")</f>
        <v>Valid</v>
      </c>
      <c r="I66" s="30" t="n">
        <f aca="false">IF(G66=0,1,0)</f>
        <v>1</v>
      </c>
    </row>
    <row r="67" customFormat="false" ht="15" hidden="false" customHeight="false" outlineLevel="0" collapsed="false">
      <c r="A67" s="30" t="str">
        <f aca="false">Responses!A67</f>
        <v>S0129</v>
      </c>
      <c r="B67" s="30" t="n">
        <f aca="false">IF(COUNTIF(Responses!$A$2:A67,Responses!A67)&gt;1,1,0)</f>
        <v>0</v>
      </c>
      <c r="C67" s="30" t="n">
        <f aca="false">IF(OR(Responses!D67="",Responses!E67="",Responses!J67="",Responses!K67="",Responses!I67=""),1,0)</f>
        <v>0</v>
      </c>
      <c r="D67" s="30" t="n">
        <f aca="false">IF(Responses!I67="",0,IF(OR(Responses!I67&lt;Assumptions!$B$4,Responses!I67&gt;Assumptions!$B$5),1,0))</f>
        <v>0</v>
      </c>
      <c r="E67" s="30" t="n">
        <f aca="false">IF(Responses!Q67&lt;Assumptions!$B$6,1,0)</f>
        <v>0</v>
      </c>
      <c r="F67" s="30" t="n">
        <f aca="false">IF(OR(AND(Responses!K67="No",Responses!L67&lt;&gt;""),AND(Responses!K67="Yes",Responses!L67="")),1,0)</f>
        <v>0</v>
      </c>
      <c r="G67" s="30" t="n">
        <f aca="false">SUM(B67:F67)</f>
        <v>0</v>
      </c>
      <c r="H67" s="30" t="str">
        <f aca="false">IF(G67=0,"Valid","Review")</f>
        <v>Valid</v>
      </c>
      <c r="I67" s="30" t="n">
        <f aca="false">IF(G67=0,1,0)</f>
        <v>1</v>
      </c>
    </row>
    <row r="68" customFormat="false" ht="15" hidden="false" customHeight="false" outlineLevel="0" collapsed="false">
      <c r="A68" s="30" t="str">
        <f aca="false">Responses!A68</f>
        <v>S0134</v>
      </c>
      <c r="B68" s="30" t="n">
        <f aca="false">IF(COUNTIF(Responses!$A$2:A68,Responses!A68)&gt;1,1,0)</f>
        <v>0</v>
      </c>
      <c r="C68" s="30" t="n">
        <f aca="false">IF(OR(Responses!D68="",Responses!E68="",Responses!J68="",Responses!K68="",Responses!I68=""),1,0)</f>
        <v>0</v>
      </c>
      <c r="D68" s="30" t="n">
        <f aca="false">IF(Responses!I68="",0,IF(OR(Responses!I68&lt;Assumptions!$B$4,Responses!I68&gt;Assumptions!$B$5),1,0))</f>
        <v>0</v>
      </c>
      <c r="E68" s="30" t="n">
        <f aca="false">IF(Responses!Q68&lt;Assumptions!$B$6,1,0)</f>
        <v>0</v>
      </c>
      <c r="F68" s="30" t="n">
        <f aca="false">IF(OR(AND(Responses!K68="No",Responses!L68&lt;&gt;""),AND(Responses!K68="Yes",Responses!L68="")),1,0)</f>
        <v>0</v>
      </c>
      <c r="G68" s="30" t="n">
        <f aca="false">SUM(B68:F68)</f>
        <v>0</v>
      </c>
      <c r="H68" s="30" t="str">
        <f aca="false">IF(G68=0,"Valid","Review")</f>
        <v>Valid</v>
      </c>
      <c r="I68" s="30" t="n">
        <f aca="false">IF(G68=0,1,0)</f>
        <v>1</v>
      </c>
    </row>
    <row r="69" customFormat="false" ht="15" hidden="false" customHeight="false" outlineLevel="0" collapsed="false">
      <c r="A69" s="30" t="str">
        <f aca="false">Responses!A69</f>
        <v>S0136</v>
      </c>
      <c r="B69" s="30" t="n">
        <f aca="false">IF(COUNTIF(Responses!$A$2:A69,Responses!A69)&gt;1,1,0)</f>
        <v>0</v>
      </c>
      <c r="C69" s="30" t="n">
        <f aca="false">IF(OR(Responses!D69="",Responses!E69="",Responses!J69="",Responses!K69="",Responses!I69=""),1,0)</f>
        <v>0</v>
      </c>
      <c r="D69" s="30" t="n">
        <f aca="false">IF(Responses!I69="",0,IF(OR(Responses!I69&lt;Assumptions!$B$4,Responses!I69&gt;Assumptions!$B$5),1,0))</f>
        <v>0</v>
      </c>
      <c r="E69" s="30" t="n">
        <f aca="false">IF(Responses!Q69&lt;Assumptions!$B$6,1,0)</f>
        <v>0</v>
      </c>
      <c r="F69" s="30" t="n">
        <f aca="false">IF(OR(AND(Responses!K69="No",Responses!L69&lt;&gt;""),AND(Responses!K69="Yes",Responses!L69="")),1,0)</f>
        <v>0</v>
      </c>
      <c r="G69" s="30" t="n">
        <f aca="false">SUM(B69:F69)</f>
        <v>0</v>
      </c>
      <c r="H69" s="30" t="str">
        <f aca="false">IF(G69=0,"Valid","Review")</f>
        <v>Valid</v>
      </c>
      <c r="I69" s="30" t="n">
        <f aca="false">IF(G69=0,1,0)</f>
        <v>1</v>
      </c>
    </row>
    <row r="70" customFormat="false" ht="15" hidden="false" customHeight="false" outlineLevel="0" collapsed="false">
      <c r="A70" s="30" t="str">
        <f aca="false">Responses!A70</f>
        <v>S0152</v>
      </c>
      <c r="B70" s="30" t="n">
        <f aca="false">IF(COUNTIF(Responses!$A$2:A70,Responses!A70)&gt;1,1,0)</f>
        <v>0</v>
      </c>
      <c r="C70" s="30" t="n">
        <f aca="false">IF(OR(Responses!D70="",Responses!E70="",Responses!J70="",Responses!K70="",Responses!I70=""),1,0)</f>
        <v>0</v>
      </c>
      <c r="D70" s="30" t="n">
        <f aca="false">IF(Responses!I70="",0,IF(OR(Responses!I70&lt;Assumptions!$B$4,Responses!I70&gt;Assumptions!$B$5),1,0))</f>
        <v>0</v>
      </c>
      <c r="E70" s="30" t="n">
        <f aca="false">IF(Responses!Q70&lt;Assumptions!$B$6,1,0)</f>
        <v>0</v>
      </c>
      <c r="F70" s="30" t="n">
        <f aca="false">IF(OR(AND(Responses!K70="No",Responses!L70&lt;&gt;""),AND(Responses!K70="Yes",Responses!L70="")),1,0)</f>
        <v>0</v>
      </c>
      <c r="G70" s="30" t="n">
        <f aca="false">SUM(B70:F70)</f>
        <v>0</v>
      </c>
      <c r="H70" s="30" t="str">
        <f aca="false">IF(G70=0,"Valid","Review")</f>
        <v>Valid</v>
      </c>
      <c r="I70" s="30" t="n">
        <f aca="false">IF(G70=0,1,0)</f>
        <v>1</v>
      </c>
    </row>
    <row r="71" customFormat="false" ht="15" hidden="false" customHeight="false" outlineLevel="0" collapsed="false">
      <c r="A71" s="30" t="str">
        <f aca="false">Responses!A71</f>
        <v>S0179</v>
      </c>
      <c r="B71" s="30" t="n">
        <f aca="false">IF(COUNTIF(Responses!$A$2:A71,Responses!A71)&gt;1,1,0)</f>
        <v>0</v>
      </c>
      <c r="C71" s="30" t="n">
        <f aca="false">IF(OR(Responses!D71="",Responses!E71="",Responses!J71="",Responses!K71="",Responses!I71=""),1,0)</f>
        <v>0</v>
      </c>
      <c r="D71" s="30" t="n">
        <f aca="false">IF(Responses!I71="",0,IF(OR(Responses!I71&lt;Assumptions!$B$4,Responses!I71&gt;Assumptions!$B$5),1,0))</f>
        <v>0</v>
      </c>
      <c r="E71" s="30" t="n">
        <f aca="false">IF(Responses!Q71&lt;Assumptions!$B$6,1,0)</f>
        <v>0</v>
      </c>
      <c r="F71" s="30" t="n">
        <f aca="false">IF(OR(AND(Responses!K71="No",Responses!L71&lt;&gt;""),AND(Responses!K71="Yes",Responses!L71="")),1,0)</f>
        <v>0</v>
      </c>
      <c r="G71" s="30" t="n">
        <f aca="false">SUM(B71:F71)</f>
        <v>0</v>
      </c>
      <c r="H71" s="30" t="str">
        <f aca="false">IF(G71=0,"Valid","Review")</f>
        <v>Valid</v>
      </c>
      <c r="I71" s="30" t="n">
        <f aca="false">IF(G71=0,1,0)</f>
        <v>1</v>
      </c>
    </row>
    <row r="72" customFormat="false" ht="15" hidden="false" customHeight="false" outlineLevel="0" collapsed="false">
      <c r="A72" s="30" t="str">
        <f aca="false">Responses!A72</f>
        <v>S0189</v>
      </c>
      <c r="B72" s="30" t="n">
        <f aca="false">IF(COUNTIF(Responses!$A$2:A72,Responses!A72)&gt;1,1,0)</f>
        <v>0</v>
      </c>
      <c r="C72" s="30" t="n">
        <f aca="false">IF(OR(Responses!D72="",Responses!E72="",Responses!J72="",Responses!K72="",Responses!I72=""),1,0)</f>
        <v>0</v>
      </c>
      <c r="D72" s="30" t="n">
        <f aca="false">IF(Responses!I72="",0,IF(OR(Responses!I72&lt;Assumptions!$B$4,Responses!I72&gt;Assumptions!$B$5),1,0))</f>
        <v>0</v>
      </c>
      <c r="E72" s="30" t="n">
        <f aca="false">IF(Responses!Q72&lt;Assumptions!$B$6,1,0)</f>
        <v>1</v>
      </c>
      <c r="F72" s="30" t="n">
        <f aca="false">IF(OR(AND(Responses!K72="No",Responses!L72&lt;&gt;""),AND(Responses!K72="Yes",Responses!L72="")),1,0)</f>
        <v>0</v>
      </c>
      <c r="G72" s="30" t="n">
        <f aca="false">SUM(B72:F72)</f>
        <v>1</v>
      </c>
      <c r="H72" s="30" t="str">
        <f aca="false">IF(G72=0,"Valid","Review")</f>
        <v>Review</v>
      </c>
      <c r="I72" s="30" t="n">
        <f aca="false">IF(G72=0,1,0)</f>
        <v>0</v>
      </c>
    </row>
    <row r="73" customFormat="false" ht="15" hidden="false" customHeight="false" outlineLevel="0" collapsed="false">
      <c r="A73" s="30" t="str">
        <f aca="false">Responses!A73</f>
        <v>S0207</v>
      </c>
      <c r="B73" s="30" t="n">
        <f aca="false">IF(COUNTIF(Responses!$A$2:A73,Responses!A73)&gt;1,1,0)</f>
        <v>0</v>
      </c>
      <c r="C73" s="30" t="n">
        <f aca="false">IF(OR(Responses!D73="",Responses!E73="",Responses!J73="",Responses!K73="",Responses!I73=""),1,0)</f>
        <v>0</v>
      </c>
      <c r="D73" s="30" t="n">
        <f aca="false">IF(Responses!I73="",0,IF(OR(Responses!I73&lt;Assumptions!$B$4,Responses!I73&gt;Assumptions!$B$5),1,0))</f>
        <v>0</v>
      </c>
      <c r="E73" s="30" t="n">
        <f aca="false">IF(Responses!Q73&lt;Assumptions!$B$6,1,0)</f>
        <v>0</v>
      </c>
      <c r="F73" s="30" t="n">
        <f aca="false">IF(OR(AND(Responses!K73="No",Responses!L73&lt;&gt;""),AND(Responses!K73="Yes",Responses!L73="")),1,0)</f>
        <v>0</v>
      </c>
      <c r="G73" s="30" t="n">
        <f aca="false">SUM(B73:F73)</f>
        <v>0</v>
      </c>
      <c r="H73" s="30" t="str">
        <f aca="false">IF(G73=0,"Valid","Review")</f>
        <v>Valid</v>
      </c>
      <c r="I73" s="30" t="n">
        <f aca="false">IF(G73=0,1,0)</f>
        <v>1</v>
      </c>
    </row>
    <row r="74" customFormat="false" ht="15" hidden="false" customHeight="false" outlineLevel="0" collapsed="false">
      <c r="A74" s="30" t="str">
        <f aca="false">Responses!A74</f>
        <v>S0222</v>
      </c>
      <c r="B74" s="30" t="n">
        <f aca="false">IF(COUNTIF(Responses!$A$2:A74,Responses!A74)&gt;1,1,0)</f>
        <v>0</v>
      </c>
      <c r="C74" s="30" t="n">
        <f aca="false">IF(OR(Responses!D74="",Responses!E74="",Responses!J74="",Responses!K74="",Responses!I74=""),1,0)</f>
        <v>0</v>
      </c>
      <c r="D74" s="30" t="n">
        <f aca="false">IF(Responses!I74="",0,IF(OR(Responses!I74&lt;Assumptions!$B$4,Responses!I74&gt;Assumptions!$B$5),1,0))</f>
        <v>0</v>
      </c>
      <c r="E74" s="30" t="n">
        <f aca="false">IF(Responses!Q74&lt;Assumptions!$B$6,1,0)</f>
        <v>0</v>
      </c>
      <c r="F74" s="30" t="n">
        <f aca="false">IF(OR(AND(Responses!K74="No",Responses!L74&lt;&gt;""),AND(Responses!K74="Yes",Responses!L74="")),1,0)</f>
        <v>0</v>
      </c>
      <c r="G74" s="30" t="n">
        <f aca="false">SUM(B74:F74)</f>
        <v>0</v>
      </c>
      <c r="H74" s="30" t="str">
        <f aca="false">IF(G74=0,"Valid","Review")</f>
        <v>Valid</v>
      </c>
      <c r="I74" s="30" t="n">
        <f aca="false">IF(G74=0,1,0)</f>
        <v>1</v>
      </c>
    </row>
    <row r="75" customFormat="false" ht="15" hidden="false" customHeight="false" outlineLevel="0" collapsed="false">
      <c r="A75" s="30" t="str">
        <f aca="false">Responses!A75</f>
        <v>S0226</v>
      </c>
      <c r="B75" s="30" t="n">
        <f aca="false">IF(COUNTIF(Responses!$A$2:A75,Responses!A75)&gt;1,1,0)</f>
        <v>0</v>
      </c>
      <c r="C75" s="30" t="n">
        <f aca="false">IF(OR(Responses!D75="",Responses!E75="",Responses!J75="",Responses!K75="",Responses!I75=""),1,0)</f>
        <v>0</v>
      </c>
      <c r="D75" s="30" t="n">
        <f aca="false">IF(Responses!I75="",0,IF(OR(Responses!I75&lt;Assumptions!$B$4,Responses!I75&gt;Assumptions!$B$5),1,0))</f>
        <v>0</v>
      </c>
      <c r="E75" s="30" t="n">
        <f aca="false">IF(Responses!Q75&lt;Assumptions!$B$6,1,0)</f>
        <v>1</v>
      </c>
      <c r="F75" s="30" t="n">
        <f aca="false">IF(OR(AND(Responses!K75="No",Responses!L75&lt;&gt;""),AND(Responses!K75="Yes",Responses!L75="")),1,0)</f>
        <v>0</v>
      </c>
      <c r="G75" s="30" t="n">
        <f aca="false">SUM(B75:F75)</f>
        <v>1</v>
      </c>
      <c r="H75" s="30" t="str">
        <f aca="false">IF(G75=0,"Valid","Review")</f>
        <v>Review</v>
      </c>
      <c r="I75" s="30" t="n">
        <f aca="false">IF(G75=0,1,0)</f>
        <v>0</v>
      </c>
    </row>
    <row r="76" customFormat="false" ht="15" hidden="false" customHeight="false" outlineLevel="0" collapsed="false">
      <c r="A76" s="30" t="str">
        <f aca="false">Responses!A76</f>
        <v>S0277</v>
      </c>
      <c r="B76" s="30" t="n">
        <f aca="false">IF(COUNTIF(Responses!$A$2:A76,Responses!A76)&gt;1,1,0)</f>
        <v>0</v>
      </c>
      <c r="C76" s="30" t="n">
        <f aca="false">IF(OR(Responses!D76="",Responses!E76="",Responses!J76="",Responses!K76="",Responses!I76=""),1,0)</f>
        <v>0</v>
      </c>
      <c r="D76" s="30" t="n">
        <f aca="false">IF(Responses!I76="",0,IF(OR(Responses!I76&lt;Assumptions!$B$4,Responses!I76&gt;Assumptions!$B$5),1,0))</f>
        <v>0</v>
      </c>
      <c r="E76" s="30" t="n">
        <f aca="false">IF(Responses!Q76&lt;Assumptions!$B$6,1,0)</f>
        <v>0</v>
      </c>
      <c r="F76" s="30" t="n">
        <f aca="false">IF(OR(AND(Responses!K76="No",Responses!L76&lt;&gt;""),AND(Responses!K76="Yes",Responses!L76="")),1,0)</f>
        <v>0</v>
      </c>
      <c r="G76" s="30" t="n">
        <f aca="false">SUM(B76:F76)</f>
        <v>0</v>
      </c>
      <c r="H76" s="30" t="str">
        <f aca="false">IF(G76=0,"Valid","Review")</f>
        <v>Valid</v>
      </c>
      <c r="I76" s="30" t="n">
        <f aca="false">IF(G76=0,1,0)</f>
        <v>1</v>
      </c>
    </row>
    <row r="77" customFormat="false" ht="15" hidden="false" customHeight="false" outlineLevel="0" collapsed="false">
      <c r="A77" s="30" t="str">
        <f aca="false">Responses!A77</f>
        <v>S0298</v>
      </c>
      <c r="B77" s="30" t="n">
        <f aca="false">IF(COUNTIF(Responses!$A$2:A77,Responses!A77)&gt;1,1,0)</f>
        <v>0</v>
      </c>
      <c r="C77" s="30" t="n">
        <f aca="false">IF(OR(Responses!D77="",Responses!E77="",Responses!J77="",Responses!K77="",Responses!I77=""),1,0)</f>
        <v>0</v>
      </c>
      <c r="D77" s="30" t="n">
        <f aca="false">IF(Responses!I77="",0,IF(OR(Responses!I77&lt;Assumptions!$B$4,Responses!I77&gt;Assumptions!$B$5),1,0))</f>
        <v>0</v>
      </c>
      <c r="E77" s="30" t="n">
        <f aca="false">IF(Responses!Q77&lt;Assumptions!$B$6,1,0)</f>
        <v>0</v>
      </c>
      <c r="F77" s="30" t="n">
        <f aca="false">IF(OR(AND(Responses!K77="No",Responses!L77&lt;&gt;""),AND(Responses!K77="Yes",Responses!L77="")),1,0)</f>
        <v>0</v>
      </c>
      <c r="G77" s="30" t="n">
        <f aca="false">SUM(B77:F77)</f>
        <v>0</v>
      </c>
      <c r="H77" s="30" t="str">
        <f aca="false">IF(G77=0,"Valid","Review")</f>
        <v>Valid</v>
      </c>
      <c r="I77" s="30" t="n">
        <f aca="false">IF(G77=0,1,0)</f>
        <v>1</v>
      </c>
    </row>
    <row r="78" customFormat="false" ht="15" hidden="false" customHeight="false" outlineLevel="0" collapsed="false">
      <c r="A78" s="30" t="str">
        <f aca="false">Responses!A78</f>
        <v>S0301</v>
      </c>
      <c r="B78" s="30" t="n">
        <f aca="false">IF(COUNTIF(Responses!$A$2:A78,Responses!A78)&gt;1,1,0)</f>
        <v>0</v>
      </c>
      <c r="C78" s="30" t="n">
        <f aca="false">IF(OR(Responses!D78="",Responses!E78="",Responses!J78="",Responses!K78="",Responses!I78=""),1,0)</f>
        <v>0</v>
      </c>
      <c r="D78" s="30" t="n">
        <f aca="false">IF(Responses!I78="",0,IF(OR(Responses!I78&lt;Assumptions!$B$4,Responses!I78&gt;Assumptions!$B$5),1,0))</f>
        <v>0</v>
      </c>
      <c r="E78" s="30" t="n">
        <f aca="false">IF(Responses!Q78&lt;Assumptions!$B$6,1,0)</f>
        <v>0</v>
      </c>
      <c r="F78" s="30" t="n">
        <f aca="false">IF(OR(AND(Responses!K78="No",Responses!L78&lt;&gt;""),AND(Responses!K78="Yes",Responses!L78="")),1,0)</f>
        <v>0</v>
      </c>
      <c r="G78" s="30" t="n">
        <f aca="false">SUM(B78:F78)</f>
        <v>0</v>
      </c>
      <c r="H78" s="30" t="str">
        <f aca="false">IF(G78=0,"Valid","Review")</f>
        <v>Valid</v>
      </c>
      <c r="I78" s="30" t="n">
        <f aca="false">IF(G78=0,1,0)</f>
        <v>1</v>
      </c>
    </row>
    <row r="79" customFormat="false" ht="15" hidden="false" customHeight="false" outlineLevel="0" collapsed="false">
      <c r="A79" s="30" t="str">
        <f aca="false">Responses!A79</f>
        <v>S0022</v>
      </c>
      <c r="B79" s="30" t="n">
        <f aca="false">IF(COUNTIF(Responses!$A$2:A79,Responses!A79)&gt;1,1,0)</f>
        <v>0</v>
      </c>
      <c r="C79" s="30" t="n">
        <f aca="false">IF(OR(Responses!D79="",Responses!E79="",Responses!J79="",Responses!K79="",Responses!I79=""),1,0)</f>
        <v>0</v>
      </c>
      <c r="D79" s="30" t="n">
        <f aca="false">IF(Responses!I79="",0,IF(OR(Responses!I79&lt;Assumptions!$B$4,Responses!I79&gt;Assumptions!$B$5),1,0))</f>
        <v>0</v>
      </c>
      <c r="E79" s="30" t="n">
        <f aca="false">IF(Responses!Q79&lt;Assumptions!$B$6,1,0)</f>
        <v>0</v>
      </c>
      <c r="F79" s="30" t="n">
        <f aca="false">IF(OR(AND(Responses!K79="No",Responses!L79&lt;&gt;""),AND(Responses!K79="Yes",Responses!L79="")),1,0)</f>
        <v>0</v>
      </c>
      <c r="G79" s="30" t="n">
        <f aca="false">SUM(B79:F79)</f>
        <v>0</v>
      </c>
      <c r="H79" s="30" t="str">
        <f aca="false">IF(G79=0,"Valid","Review")</f>
        <v>Valid</v>
      </c>
      <c r="I79" s="30" t="n">
        <f aca="false">IF(G79=0,1,0)</f>
        <v>1</v>
      </c>
    </row>
    <row r="80" customFormat="false" ht="15" hidden="false" customHeight="false" outlineLevel="0" collapsed="false">
      <c r="A80" s="30" t="str">
        <f aca="false">Responses!A80</f>
        <v>S0049</v>
      </c>
      <c r="B80" s="30" t="n">
        <f aca="false">IF(COUNTIF(Responses!$A$2:A80,Responses!A80)&gt;1,1,0)</f>
        <v>0</v>
      </c>
      <c r="C80" s="30" t="n">
        <f aca="false">IF(OR(Responses!D80="",Responses!E80="",Responses!J80="",Responses!K80="",Responses!I80=""),1,0)</f>
        <v>0</v>
      </c>
      <c r="D80" s="30" t="n">
        <f aca="false">IF(Responses!I80="",0,IF(OR(Responses!I80&lt;Assumptions!$B$4,Responses!I80&gt;Assumptions!$B$5),1,0))</f>
        <v>0</v>
      </c>
      <c r="E80" s="30" t="n">
        <f aca="false">IF(Responses!Q80&lt;Assumptions!$B$6,1,0)</f>
        <v>0</v>
      </c>
      <c r="F80" s="30" t="n">
        <f aca="false">IF(OR(AND(Responses!K80="No",Responses!L80&lt;&gt;""),AND(Responses!K80="Yes",Responses!L80="")),1,0)</f>
        <v>0</v>
      </c>
      <c r="G80" s="30" t="n">
        <f aca="false">SUM(B80:F80)</f>
        <v>0</v>
      </c>
      <c r="H80" s="30" t="str">
        <f aca="false">IF(G80=0,"Valid","Review")</f>
        <v>Valid</v>
      </c>
      <c r="I80" s="30" t="n">
        <f aca="false">IF(G80=0,1,0)</f>
        <v>1</v>
      </c>
    </row>
    <row r="81" customFormat="false" ht="15" hidden="false" customHeight="false" outlineLevel="0" collapsed="false">
      <c r="A81" s="30" t="str">
        <f aca="false">Responses!A81</f>
        <v>S0065</v>
      </c>
      <c r="B81" s="30" t="n">
        <f aca="false">IF(COUNTIF(Responses!$A$2:A81,Responses!A81)&gt;1,1,0)</f>
        <v>0</v>
      </c>
      <c r="C81" s="30" t="n">
        <f aca="false">IF(OR(Responses!D81="",Responses!E81="",Responses!J81="",Responses!K81="",Responses!I81=""),1,0)</f>
        <v>0</v>
      </c>
      <c r="D81" s="30" t="n">
        <f aca="false">IF(Responses!I81="",0,IF(OR(Responses!I81&lt;Assumptions!$B$4,Responses!I81&gt;Assumptions!$B$5),1,0))</f>
        <v>0</v>
      </c>
      <c r="E81" s="30" t="n">
        <f aca="false">IF(Responses!Q81&lt;Assumptions!$B$6,1,0)</f>
        <v>0</v>
      </c>
      <c r="F81" s="30" t="n">
        <f aca="false">IF(OR(AND(Responses!K81="No",Responses!L81&lt;&gt;""),AND(Responses!K81="Yes",Responses!L81="")),1,0)</f>
        <v>0</v>
      </c>
      <c r="G81" s="30" t="n">
        <f aca="false">SUM(B81:F81)</f>
        <v>0</v>
      </c>
      <c r="H81" s="30" t="str">
        <f aca="false">IF(G81=0,"Valid","Review")</f>
        <v>Valid</v>
      </c>
      <c r="I81" s="30" t="n">
        <f aca="false">IF(G81=0,1,0)</f>
        <v>1</v>
      </c>
    </row>
    <row r="82" customFormat="false" ht="15" hidden="false" customHeight="false" outlineLevel="0" collapsed="false">
      <c r="A82" s="30" t="str">
        <f aca="false">Responses!A82</f>
        <v>S0109</v>
      </c>
      <c r="B82" s="30" t="n">
        <f aca="false">IF(COUNTIF(Responses!$A$2:A82,Responses!A82)&gt;1,1,0)</f>
        <v>0</v>
      </c>
      <c r="C82" s="30" t="n">
        <f aca="false">IF(OR(Responses!D82="",Responses!E82="",Responses!J82="",Responses!K82="",Responses!I82=""),1,0)</f>
        <v>0</v>
      </c>
      <c r="D82" s="30" t="n">
        <f aca="false">IF(Responses!I82="",0,IF(OR(Responses!I82&lt;Assumptions!$B$4,Responses!I82&gt;Assumptions!$B$5),1,0))</f>
        <v>0</v>
      </c>
      <c r="E82" s="30" t="n">
        <f aca="false">IF(Responses!Q82&lt;Assumptions!$B$6,1,0)</f>
        <v>0</v>
      </c>
      <c r="F82" s="30" t="n">
        <f aca="false">IF(OR(AND(Responses!K82="No",Responses!L82&lt;&gt;""),AND(Responses!K82="Yes",Responses!L82="")),1,0)</f>
        <v>0</v>
      </c>
      <c r="G82" s="30" t="n">
        <f aca="false">SUM(B82:F82)</f>
        <v>0</v>
      </c>
      <c r="H82" s="30" t="str">
        <f aca="false">IF(G82=0,"Valid","Review")</f>
        <v>Valid</v>
      </c>
      <c r="I82" s="30" t="n">
        <f aca="false">IF(G82=0,1,0)</f>
        <v>1</v>
      </c>
    </row>
    <row r="83" customFormat="false" ht="15" hidden="false" customHeight="false" outlineLevel="0" collapsed="false">
      <c r="A83" s="30" t="str">
        <f aca="false">Responses!A83</f>
        <v>S0140</v>
      </c>
      <c r="B83" s="30" t="n">
        <f aca="false">IF(COUNTIF(Responses!$A$2:A83,Responses!A83)&gt;1,1,0)</f>
        <v>0</v>
      </c>
      <c r="C83" s="30" t="n">
        <f aca="false">IF(OR(Responses!D83="",Responses!E83="",Responses!J83="",Responses!K83="",Responses!I83=""),1,0)</f>
        <v>0</v>
      </c>
      <c r="D83" s="30" t="n">
        <f aca="false">IF(Responses!I83="",0,IF(OR(Responses!I83&lt;Assumptions!$B$4,Responses!I83&gt;Assumptions!$B$5),1,0))</f>
        <v>0</v>
      </c>
      <c r="E83" s="30" t="n">
        <f aca="false">IF(Responses!Q83&lt;Assumptions!$B$6,1,0)</f>
        <v>0</v>
      </c>
      <c r="F83" s="30" t="n">
        <f aca="false">IF(OR(AND(Responses!K83="No",Responses!L83&lt;&gt;""),AND(Responses!K83="Yes",Responses!L83="")),1,0)</f>
        <v>0</v>
      </c>
      <c r="G83" s="30" t="n">
        <f aca="false">SUM(B83:F83)</f>
        <v>0</v>
      </c>
      <c r="H83" s="30" t="str">
        <f aca="false">IF(G83=0,"Valid","Review")</f>
        <v>Valid</v>
      </c>
      <c r="I83" s="30" t="n">
        <f aca="false">IF(G83=0,1,0)</f>
        <v>1</v>
      </c>
    </row>
    <row r="84" customFormat="false" ht="15" hidden="false" customHeight="false" outlineLevel="0" collapsed="false">
      <c r="A84" s="30" t="str">
        <f aca="false">Responses!A84</f>
        <v>S0144</v>
      </c>
      <c r="B84" s="30" t="n">
        <f aca="false">IF(COUNTIF(Responses!$A$2:A84,Responses!A84)&gt;1,1,0)</f>
        <v>0</v>
      </c>
      <c r="C84" s="30" t="n">
        <f aca="false">IF(OR(Responses!D84="",Responses!E84="",Responses!J84="",Responses!K84="",Responses!I84=""),1,0)</f>
        <v>0</v>
      </c>
      <c r="D84" s="30" t="n">
        <f aca="false">IF(Responses!I84="",0,IF(OR(Responses!I84&lt;Assumptions!$B$4,Responses!I84&gt;Assumptions!$B$5),1,0))</f>
        <v>0</v>
      </c>
      <c r="E84" s="30" t="n">
        <f aca="false">IF(Responses!Q84&lt;Assumptions!$B$6,1,0)</f>
        <v>0</v>
      </c>
      <c r="F84" s="30" t="n">
        <f aca="false">IF(OR(AND(Responses!K84="No",Responses!L84&lt;&gt;""),AND(Responses!K84="Yes",Responses!L84="")),1,0)</f>
        <v>0</v>
      </c>
      <c r="G84" s="30" t="n">
        <f aca="false">SUM(B84:F84)</f>
        <v>0</v>
      </c>
      <c r="H84" s="30" t="str">
        <f aca="false">IF(G84=0,"Valid","Review")</f>
        <v>Valid</v>
      </c>
      <c r="I84" s="30" t="n">
        <f aca="false">IF(G84=0,1,0)</f>
        <v>1</v>
      </c>
    </row>
    <row r="85" customFormat="false" ht="15" hidden="false" customHeight="false" outlineLevel="0" collapsed="false">
      <c r="A85" s="30" t="str">
        <f aca="false">Responses!A85</f>
        <v>S0163</v>
      </c>
      <c r="B85" s="30" t="n">
        <f aca="false">IF(COUNTIF(Responses!$A$2:A85,Responses!A85)&gt;1,1,0)</f>
        <v>0</v>
      </c>
      <c r="C85" s="30" t="n">
        <f aca="false">IF(OR(Responses!D85="",Responses!E85="",Responses!J85="",Responses!K85="",Responses!I85=""),1,0)</f>
        <v>0</v>
      </c>
      <c r="D85" s="30" t="n">
        <f aca="false">IF(Responses!I85="",0,IF(OR(Responses!I85&lt;Assumptions!$B$4,Responses!I85&gt;Assumptions!$B$5),1,0))</f>
        <v>0</v>
      </c>
      <c r="E85" s="30" t="n">
        <f aca="false">IF(Responses!Q85&lt;Assumptions!$B$6,1,0)</f>
        <v>0</v>
      </c>
      <c r="F85" s="30" t="n">
        <f aca="false">IF(OR(AND(Responses!K85="No",Responses!L85&lt;&gt;""),AND(Responses!K85="Yes",Responses!L85="")),1,0)</f>
        <v>0</v>
      </c>
      <c r="G85" s="30" t="n">
        <f aca="false">SUM(B85:F85)</f>
        <v>0</v>
      </c>
      <c r="H85" s="30" t="str">
        <f aca="false">IF(G85=0,"Valid","Review")</f>
        <v>Valid</v>
      </c>
      <c r="I85" s="30" t="n">
        <f aca="false">IF(G85=0,1,0)</f>
        <v>1</v>
      </c>
    </row>
    <row r="86" customFormat="false" ht="15" hidden="false" customHeight="false" outlineLevel="0" collapsed="false">
      <c r="A86" s="30" t="str">
        <f aca="false">Responses!A86</f>
        <v>S0182</v>
      </c>
      <c r="B86" s="30" t="n">
        <f aca="false">IF(COUNTIF(Responses!$A$2:A86,Responses!A86)&gt;1,1,0)</f>
        <v>0</v>
      </c>
      <c r="C86" s="30" t="n">
        <f aca="false">IF(OR(Responses!D86="",Responses!E86="",Responses!J86="",Responses!K86="",Responses!I86=""),1,0)</f>
        <v>0</v>
      </c>
      <c r="D86" s="30" t="n">
        <f aca="false">IF(Responses!I86="",0,IF(OR(Responses!I86&lt;Assumptions!$B$4,Responses!I86&gt;Assumptions!$B$5),1,0))</f>
        <v>0</v>
      </c>
      <c r="E86" s="30" t="n">
        <f aca="false">IF(Responses!Q86&lt;Assumptions!$B$6,1,0)</f>
        <v>0</v>
      </c>
      <c r="F86" s="30" t="n">
        <f aca="false">IF(OR(AND(Responses!K86="No",Responses!L86&lt;&gt;""),AND(Responses!K86="Yes",Responses!L86="")),1,0)</f>
        <v>0</v>
      </c>
      <c r="G86" s="30" t="n">
        <f aca="false">SUM(B86:F86)</f>
        <v>0</v>
      </c>
      <c r="H86" s="30" t="str">
        <f aca="false">IF(G86=0,"Valid","Review")</f>
        <v>Valid</v>
      </c>
      <c r="I86" s="30" t="n">
        <f aca="false">IF(G86=0,1,0)</f>
        <v>1</v>
      </c>
    </row>
    <row r="87" customFormat="false" ht="15" hidden="false" customHeight="false" outlineLevel="0" collapsed="false">
      <c r="A87" s="30" t="str">
        <f aca="false">Responses!A87</f>
        <v>S0185</v>
      </c>
      <c r="B87" s="30" t="n">
        <f aca="false">IF(COUNTIF(Responses!$A$2:A87,Responses!A87)&gt;1,1,0)</f>
        <v>0</v>
      </c>
      <c r="C87" s="30" t="n">
        <f aca="false">IF(OR(Responses!D87="",Responses!E87="",Responses!J87="",Responses!K87="",Responses!I87=""),1,0)</f>
        <v>0</v>
      </c>
      <c r="D87" s="30" t="n">
        <f aca="false">IF(Responses!I87="",0,IF(OR(Responses!I87&lt;Assumptions!$B$4,Responses!I87&gt;Assumptions!$B$5),1,0))</f>
        <v>0</v>
      </c>
      <c r="E87" s="30" t="n">
        <f aca="false">IF(Responses!Q87&lt;Assumptions!$B$6,1,0)</f>
        <v>0</v>
      </c>
      <c r="F87" s="30" t="n">
        <f aca="false">IF(OR(AND(Responses!K87="No",Responses!L87&lt;&gt;""),AND(Responses!K87="Yes",Responses!L87="")),1,0)</f>
        <v>0</v>
      </c>
      <c r="G87" s="30" t="n">
        <f aca="false">SUM(B87:F87)</f>
        <v>0</v>
      </c>
      <c r="H87" s="30" t="str">
        <f aca="false">IF(G87=0,"Valid","Review")</f>
        <v>Valid</v>
      </c>
      <c r="I87" s="30" t="n">
        <f aca="false">IF(G87=0,1,0)</f>
        <v>1</v>
      </c>
    </row>
    <row r="88" customFormat="false" ht="15" hidden="false" customHeight="false" outlineLevel="0" collapsed="false">
      <c r="A88" s="30" t="str">
        <f aca="false">Responses!A88</f>
        <v>S0225</v>
      </c>
      <c r="B88" s="30" t="n">
        <f aca="false">IF(COUNTIF(Responses!$A$2:A88,Responses!A88)&gt;1,1,0)</f>
        <v>0</v>
      </c>
      <c r="C88" s="30" t="n">
        <f aca="false">IF(OR(Responses!D88="",Responses!E88="",Responses!J88="",Responses!K88="",Responses!I88=""),1,0)</f>
        <v>0</v>
      </c>
      <c r="D88" s="30" t="n">
        <f aca="false">IF(Responses!I88="",0,IF(OR(Responses!I88&lt;Assumptions!$B$4,Responses!I88&gt;Assumptions!$B$5),1,0))</f>
        <v>0</v>
      </c>
      <c r="E88" s="30" t="n">
        <f aca="false">IF(Responses!Q88&lt;Assumptions!$B$6,1,0)</f>
        <v>0</v>
      </c>
      <c r="F88" s="30" t="n">
        <f aca="false">IF(OR(AND(Responses!K88="No",Responses!L88&lt;&gt;""),AND(Responses!K88="Yes",Responses!L88="")),1,0)</f>
        <v>0</v>
      </c>
      <c r="G88" s="30" t="n">
        <f aca="false">SUM(B88:F88)</f>
        <v>0</v>
      </c>
      <c r="H88" s="30" t="str">
        <f aca="false">IF(G88=0,"Valid","Review")</f>
        <v>Valid</v>
      </c>
      <c r="I88" s="30" t="n">
        <f aca="false">IF(G88=0,1,0)</f>
        <v>1</v>
      </c>
    </row>
    <row r="89" customFormat="false" ht="15" hidden="false" customHeight="false" outlineLevel="0" collapsed="false">
      <c r="A89" s="30" t="str">
        <f aca="false">Responses!A89</f>
        <v>S0237</v>
      </c>
      <c r="B89" s="30" t="n">
        <f aca="false">IF(COUNTIF(Responses!$A$2:A89,Responses!A89)&gt;1,1,0)</f>
        <v>0</v>
      </c>
      <c r="C89" s="30" t="n">
        <f aca="false">IF(OR(Responses!D89="",Responses!E89="",Responses!J89="",Responses!K89="",Responses!I89=""),1,0)</f>
        <v>0</v>
      </c>
      <c r="D89" s="30" t="n">
        <f aca="false">IF(Responses!I89="",0,IF(OR(Responses!I89&lt;Assumptions!$B$4,Responses!I89&gt;Assumptions!$B$5),1,0))</f>
        <v>0</v>
      </c>
      <c r="E89" s="30" t="n">
        <f aca="false">IF(Responses!Q89&lt;Assumptions!$B$6,1,0)</f>
        <v>0</v>
      </c>
      <c r="F89" s="30" t="n">
        <f aca="false">IF(OR(AND(Responses!K89="No",Responses!L89&lt;&gt;""),AND(Responses!K89="Yes",Responses!L89="")),1,0)</f>
        <v>0</v>
      </c>
      <c r="G89" s="30" t="n">
        <f aca="false">SUM(B89:F89)</f>
        <v>0</v>
      </c>
      <c r="H89" s="30" t="str">
        <f aca="false">IF(G89=0,"Valid","Review")</f>
        <v>Valid</v>
      </c>
      <c r="I89" s="30" t="n">
        <f aca="false">IF(G89=0,1,0)</f>
        <v>1</v>
      </c>
    </row>
    <row r="90" customFormat="false" ht="15" hidden="false" customHeight="false" outlineLevel="0" collapsed="false">
      <c r="A90" s="30" t="str">
        <f aca="false">Responses!A90</f>
        <v>S0272</v>
      </c>
      <c r="B90" s="30" t="n">
        <f aca="false">IF(COUNTIF(Responses!$A$2:A90,Responses!A90)&gt;1,1,0)</f>
        <v>0</v>
      </c>
      <c r="C90" s="30" t="n">
        <f aca="false">IF(OR(Responses!D90="",Responses!E90="",Responses!J90="",Responses!K90="",Responses!I90=""),1,0)</f>
        <v>0</v>
      </c>
      <c r="D90" s="30" t="n">
        <f aca="false">IF(Responses!I90="",0,IF(OR(Responses!I90&lt;Assumptions!$B$4,Responses!I90&gt;Assumptions!$B$5),1,0))</f>
        <v>0</v>
      </c>
      <c r="E90" s="30" t="n">
        <f aca="false">IF(Responses!Q90&lt;Assumptions!$B$6,1,0)</f>
        <v>0</v>
      </c>
      <c r="F90" s="30" t="n">
        <f aca="false">IF(OR(AND(Responses!K90="No",Responses!L90&lt;&gt;""),AND(Responses!K90="Yes",Responses!L90="")),1,0)</f>
        <v>0</v>
      </c>
      <c r="G90" s="30" t="n">
        <f aca="false">SUM(B90:F90)</f>
        <v>0</v>
      </c>
      <c r="H90" s="30" t="str">
        <f aca="false">IF(G90=0,"Valid","Review")</f>
        <v>Valid</v>
      </c>
      <c r="I90" s="30" t="n">
        <f aca="false">IF(G90=0,1,0)</f>
        <v>1</v>
      </c>
    </row>
    <row r="91" customFormat="false" ht="15" hidden="false" customHeight="false" outlineLevel="0" collapsed="false">
      <c r="A91" s="30" t="str">
        <f aca="false">Responses!A91</f>
        <v>S0273</v>
      </c>
      <c r="B91" s="30" t="n">
        <f aca="false">IF(COUNTIF(Responses!$A$2:A91,Responses!A91)&gt;1,1,0)</f>
        <v>0</v>
      </c>
      <c r="C91" s="30" t="n">
        <f aca="false">IF(OR(Responses!D91="",Responses!E91="",Responses!J91="",Responses!K91="",Responses!I91=""),1,0)</f>
        <v>0</v>
      </c>
      <c r="D91" s="30" t="n">
        <f aca="false">IF(Responses!I91="",0,IF(OR(Responses!I91&lt;Assumptions!$B$4,Responses!I91&gt;Assumptions!$B$5),1,0))</f>
        <v>0</v>
      </c>
      <c r="E91" s="30" t="n">
        <f aca="false">IF(Responses!Q91&lt;Assumptions!$B$6,1,0)</f>
        <v>0</v>
      </c>
      <c r="F91" s="30" t="n">
        <f aca="false">IF(OR(AND(Responses!K91="No",Responses!L91&lt;&gt;""),AND(Responses!K91="Yes",Responses!L91="")),1,0)</f>
        <v>0</v>
      </c>
      <c r="G91" s="30" t="n">
        <f aca="false">SUM(B91:F91)</f>
        <v>0</v>
      </c>
      <c r="H91" s="30" t="str">
        <f aca="false">IF(G91=0,"Valid","Review")</f>
        <v>Valid</v>
      </c>
      <c r="I91" s="30" t="n">
        <f aca="false">IF(G91=0,1,0)</f>
        <v>1</v>
      </c>
    </row>
    <row r="92" customFormat="false" ht="15" hidden="false" customHeight="false" outlineLevel="0" collapsed="false">
      <c r="A92" s="30" t="str">
        <f aca="false">Responses!A92</f>
        <v>S0278</v>
      </c>
      <c r="B92" s="30" t="n">
        <f aca="false">IF(COUNTIF(Responses!$A$2:A92,Responses!A92)&gt;1,1,0)</f>
        <v>0</v>
      </c>
      <c r="C92" s="30" t="n">
        <f aca="false">IF(OR(Responses!D92="",Responses!E92="",Responses!J92="",Responses!K92="",Responses!I92=""),1,0)</f>
        <v>0</v>
      </c>
      <c r="D92" s="30" t="n">
        <f aca="false">IF(Responses!I92="",0,IF(OR(Responses!I92&lt;Assumptions!$B$4,Responses!I92&gt;Assumptions!$B$5),1,0))</f>
        <v>0</v>
      </c>
      <c r="E92" s="30" t="n">
        <f aca="false">IF(Responses!Q92&lt;Assumptions!$B$6,1,0)</f>
        <v>0</v>
      </c>
      <c r="F92" s="30" t="n">
        <f aca="false">IF(OR(AND(Responses!K92="No",Responses!L92&lt;&gt;""),AND(Responses!K92="Yes",Responses!L92="")),1,0)</f>
        <v>0</v>
      </c>
      <c r="G92" s="30" t="n">
        <f aca="false">SUM(B92:F92)</f>
        <v>0</v>
      </c>
      <c r="H92" s="30" t="str">
        <f aca="false">IF(G92=0,"Valid","Review")</f>
        <v>Valid</v>
      </c>
      <c r="I92" s="30" t="n">
        <f aca="false">IF(G92=0,1,0)</f>
        <v>1</v>
      </c>
    </row>
    <row r="93" customFormat="false" ht="15" hidden="false" customHeight="false" outlineLevel="0" collapsed="false">
      <c r="A93" s="30" t="str">
        <f aca="false">Responses!A93</f>
        <v>S0300</v>
      </c>
      <c r="B93" s="30" t="n">
        <f aca="false">IF(COUNTIF(Responses!$A$2:A93,Responses!A93)&gt;1,1,0)</f>
        <v>0</v>
      </c>
      <c r="C93" s="30" t="n">
        <f aca="false">IF(OR(Responses!D93="",Responses!E93="",Responses!J93="",Responses!K93="",Responses!I93=""),1,0)</f>
        <v>0</v>
      </c>
      <c r="D93" s="30" t="n">
        <f aca="false">IF(Responses!I93="",0,IF(OR(Responses!I93&lt;Assumptions!$B$4,Responses!I93&gt;Assumptions!$B$5),1,0))</f>
        <v>0</v>
      </c>
      <c r="E93" s="30" t="n">
        <f aca="false">IF(Responses!Q93&lt;Assumptions!$B$6,1,0)</f>
        <v>0</v>
      </c>
      <c r="F93" s="30" t="n">
        <f aca="false">IF(OR(AND(Responses!K93="No",Responses!L93&lt;&gt;""),AND(Responses!K93="Yes",Responses!L93="")),1,0)</f>
        <v>0</v>
      </c>
      <c r="G93" s="30" t="n">
        <f aca="false">SUM(B93:F93)</f>
        <v>0</v>
      </c>
      <c r="H93" s="30" t="str">
        <f aca="false">IF(G93=0,"Valid","Review")</f>
        <v>Valid</v>
      </c>
      <c r="I93" s="30" t="n">
        <f aca="false">IF(G93=0,1,0)</f>
        <v>1</v>
      </c>
    </row>
    <row r="94" customFormat="false" ht="15" hidden="false" customHeight="false" outlineLevel="0" collapsed="false">
      <c r="A94" s="30" t="str">
        <f aca="false">Responses!A94</f>
        <v>S0011</v>
      </c>
      <c r="B94" s="30" t="n">
        <f aca="false">IF(COUNTIF(Responses!$A$2:A94,Responses!A94)&gt;1,1,0)</f>
        <v>0</v>
      </c>
      <c r="C94" s="30" t="n">
        <f aca="false">IF(OR(Responses!D94="",Responses!E94="",Responses!J94="",Responses!K94="",Responses!I94=""),1,0)</f>
        <v>0</v>
      </c>
      <c r="D94" s="30" t="n">
        <f aca="false">IF(Responses!I94="",0,IF(OR(Responses!I94&lt;Assumptions!$B$4,Responses!I94&gt;Assumptions!$B$5),1,0))</f>
        <v>0</v>
      </c>
      <c r="E94" s="30" t="n">
        <f aca="false">IF(Responses!Q94&lt;Assumptions!$B$6,1,0)</f>
        <v>0</v>
      </c>
      <c r="F94" s="30" t="n">
        <f aca="false">IF(OR(AND(Responses!K94="No",Responses!L94&lt;&gt;""),AND(Responses!K94="Yes",Responses!L94="")),1,0)</f>
        <v>0</v>
      </c>
      <c r="G94" s="30" t="n">
        <f aca="false">SUM(B94:F94)</f>
        <v>0</v>
      </c>
      <c r="H94" s="30" t="str">
        <f aca="false">IF(G94=0,"Valid","Review")</f>
        <v>Valid</v>
      </c>
      <c r="I94" s="30" t="n">
        <f aca="false">IF(G94=0,1,0)</f>
        <v>1</v>
      </c>
    </row>
    <row r="95" customFormat="false" ht="15" hidden="false" customHeight="false" outlineLevel="0" collapsed="false">
      <c r="A95" s="30" t="str">
        <f aca="false">Responses!A95</f>
        <v>S0083</v>
      </c>
      <c r="B95" s="30" t="n">
        <f aca="false">IF(COUNTIF(Responses!$A$2:A95,Responses!A95)&gt;1,1,0)</f>
        <v>0</v>
      </c>
      <c r="C95" s="30" t="n">
        <f aca="false">IF(OR(Responses!D95="",Responses!E95="",Responses!J95="",Responses!K95="",Responses!I95=""),1,0)</f>
        <v>0</v>
      </c>
      <c r="D95" s="30" t="n">
        <f aca="false">IF(Responses!I95="",0,IF(OR(Responses!I95&lt;Assumptions!$B$4,Responses!I95&gt;Assumptions!$B$5),1,0))</f>
        <v>0</v>
      </c>
      <c r="E95" s="30" t="n">
        <f aca="false">IF(Responses!Q95&lt;Assumptions!$B$6,1,0)</f>
        <v>0</v>
      </c>
      <c r="F95" s="30" t="n">
        <f aca="false">IF(OR(AND(Responses!K95="No",Responses!L95&lt;&gt;""),AND(Responses!K95="Yes",Responses!L95="")),1,0)</f>
        <v>0</v>
      </c>
      <c r="G95" s="30" t="n">
        <f aca="false">SUM(B95:F95)</f>
        <v>0</v>
      </c>
      <c r="H95" s="30" t="str">
        <f aca="false">IF(G95=0,"Valid","Review")</f>
        <v>Valid</v>
      </c>
      <c r="I95" s="30" t="n">
        <f aca="false">IF(G95=0,1,0)</f>
        <v>1</v>
      </c>
    </row>
    <row r="96" customFormat="false" ht="15" hidden="false" customHeight="false" outlineLevel="0" collapsed="false">
      <c r="A96" s="30" t="str">
        <f aca="false">Responses!A96</f>
        <v>S0128</v>
      </c>
      <c r="B96" s="30" t="n">
        <f aca="false">IF(COUNTIF(Responses!$A$2:A96,Responses!A96)&gt;1,1,0)</f>
        <v>0</v>
      </c>
      <c r="C96" s="30" t="n">
        <f aca="false">IF(OR(Responses!D96="",Responses!E96="",Responses!J96="",Responses!K96="",Responses!I96=""),1,0)</f>
        <v>0</v>
      </c>
      <c r="D96" s="30" t="n">
        <f aca="false">IF(Responses!I96="",0,IF(OR(Responses!I96&lt;Assumptions!$B$4,Responses!I96&gt;Assumptions!$B$5),1,0))</f>
        <v>0</v>
      </c>
      <c r="E96" s="30" t="n">
        <f aca="false">IF(Responses!Q96&lt;Assumptions!$B$6,1,0)</f>
        <v>0</v>
      </c>
      <c r="F96" s="30" t="n">
        <f aca="false">IF(OR(AND(Responses!K96="No",Responses!L96&lt;&gt;""),AND(Responses!K96="Yes",Responses!L96="")),1,0)</f>
        <v>0</v>
      </c>
      <c r="G96" s="30" t="n">
        <f aca="false">SUM(B96:F96)</f>
        <v>0</v>
      </c>
      <c r="H96" s="30" t="str">
        <f aca="false">IF(G96=0,"Valid","Review")</f>
        <v>Valid</v>
      </c>
      <c r="I96" s="30" t="n">
        <f aca="false">IF(G96=0,1,0)</f>
        <v>1</v>
      </c>
    </row>
    <row r="97" customFormat="false" ht="15" hidden="false" customHeight="false" outlineLevel="0" collapsed="false">
      <c r="A97" s="30" t="str">
        <f aca="false">Responses!A97</f>
        <v>S0133</v>
      </c>
      <c r="B97" s="30" t="n">
        <f aca="false">IF(COUNTIF(Responses!$A$2:A97,Responses!A97)&gt;1,1,0)</f>
        <v>0</v>
      </c>
      <c r="C97" s="30" t="n">
        <f aca="false">IF(OR(Responses!D97="",Responses!E97="",Responses!J97="",Responses!K97="",Responses!I97=""),1,0)</f>
        <v>0</v>
      </c>
      <c r="D97" s="30" t="n">
        <f aca="false">IF(Responses!I97="",0,IF(OR(Responses!I97&lt;Assumptions!$B$4,Responses!I97&gt;Assumptions!$B$5),1,0))</f>
        <v>0</v>
      </c>
      <c r="E97" s="30" t="n">
        <f aca="false">IF(Responses!Q97&lt;Assumptions!$B$6,1,0)</f>
        <v>0</v>
      </c>
      <c r="F97" s="30" t="n">
        <f aca="false">IF(OR(AND(Responses!K97="No",Responses!L97&lt;&gt;""),AND(Responses!K97="Yes",Responses!L97="")),1,0)</f>
        <v>0</v>
      </c>
      <c r="G97" s="30" t="n">
        <f aca="false">SUM(B97:F97)</f>
        <v>0</v>
      </c>
      <c r="H97" s="30" t="str">
        <f aca="false">IF(G97=0,"Valid","Review")</f>
        <v>Valid</v>
      </c>
      <c r="I97" s="30" t="n">
        <f aca="false">IF(G97=0,1,0)</f>
        <v>1</v>
      </c>
    </row>
    <row r="98" customFormat="false" ht="15" hidden="false" customHeight="false" outlineLevel="0" collapsed="false">
      <c r="A98" s="30" t="str">
        <f aca="false">Responses!A98</f>
        <v>S0138</v>
      </c>
      <c r="B98" s="30" t="n">
        <f aca="false">IF(COUNTIF(Responses!$A$2:A98,Responses!A98)&gt;1,1,0)</f>
        <v>0</v>
      </c>
      <c r="C98" s="30" t="n">
        <f aca="false">IF(OR(Responses!D98="",Responses!E98="",Responses!J98="",Responses!K98="",Responses!I98=""),1,0)</f>
        <v>0</v>
      </c>
      <c r="D98" s="30" t="n">
        <f aca="false">IF(Responses!I98="",0,IF(OR(Responses!I98&lt;Assumptions!$B$4,Responses!I98&gt;Assumptions!$B$5),1,0))</f>
        <v>0</v>
      </c>
      <c r="E98" s="30" t="n">
        <f aca="false">IF(Responses!Q98&lt;Assumptions!$B$6,1,0)</f>
        <v>0</v>
      </c>
      <c r="F98" s="30" t="n">
        <f aca="false">IF(OR(AND(Responses!K98="No",Responses!L98&lt;&gt;""),AND(Responses!K98="Yes",Responses!L98="")),1,0)</f>
        <v>0</v>
      </c>
      <c r="G98" s="30" t="n">
        <f aca="false">SUM(B98:F98)</f>
        <v>0</v>
      </c>
      <c r="H98" s="30" t="str">
        <f aca="false">IF(G98=0,"Valid","Review")</f>
        <v>Valid</v>
      </c>
      <c r="I98" s="30" t="n">
        <f aca="false">IF(G98=0,1,0)</f>
        <v>1</v>
      </c>
    </row>
    <row r="99" customFormat="false" ht="15" hidden="false" customHeight="false" outlineLevel="0" collapsed="false">
      <c r="A99" s="30" t="str">
        <f aca="false">Responses!A99</f>
        <v>S0142</v>
      </c>
      <c r="B99" s="30" t="n">
        <f aca="false">IF(COUNTIF(Responses!$A$2:A99,Responses!A99)&gt;1,1,0)</f>
        <v>0</v>
      </c>
      <c r="C99" s="30" t="n">
        <f aca="false">IF(OR(Responses!D99="",Responses!E99="",Responses!J99="",Responses!K99="",Responses!I99=""),1,0)</f>
        <v>0</v>
      </c>
      <c r="D99" s="30" t="n">
        <f aca="false">IF(Responses!I99="",0,IF(OR(Responses!I99&lt;Assumptions!$B$4,Responses!I99&gt;Assumptions!$B$5),1,0))</f>
        <v>0</v>
      </c>
      <c r="E99" s="30" t="n">
        <f aca="false">IF(Responses!Q99&lt;Assumptions!$B$6,1,0)</f>
        <v>0</v>
      </c>
      <c r="F99" s="30" t="n">
        <f aca="false">IF(OR(AND(Responses!K99="No",Responses!L99&lt;&gt;""),AND(Responses!K99="Yes",Responses!L99="")),1,0)</f>
        <v>0</v>
      </c>
      <c r="G99" s="30" t="n">
        <f aca="false">SUM(B99:F99)</f>
        <v>0</v>
      </c>
      <c r="H99" s="30" t="str">
        <f aca="false">IF(G99=0,"Valid","Review")</f>
        <v>Valid</v>
      </c>
      <c r="I99" s="30" t="n">
        <f aca="false">IF(G99=0,1,0)</f>
        <v>1</v>
      </c>
    </row>
    <row r="100" customFormat="false" ht="15" hidden="false" customHeight="false" outlineLevel="0" collapsed="false">
      <c r="A100" s="30" t="str">
        <f aca="false">Responses!A100</f>
        <v>S0175</v>
      </c>
      <c r="B100" s="30" t="n">
        <f aca="false">IF(COUNTIF(Responses!$A$2:A100,Responses!A100)&gt;1,1,0)</f>
        <v>0</v>
      </c>
      <c r="C100" s="30" t="n">
        <f aca="false">IF(OR(Responses!D100="",Responses!E100="",Responses!J100="",Responses!K100="",Responses!I100=""),1,0)</f>
        <v>0</v>
      </c>
      <c r="D100" s="30" t="n">
        <f aca="false">IF(Responses!I100="",0,IF(OR(Responses!I100&lt;Assumptions!$B$4,Responses!I100&gt;Assumptions!$B$5),1,0))</f>
        <v>0</v>
      </c>
      <c r="E100" s="30" t="n">
        <f aca="false">IF(Responses!Q100&lt;Assumptions!$B$6,1,0)</f>
        <v>0</v>
      </c>
      <c r="F100" s="30" t="n">
        <f aca="false">IF(OR(AND(Responses!K100="No",Responses!L100&lt;&gt;""),AND(Responses!K100="Yes",Responses!L100="")),1,0)</f>
        <v>0</v>
      </c>
      <c r="G100" s="30" t="n">
        <f aca="false">SUM(B100:F100)</f>
        <v>0</v>
      </c>
      <c r="H100" s="30" t="str">
        <f aca="false">IF(G100=0,"Valid","Review")</f>
        <v>Valid</v>
      </c>
      <c r="I100" s="30" t="n">
        <f aca="false">IF(G100=0,1,0)</f>
        <v>1</v>
      </c>
    </row>
    <row r="101" customFormat="false" ht="15" hidden="false" customHeight="false" outlineLevel="0" collapsed="false">
      <c r="A101" s="30" t="str">
        <f aca="false">Responses!A101</f>
        <v>S0183</v>
      </c>
      <c r="B101" s="30" t="n">
        <f aca="false">IF(COUNTIF(Responses!$A$2:A101,Responses!A101)&gt;1,1,0)</f>
        <v>0</v>
      </c>
      <c r="C101" s="30" t="n">
        <f aca="false">IF(OR(Responses!D101="",Responses!E101="",Responses!J101="",Responses!K101="",Responses!I101=""),1,0)</f>
        <v>0</v>
      </c>
      <c r="D101" s="30" t="n">
        <f aca="false">IF(Responses!I101="",0,IF(OR(Responses!I101&lt;Assumptions!$B$4,Responses!I101&gt;Assumptions!$B$5),1,0))</f>
        <v>0</v>
      </c>
      <c r="E101" s="30" t="n">
        <f aca="false">IF(Responses!Q101&lt;Assumptions!$B$6,1,0)</f>
        <v>0</v>
      </c>
      <c r="F101" s="30" t="n">
        <f aca="false">IF(OR(AND(Responses!K101="No",Responses!L101&lt;&gt;""),AND(Responses!K101="Yes",Responses!L101="")),1,0)</f>
        <v>0</v>
      </c>
      <c r="G101" s="30" t="n">
        <f aca="false">SUM(B101:F101)</f>
        <v>0</v>
      </c>
      <c r="H101" s="30" t="str">
        <f aca="false">IF(G101=0,"Valid","Review")</f>
        <v>Valid</v>
      </c>
      <c r="I101" s="30" t="n">
        <f aca="false">IF(G101=0,1,0)</f>
        <v>1</v>
      </c>
    </row>
    <row r="102" customFormat="false" ht="15" hidden="false" customHeight="false" outlineLevel="0" collapsed="false">
      <c r="A102" s="30" t="str">
        <f aca="false">Responses!A102</f>
        <v>S0267</v>
      </c>
      <c r="B102" s="30" t="n">
        <f aca="false">IF(COUNTIF(Responses!$A$2:A102,Responses!A102)&gt;1,1,0)</f>
        <v>0</v>
      </c>
      <c r="C102" s="30" t="n">
        <f aca="false">IF(OR(Responses!D102="",Responses!E102="",Responses!J102="",Responses!K102="",Responses!I102=""),1,0)</f>
        <v>0</v>
      </c>
      <c r="D102" s="30" t="n">
        <f aca="false">IF(Responses!I102="",0,IF(OR(Responses!I102&lt;Assumptions!$B$4,Responses!I102&gt;Assumptions!$B$5),1,0))</f>
        <v>0</v>
      </c>
      <c r="E102" s="30" t="n">
        <f aca="false">IF(Responses!Q102&lt;Assumptions!$B$6,1,0)</f>
        <v>0</v>
      </c>
      <c r="F102" s="30" t="n">
        <f aca="false">IF(OR(AND(Responses!K102="No",Responses!L102&lt;&gt;""),AND(Responses!K102="Yes",Responses!L102="")),1,0)</f>
        <v>0</v>
      </c>
      <c r="G102" s="30" t="n">
        <f aca="false">SUM(B102:F102)</f>
        <v>0</v>
      </c>
      <c r="H102" s="30" t="str">
        <f aca="false">IF(G102=0,"Valid","Review")</f>
        <v>Valid</v>
      </c>
      <c r="I102" s="30" t="n">
        <f aca="false">IF(G102=0,1,0)</f>
        <v>1</v>
      </c>
    </row>
    <row r="103" customFormat="false" ht="15" hidden="false" customHeight="false" outlineLevel="0" collapsed="false">
      <c r="A103" s="30" t="str">
        <f aca="false">Responses!A103</f>
        <v>S0009</v>
      </c>
      <c r="B103" s="30" t="n">
        <f aca="false">IF(COUNTIF(Responses!$A$2:A103,Responses!A103)&gt;1,1,0)</f>
        <v>0</v>
      </c>
      <c r="C103" s="30" t="n">
        <f aca="false">IF(OR(Responses!D103="",Responses!E103="",Responses!J103="",Responses!K103="",Responses!I103=""),1,0)</f>
        <v>0</v>
      </c>
      <c r="D103" s="30" t="n">
        <f aca="false">IF(Responses!I103="",0,IF(OR(Responses!I103&lt;Assumptions!$B$4,Responses!I103&gt;Assumptions!$B$5),1,0))</f>
        <v>0</v>
      </c>
      <c r="E103" s="30" t="n">
        <f aca="false">IF(Responses!Q103&lt;Assumptions!$B$6,1,0)</f>
        <v>0</v>
      </c>
      <c r="F103" s="30" t="n">
        <f aca="false">IF(OR(AND(Responses!K103="No",Responses!L103&lt;&gt;""),AND(Responses!K103="Yes",Responses!L103="")),1,0)</f>
        <v>0</v>
      </c>
      <c r="G103" s="30" t="n">
        <f aca="false">SUM(B103:F103)</f>
        <v>0</v>
      </c>
      <c r="H103" s="30" t="str">
        <f aca="false">IF(G103=0,"Valid","Review")</f>
        <v>Valid</v>
      </c>
      <c r="I103" s="30" t="n">
        <f aca="false">IF(G103=0,1,0)</f>
        <v>1</v>
      </c>
    </row>
    <row r="104" customFormat="false" ht="15" hidden="false" customHeight="false" outlineLevel="0" collapsed="false">
      <c r="A104" s="30" t="str">
        <f aca="false">Responses!A104</f>
        <v>S0010</v>
      </c>
      <c r="B104" s="30" t="n">
        <f aca="false">IF(COUNTIF(Responses!$A$2:A104,Responses!A104)&gt;1,1,0)</f>
        <v>0</v>
      </c>
      <c r="C104" s="30" t="n">
        <f aca="false">IF(OR(Responses!D104="",Responses!E104="",Responses!J104="",Responses!K104="",Responses!I104=""),1,0)</f>
        <v>0</v>
      </c>
      <c r="D104" s="30" t="n">
        <f aca="false">IF(Responses!I104="",0,IF(OR(Responses!I104&lt;Assumptions!$B$4,Responses!I104&gt;Assumptions!$B$5),1,0))</f>
        <v>0</v>
      </c>
      <c r="E104" s="30" t="n">
        <f aca="false">IF(Responses!Q104&lt;Assumptions!$B$6,1,0)</f>
        <v>0</v>
      </c>
      <c r="F104" s="30" t="n">
        <f aca="false">IF(OR(AND(Responses!K104="No",Responses!L104&lt;&gt;""),AND(Responses!K104="Yes",Responses!L104="")),1,0)</f>
        <v>0</v>
      </c>
      <c r="G104" s="30" t="n">
        <f aca="false">SUM(B104:F104)</f>
        <v>0</v>
      </c>
      <c r="H104" s="30" t="str">
        <f aca="false">IF(G104=0,"Valid","Review")</f>
        <v>Valid</v>
      </c>
      <c r="I104" s="30" t="n">
        <f aca="false">IF(G104=0,1,0)</f>
        <v>1</v>
      </c>
    </row>
    <row r="105" customFormat="false" ht="15" hidden="false" customHeight="false" outlineLevel="0" collapsed="false">
      <c r="A105" s="30" t="str">
        <f aca="false">Responses!A105</f>
        <v>S0028</v>
      </c>
      <c r="B105" s="30" t="n">
        <f aca="false">IF(COUNTIF(Responses!$A$2:A105,Responses!A105)&gt;1,1,0)</f>
        <v>0</v>
      </c>
      <c r="C105" s="30" t="n">
        <f aca="false">IF(OR(Responses!D105="",Responses!E105="",Responses!J105="",Responses!K105="",Responses!I105=""),1,0)</f>
        <v>0</v>
      </c>
      <c r="D105" s="30" t="n">
        <f aca="false">IF(Responses!I105="",0,IF(OR(Responses!I105&lt;Assumptions!$B$4,Responses!I105&gt;Assumptions!$B$5),1,0))</f>
        <v>0</v>
      </c>
      <c r="E105" s="30" t="n">
        <f aca="false">IF(Responses!Q105&lt;Assumptions!$B$6,1,0)</f>
        <v>0</v>
      </c>
      <c r="F105" s="30" t="n">
        <f aca="false">IF(OR(AND(Responses!K105="No",Responses!L105&lt;&gt;""),AND(Responses!K105="Yes",Responses!L105="")),1,0)</f>
        <v>0</v>
      </c>
      <c r="G105" s="30" t="n">
        <f aca="false">SUM(B105:F105)</f>
        <v>0</v>
      </c>
      <c r="H105" s="30" t="str">
        <f aca="false">IF(G105=0,"Valid","Review")</f>
        <v>Valid</v>
      </c>
      <c r="I105" s="30" t="n">
        <f aca="false">IF(G105=0,1,0)</f>
        <v>1</v>
      </c>
    </row>
    <row r="106" customFormat="false" ht="15" hidden="false" customHeight="false" outlineLevel="0" collapsed="false">
      <c r="A106" s="30" t="str">
        <f aca="false">Responses!A106</f>
        <v>S0048</v>
      </c>
      <c r="B106" s="30" t="n">
        <f aca="false">IF(COUNTIF(Responses!$A$2:A106,Responses!A106)&gt;1,1,0)</f>
        <v>0</v>
      </c>
      <c r="C106" s="30" t="n">
        <f aca="false">IF(OR(Responses!D106="",Responses!E106="",Responses!J106="",Responses!K106="",Responses!I106=""),1,0)</f>
        <v>0</v>
      </c>
      <c r="D106" s="30" t="n">
        <f aca="false">IF(Responses!I106="",0,IF(OR(Responses!I106&lt;Assumptions!$B$4,Responses!I106&gt;Assumptions!$B$5),1,0))</f>
        <v>0</v>
      </c>
      <c r="E106" s="30" t="n">
        <f aca="false">IF(Responses!Q106&lt;Assumptions!$B$6,1,0)</f>
        <v>0</v>
      </c>
      <c r="F106" s="30" t="n">
        <f aca="false">IF(OR(AND(Responses!K106="No",Responses!L106&lt;&gt;""),AND(Responses!K106="Yes",Responses!L106="")),1,0)</f>
        <v>0</v>
      </c>
      <c r="G106" s="30" t="n">
        <f aca="false">SUM(B106:F106)</f>
        <v>0</v>
      </c>
      <c r="H106" s="30" t="str">
        <f aca="false">IF(G106=0,"Valid","Review")</f>
        <v>Valid</v>
      </c>
      <c r="I106" s="30" t="n">
        <f aca="false">IF(G106=0,1,0)</f>
        <v>1</v>
      </c>
    </row>
    <row r="107" customFormat="false" ht="15" hidden="false" customHeight="false" outlineLevel="0" collapsed="false">
      <c r="A107" s="30" t="str">
        <f aca="false">Responses!A107</f>
        <v>S0059</v>
      </c>
      <c r="B107" s="30" t="n">
        <f aca="false">IF(COUNTIF(Responses!$A$2:A107,Responses!A107)&gt;1,1,0)</f>
        <v>0</v>
      </c>
      <c r="C107" s="30" t="n">
        <f aca="false">IF(OR(Responses!D107="",Responses!E107="",Responses!J107="",Responses!K107="",Responses!I107=""),1,0)</f>
        <v>0</v>
      </c>
      <c r="D107" s="30" t="n">
        <f aca="false">IF(Responses!I107="",0,IF(OR(Responses!I107&lt;Assumptions!$B$4,Responses!I107&gt;Assumptions!$B$5),1,0))</f>
        <v>0</v>
      </c>
      <c r="E107" s="30" t="n">
        <f aca="false">IF(Responses!Q107&lt;Assumptions!$B$6,1,0)</f>
        <v>0</v>
      </c>
      <c r="F107" s="30" t="n">
        <f aca="false">IF(OR(AND(Responses!K107="No",Responses!L107&lt;&gt;""),AND(Responses!K107="Yes",Responses!L107="")),1,0)</f>
        <v>0</v>
      </c>
      <c r="G107" s="30" t="n">
        <f aca="false">SUM(B107:F107)</f>
        <v>0</v>
      </c>
      <c r="H107" s="30" t="str">
        <f aca="false">IF(G107=0,"Valid","Review")</f>
        <v>Valid</v>
      </c>
      <c r="I107" s="30" t="n">
        <f aca="false">IF(G107=0,1,0)</f>
        <v>1</v>
      </c>
    </row>
    <row r="108" customFormat="false" ht="15" hidden="false" customHeight="false" outlineLevel="0" collapsed="false">
      <c r="A108" s="30" t="str">
        <f aca="false">Responses!A108</f>
        <v>S0066</v>
      </c>
      <c r="B108" s="30" t="n">
        <f aca="false">IF(COUNTIF(Responses!$A$2:A108,Responses!A108)&gt;1,1,0)</f>
        <v>0</v>
      </c>
      <c r="C108" s="30" t="n">
        <f aca="false">IF(OR(Responses!D108="",Responses!E108="",Responses!J108="",Responses!K108="",Responses!I108=""),1,0)</f>
        <v>0</v>
      </c>
      <c r="D108" s="30" t="n">
        <f aca="false">IF(Responses!I108="",0,IF(OR(Responses!I108&lt;Assumptions!$B$4,Responses!I108&gt;Assumptions!$B$5),1,0))</f>
        <v>0</v>
      </c>
      <c r="E108" s="30" t="n">
        <f aca="false">IF(Responses!Q108&lt;Assumptions!$B$6,1,0)</f>
        <v>0</v>
      </c>
      <c r="F108" s="30" t="n">
        <f aca="false">IF(OR(AND(Responses!K108="No",Responses!L108&lt;&gt;""),AND(Responses!K108="Yes",Responses!L108="")),1,0)</f>
        <v>0</v>
      </c>
      <c r="G108" s="30" t="n">
        <f aca="false">SUM(B108:F108)</f>
        <v>0</v>
      </c>
      <c r="H108" s="30" t="str">
        <f aca="false">IF(G108=0,"Valid","Review")</f>
        <v>Valid</v>
      </c>
      <c r="I108" s="30" t="n">
        <f aca="false">IF(G108=0,1,0)</f>
        <v>1</v>
      </c>
    </row>
    <row r="109" customFormat="false" ht="15" hidden="false" customHeight="false" outlineLevel="0" collapsed="false">
      <c r="A109" s="30" t="str">
        <f aca="false">Responses!A109</f>
        <v>S0069</v>
      </c>
      <c r="B109" s="30" t="n">
        <f aca="false">IF(COUNTIF(Responses!$A$2:A109,Responses!A109)&gt;1,1,0)</f>
        <v>0</v>
      </c>
      <c r="C109" s="30" t="n">
        <f aca="false">IF(OR(Responses!D109="",Responses!E109="",Responses!J109="",Responses!K109="",Responses!I109=""),1,0)</f>
        <v>0</v>
      </c>
      <c r="D109" s="30" t="n">
        <f aca="false">IF(Responses!I109="",0,IF(OR(Responses!I109&lt;Assumptions!$B$4,Responses!I109&gt;Assumptions!$B$5),1,0))</f>
        <v>0</v>
      </c>
      <c r="E109" s="30" t="n">
        <f aca="false">IF(Responses!Q109&lt;Assumptions!$B$6,1,0)</f>
        <v>0</v>
      </c>
      <c r="F109" s="30" t="n">
        <f aca="false">IF(OR(AND(Responses!K109="No",Responses!L109&lt;&gt;""),AND(Responses!K109="Yes",Responses!L109="")),1,0)</f>
        <v>0</v>
      </c>
      <c r="G109" s="30" t="n">
        <f aca="false">SUM(B109:F109)</f>
        <v>0</v>
      </c>
      <c r="H109" s="30" t="str">
        <f aca="false">IF(G109=0,"Valid","Review")</f>
        <v>Valid</v>
      </c>
      <c r="I109" s="30" t="n">
        <f aca="false">IF(G109=0,1,0)</f>
        <v>1</v>
      </c>
    </row>
    <row r="110" customFormat="false" ht="15" hidden="false" customHeight="false" outlineLevel="0" collapsed="false">
      <c r="A110" s="30" t="str">
        <f aca="false">Responses!A110</f>
        <v>S0091</v>
      </c>
      <c r="B110" s="30" t="n">
        <f aca="false">IF(COUNTIF(Responses!$A$2:A110,Responses!A110)&gt;1,1,0)</f>
        <v>0</v>
      </c>
      <c r="C110" s="30" t="n">
        <f aca="false">IF(OR(Responses!D110="",Responses!E110="",Responses!J110="",Responses!K110="",Responses!I110=""),1,0)</f>
        <v>0</v>
      </c>
      <c r="D110" s="30" t="n">
        <f aca="false">IF(Responses!I110="",0,IF(OR(Responses!I110&lt;Assumptions!$B$4,Responses!I110&gt;Assumptions!$B$5),1,0))</f>
        <v>1</v>
      </c>
      <c r="E110" s="30" t="n">
        <f aca="false">IF(Responses!Q110&lt;Assumptions!$B$6,1,0)</f>
        <v>0</v>
      </c>
      <c r="F110" s="30" t="n">
        <f aca="false">IF(OR(AND(Responses!K110="No",Responses!L110&lt;&gt;""),AND(Responses!K110="Yes",Responses!L110="")),1,0)</f>
        <v>0</v>
      </c>
      <c r="G110" s="30" t="n">
        <f aca="false">SUM(B110:F110)</f>
        <v>1</v>
      </c>
      <c r="H110" s="30" t="str">
        <f aca="false">IF(G110=0,"Valid","Review")</f>
        <v>Review</v>
      </c>
      <c r="I110" s="30" t="n">
        <f aca="false">IF(G110=0,1,0)</f>
        <v>0</v>
      </c>
    </row>
    <row r="111" customFormat="false" ht="15" hidden="false" customHeight="false" outlineLevel="0" collapsed="false">
      <c r="A111" s="30" t="str">
        <f aca="false">Responses!A111</f>
        <v>S0098</v>
      </c>
      <c r="B111" s="30" t="n">
        <f aca="false">IF(COUNTIF(Responses!$A$2:A111,Responses!A111)&gt;1,1,0)</f>
        <v>0</v>
      </c>
      <c r="C111" s="30" t="n">
        <f aca="false">IF(OR(Responses!D111="",Responses!E111="",Responses!J111="",Responses!K111="",Responses!I111=""),1,0)</f>
        <v>0</v>
      </c>
      <c r="D111" s="30" t="n">
        <f aca="false">IF(Responses!I111="",0,IF(OR(Responses!I111&lt;Assumptions!$B$4,Responses!I111&gt;Assumptions!$B$5),1,0))</f>
        <v>0</v>
      </c>
      <c r="E111" s="30" t="n">
        <f aca="false">IF(Responses!Q111&lt;Assumptions!$B$6,1,0)</f>
        <v>0</v>
      </c>
      <c r="F111" s="30" t="n">
        <f aca="false">IF(OR(AND(Responses!K111="No",Responses!L111&lt;&gt;""),AND(Responses!K111="Yes",Responses!L111="")),1,0)</f>
        <v>0</v>
      </c>
      <c r="G111" s="30" t="n">
        <f aca="false">SUM(B111:F111)</f>
        <v>0</v>
      </c>
      <c r="H111" s="30" t="str">
        <f aca="false">IF(G111=0,"Valid","Review")</f>
        <v>Valid</v>
      </c>
      <c r="I111" s="30" t="n">
        <f aca="false">IF(G111=0,1,0)</f>
        <v>1</v>
      </c>
    </row>
    <row r="112" customFormat="false" ht="15" hidden="false" customHeight="false" outlineLevel="0" collapsed="false">
      <c r="A112" s="30" t="str">
        <f aca="false">Responses!A112</f>
        <v>S0103</v>
      </c>
      <c r="B112" s="30" t="n">
        <f aca="false">IF(COUNTIF(Responses!$A$2:A112,Responses!A112)&gt;1,1,0)</f>
        <v>0</v>
      </c>
      <c r="C112" s="30" t="n">
        <f aca="false">IF(OR(Responses!D112="",Responses!E112="",Responses!J112="",Responses!K112="",Responses!I112=""),1,0)</f>
        <v>0</v>
      </c>
      <c r="D112" s="30" t="n">
        <f aca="false">IF(Responses!I112="",0,IF(OR(Responses!I112&lt;Assumptions!$B$4,Responses!I112&gt;Assumptions!$B$5),1,0))</f>
        <v>0</v>
      </c>
      <c r="E112" s="30" t="n">
        <f aca="false">IF(Responses!Q112&lt;Assumptions!$B$6,1,0)</f>
        <v>0</v>
      </c>
      <c r="F112" s="30" t="n">
        <f aca="false">IF(OR(AND(Responses!K112="No",Responses!L112&lt;&gt;""),AND(Responses!K112="Yes",Responses!L112="")),1,0)</f>
        <v>0</v>
      </c>
      <c r="G112" s="30" t="n">
        <f aca="false">SUM(B112:F112)</f>
        <v>0</v>
      </c>
      <c r="H112" s="30" t="str">
        <f aca="false">IF(G112=0,"Valid","Review")</f>
        <v>Valid</v>
      </c>
      <c r="I112" s="30" t="n">
        <f aca="false">IF(G112=0,1,0)</f>
        <v>1</v>
      </c>
    </row>
    <row r="113" customFormat="false" ht="15" hidden="false" customHeight="false" outlineLevel="0" collapsed="false">
      <c r="A113" s="30" t="str">
        <f aca="false">Responses!A113</f>
        <v>S0137</v>
      </c>
      <c r="B113" s="30" t="n">
        <f aca="false">IF(COUNTIF(Responses!$A$2:A113,Responses!A113)&gt;1,1,0)</f>
        <v>0</v>
      </c>
      <c r="C113" s="30" t="n">
        <f aca="false">IF(OR(Responses!D113="",Responses!E113="",Responses!J113="",Responses!K113="",Responses!I113=""),1,0)</f>
        <v>0</v>
      </c>
      <c r="D113" s="30" t="n">
        <f aca="false">IF(Responses!I113="",0,IF(OR(Responses!I113&lt;Assumptions!$B$4,Responses!I113&gt;Assumptions!$B$5),1,0))</f>
        <v>0</v>
      </c>
      <c r="E113" s="30" t="n">
        <f aca="false">IF(Responses!Q113&lt;Assumptions!$B$6,1,0)</f>
        <v>0</v>
      </c>
      <c r="F113" s="30" t="n">
        <f aca="false">IF(OR(AND(Responses!K113="No",Responses!L113&lt;&gt;""),AND(Responses!K113="Yes",Responses!L113="")),1,0)</f>
        <v>0</v>
      </c>
      <c r="G113" s="30" t="n">
        <f aca="false">SUM(B113:F113)</f>
        <v>0</v>
      </c>
      <c r="H113" s="30" t="str">
        <f aca="false">IF(G113=0,"Valid","Review")</f>
        <v>Valid</v>
      </c>
      <c r="I113" s="30" t="n">
        <f aca="false">IF(G113=0,1,0)</f>
        <v>1</v>
      </c>
    </row>
    <row r="114" customFormat="false" ht="15" hidden="false" customHeight="false" outlineLevel="0" collapsed="false">
      <c r="A114" s="30" t="str">
        <f aca="false">Responses!A114</f>
        <v>S0164</v>
      </c>
      <c r="B114" s="30" t="n">
        <f aca="false">IF(COUNTIF(Responses!$A$2:A114,Responses!A114)&gt;1,1,0)</f>
        <v>0</v>
      </c>
      <c r="C114" s="30" t="n">
        <f aca="false">IF(OR(Responses!D114="",Responses!E114="",Responses!J114="",Responses!K114="",Responses!I114=""),1,0)</f>
        <v>0</v>
      </c>
      <c r="D114" s="30" t="n">
        <f aca="false">IF(Responses!I114="",0,IF(OR(Responses!I114&lt;Assumptions!$B$4,Responses!I114&gt;Assumptions!$B$5),1,0))</f>
        <v>0</v>
      </c>
      <c r="E114" s="30" t="n">
        <f aca="false">IF(Responses!Q114&lt;Assumptions!$B$6,1,0)</f>
        <v>0</v>
      </c>
      <c r="F114" s="30" t="n">
        <f aca="false">IF(OR(AND(Responses!K114="No",Responses!L114&lt;&gt;""),AND(Responses!K114="Yes",Responses!L114="")),1,0)</f>
        <v>0</v>
      </c>
      <c r="G114" s="30" t="n">
        <f aca="false">SUM(B114:F114)</f>
        <v>0</v>
      </c>
      <c r="H114" s="30" t="str">
        <f aca="false">IF(G114=0,"Valid","Review")</f>
        <v>Valid</v>
      </c>
      <c r="I114" s="30" t="n">
        <f aca="false">IF(G114=0,1,0)</f>
        <v>1</v>
      </c>
    </row>
    <row r="115" customFormat="false" ht="15" hidden="false" customHeight="false" outlineLevel="0" collapsed="false">
      <c r="A115" s="30" t="str">
        <f aca="false">Responses!A115</f>
        <v>S0165</v>
      </c>
      <c r="B115" s="30" t="n">
        <f aca="false">IF(COUNTIF(Responses!$A$2:A115,Responses!A115)&gt;1,1,0)</f>
        <v>0</v>
      </c>
      <c r="C115" s="30" t="n">
        <f aca="false">IF(OR(Responses!D115="",Responses!E115="",Responses!J115="",Responses!K115="",Responses!I115=""),1,0)</f>
        <v>0</v>
      </c>
      <c r="D115" s="30" t="n">
        <f aca="false">IF(Responses!I115="",0,IF(OR(Responses!I115&lt;Assumptions!$B$4,Responses!I115&gt;Assumptions!$B$5),1,0))</f>
        <v>0</v>
      </c>
      <c r="E115" s="30" t="n">
        <f aca="false">IF(Responses!Q115&lt;Assumptions!$B$6,1,0)</f>
        <v>0</v>
      </c>
      <c r="F115" s="30" t="n">
        <f aca="false">IF(OR(AND(Responses!K115="No",Responses!L115&lt;&gt;""),AND(Responses!K115="Yes",Responses!L115="")),1,0)</f>
        <v>0</v>
      </c>
      <c r="G115" s="30" t="n">
        <f aca="false">SUM(B115:F115)</f>
        <v>0</v>
      </c>
      <c r="H115" s="30" t="str">
        <f aca="false">IF(G115=0,"Valid","Review")</f>
        <v>Valid</v>
      </c>
      <c r="I115" s="30" t="n">
        <f aca="false">IF(G115=0,1,0)</f>
        <v>1</v>
      </c>
    </row>
    <row r="116" customFormat="false" ht="15" hidden="false" customHeight="false" outlineLevel="0" collapsed="false">
      <c r="A116" s="30" t="str">
        <f aca="false">Responses!A116</f>
        <v>S0202</v>
      </c>
      <c r="B116" s="30" t="n">
        <f aca="false">IF(COUNTIF(Responses!$A$2:A116,Responses!A116)&gt;1,1,0)</f>
        <v>0</v>
      </c>
      <c r="C116" s="30" t="n">
        <f aca="false">IF(OR(Responses!D116="",Responses!E116="",Responses!J116="",Responses!K116="",Responses!I116=""),1,0)</f>
        <v>0</v>
      </c>
      <c r="D116" s="30" t="n">
        <f aca="false">IF(Responses!I116="",0,IF(OR(Responses!I116&lt;Assumptions!$B$4,Responses!I116&gt;Assumptions!$B$5),1,0))</f>
        <v>0</v>
      </c>
      <c r="E116" s="30" t="n">
        <f aca="false">IF(Responses!Q116&lt;Assumptions!$B$6,1,0)</f>
        <v>0</v>
      </c>
      <c r="F116" s="30" t="n">
        <f aca="false">IF(OR(AND(Responses!K116="No",Responses!L116&lt;&gt;""),AND(Responses!K116="Yes",Responses!L116="")),1,0)</f>
        <v>1</v>
      </c>
      <c r="G116" s="30" t="n">
        <f aca="false">SUM(B116:F116)</f>
        <v>1</v>
      </c>
      <c r="H116" s="30" t="str">
        <f aca="false">IF(G116=0,"Valid","Review")</f>
        <v>Review</v>
      </c>
      <c r="I116" s="30" t="n">
        <f aca="false">IF(G116=0,1,0)</f>
        <v>0</v>
      </c>
    </row>
    <row r="117" customFormat="false" ht="15" hidden="false" customHeight="false" outlineLevel="0" collapsed="false">
      <c r="A117" s="30" t="str">
        <f aca="false">Responses!A117</f>
        <v>S0219</v>
      </c>
      <c r="B117" s="30" t="n">
        <f aca="false">IF(COUNTIF(Responses!$A$2:A117,Responses!A117)&gt;1,1,0)</f>
        <v>0</v>
      </c>
      <c r="C117" s="30" t="n">
        <f aca="false">IF(OR(Responses!D117="",Responses!E117="",Responses!J117="",Responses!K117="",Responses!I117=""),1,0)</f>
        <v>0</v>
      </c>
      <c r="D117" s="30" t="n">
        <f aca="false">IF(Responses!I117="",0,IF(OR(Responses!I117&lt;Assumptions!$B$4,Responses!I117&gt;Assumptions!$B$5),1,0))</f>
        <v>0</v>
      </c>
      <c r="E117" s="30" t="n">
        <f aca="false">IF(Responses!Q117&lt;Assumptions!$B$6,1,0)</f>
        <v>0</v>
      </c>
      <c r="F117" s="30" t="n">
        <f aca="false">IF(OR(AND(Responses!K117="No",Responses!L117&lt;&gt;""),AND(Responses!K117="Yes",Responses!L117="")),1,0)</f>
        <v>0</v>
      </c>
      <c r="G117" s="30" t="n">
        <f aca="false">SUM(B117:F117)</f>
        <v>0</v>
      </c>
      <c r="H117" s="30" t="str">
        <f aca="false">IF(G117=0,"Valid","Review")</f>
        <v>Valid</v>
      </c>
      <c r="I117" s="30" t="n">
        <f aca="false">IF(G117=0,1,0)</f>
        <v>1</v>
      </c>
    </row>
    <row r="118" customFormat="false" ht="15" hidden="false" customHeight="false" outlineLevel="0" collapsed="false">
      <c r="A118" s="30" t="str">
        <f aca="false">Responses!A118</f>
        <v>S0224</v>
      </c>
      <c r="B118" s="30" t="n">
        <f aca="false">IF(COUNTIF(Responses!$A$2:A118,Responses!A118)&gt;1,1,0)</f>
        <v>0</v>
      </c>
      <c r="C118" s="30" t="n">
        <f aca="false">IF(OR(Responses!D118="",Responses!E118="",Responses!J118="",Responses!K118="",Responses!I118=""),1,0)</f>
        <v>0</v>
      </c>
      <c r="D118" s="30" t="n">
        <f aca="false">IF(Responses!I118="",0,IF(OR(Responses!I118&lt;Assumptions!$B$4,Responses!I118&gt;Assumptions!$B$5),1,0))</f>
        <v>0</v>
      </c>
      <c r="E118" s="30" t="n">
        <f aca="false">IF(Responses!Q118&lt;Assumptions!$B$6,1,0)</f>
        <v>0</v>
      </c>
      <c r="F118" s="30" t="n">
        <f aca="false">IF(OR(AND(Responses!K118="No",Responses!L118&lt;&gt;""),AND(Responses!K118="Yes",Responses!L118="")),1,0)</f>
        <v>0</v>
      </c>
      <c r="G118" s="30" t="n">
        <f aca="false">SUM(B118:F118)</f>
        <v>0</v>
      </c>
      <c r="H118" s="30" t="str">
        <f aca="false">IF(G118=0,"Valid","Review")</f>
        <v>Valid</v>
      </c>
      <c r="I118" s="30" t="n">
        <f aca="false">IF(G118=0,1,0)</f>
        <v>1</v>
      </c>
    </row>
    <row r="119" customFormat="false" ht="15" hidden="false" customHeight="false" outlineLevel="0" collapsed="false">
      <c r="A119" s="30" t="str">
        <f aca="false">Responses!A119</f>
        <v>S0282</v>
      </c>
      <c r="B119" s="30" t="n">
        <f aca="false">IF(COUNTIF(Responses!$A$2:A119,Responses!A119)&gt;1,1,0)</f>
        <v>0</v>
      </c>
      <c r="C119" s="30" t="n">
        <f aca="false">IF(OR(Responses!D119="",Responses!E119="",Responses!J119="",Responses!K119="",Responses!I119=""),1,0)</f>
        <v>0</v>
      </c>
      <c r="D119" s="30" t="n">
        <f aca="false">IF(Responses!I119="",0,IF(OR(Responses!I119&lt;Assumptions!$B$4,Responses!I119&gt;Assumptions!$B$5),1,0))</f>
        <v>0</v>
      </c>
      <c r="E119" s="30" t="n">
        <f aca="false">IF(Responses!Q119&lt;Assumptions!$B$6,1,0)</f>
        <v>0</v>
      </c>
      <c r="F119" s="30" t="n">
        <f aca="false">IF(OR(AND(Responses!K119="No",Responses!L119&lt;&gt;""),AND(Responses!K119="Yes",Responses!L119="")),1,0)</f>
        <v>0</v>
      </c>
      <c r="G119" s="30" t="n">
        <f aca="false">SUM(B119:F119)</f>
        <v>0</v>
      </c>
      <c r="H119" s="30" t="str">
        <f aca="false">IF(G119=0,"Valid","Review")</f>
        <v>Valid</v>
      </c>
      <c r="I119" s="30" t="n">
        <f aca="false">IF(G119=0,1,0)</f>
        <v>1</v>
      </c>
    </row>
    <row r="120" customFormat="false" ht="15" hidden="false" customHeight="false" outlineLevel="0" collapsed="false">
      <c r="A120" s="30" t="str">
        <f aca="false">Responses!A120</f>
        <v>S0289</v>
      </c>
      <c r="B120" s="30" t="n">
        <f aca="false">IF(COUNTIF(Responses!$A$2:A120,Responses!A120)&gt;1,1,0)</f>
        <v>0</v>
      </c>
      <c r="C120" s="30" t="n">
        <f aca="false">IF(OR(Responses!D120="",Responses!E120="",Responses!J120="",Responses!K120="",Responses!I120=""),1,0)</f>
        <v>0</v>
      </c>
      <c r="D120" s="30" t="n">
        <f aca="false">IF(Responses!I120="",0,IF(OR(Responses!I120&lt;Assumptions!$B$4,Responses!I120&gt;Assumptions!$B$5),1,0))</f>
        <v>0</v>
      </c>
      <c r="E120" s="30" t="n">
        <f aca="false">IF(Responses!Q120&lt;Assumptions!$B$6,1,0)</f>
        <v>0</v>
      </c>
      <c r="F120" s="30" t="n">
        <f aca="false">IF(OR(AND(Responses!K120="No",Responses!L120&lt;&gt;""),AND(Responses!K120="Yes",Responses!L120="")),1,0)</f>
        <v>0</v>
      </c>
      <c r="G120" s="30" t="n">
        <f aca="false">SUM(B120:F120)</f>
        <v>0</v>
      </c>
      <c r="H120" s="30" t="str">
        <f aca="false">IF(G120=0,"Valid","Review")</f>
        <v>Valid</v>
      </c>
      <c r="I120" s="30" t="n">
        <f aca="false">IF(G120=0,1,0)</f>
        <v>1</v>
      </c>
    </row>
    <row r="121" customFormat="false" ht="15" hidden="false" customHeight="false" outlineLevel="0" collapsed="false">
      <c r="A121" s="30" t="str">
        <f aca="false">Responses!A121</f>
        <v>S0005</v>
      </c>
      <c r="B121" s="30" t="n">
        <f aca="false">IF(COUNTIF(Responses!$A$2:A121,Responses!A121)&gt;1,1,0)</f>
        <v>0</v>
      </c>
      <c r="C121" s="30" t="n">
        <f aca="false">IF(OR(Responses!D121="",Responses!E121="",Responses!J121="",Responses!K121="",Responses!I121=""),1,0)</f>
        <v>0</v>
      </c>
      <c r="D121" s="30" t="n">
        <f aca="false">IF(Responses!I121="",0,IF(OR(Responses!I121&lt;Assumptions!$B$4,Responses!I121&gt;Assumptions!$B$5),1,0))</f>
        <v>0</v>
      </c>
      <c r="E121" s="30" t="n">
        <f aca="false">IF(Responses!Q121&lt;Assumptions!$B$6,1,0)</f>
        <v>0</v>
      </c>
      <c r="F121" s="30" t="n">
        <f aca="false">IF(OR(AND(Responses!K121="No",Responses!L121&lt;&gt;""),AND(Responses!K121="Yes",Responses!L121="")),1,0)</f>
        <v>0</v>
      </c>
      <c r="G121" s="30" t="n">
        <f aca="false">SUM(B121:F121)</f>
        <v>0</v>
      </c>
      <c r="H121" s="30" t="str">
        <f aca="false">IF(G121=0,"Valid","Review")</f>
        <v>Valid</v>
      </c>
      <c r="I121" s="30" t="n">
        <f aca="false">IF(G121=0,1,0)</f>
        <v>1</v>
      </c>
    </row>
    <row r="122" customFormat="false" ht="15" hidden="false" customHeight="false" outlineLevel="0" collapsed="false">
      <c r="A122" s="30" t="str">
        <f aca="false">Responses!A122</f>
        <v>S0040</v>
      </c>
      <c r="B122" s="30" t="n">
        <f aca="false">IF(COUNTIF(Responses!$A$2:A122,Responses!A122)&gt;1,1,0)</f>
        <v>0</v>
      </c>
      <c r="C122" s="30" t="n">
        <f aca="false">IF(OR(Responses!D122="",Responses!E122="",Responses!J122="",Responses!K122="",Responses!I122=""),1,0)</f>
        <v>0</v>
      </c>
      <c r="D122" s="30" t="n">
        <f aca="false">IF(Responses!I122="",0,IF(OR(Responses!I122&lt;Assumptions!$B$4,Responses!I122&gt;Assumptions!$B$5),1,0))</f>
        <v>0</v>
      </c>
      <c r="E122" s="30" t="n">
        <f aca="false">IF(Responses!Q122&lt;Assumptions!$B$6,1,0)</f>
        <v>0</v>
      </c>
      <c r="F122" s="30" t="n">
        <f aca="false">IF(OR(AND(Responses!K122="No",Responses!L122&lt;&gt;""),AND(Responses!K122="Yes",Responses!L122="")),1,0)</f>
        <v>0</v>
      </c>
      <c r="G122" s="30" t="n">
        <f aca="false">SUM(B122:F122)</f>
        <v>0</v>
      </c>
      <c r="H122" s="30" t="str">
        <f aca="false">IF(G122=0,"Valid","Review")</f>
        <v>Valid</v>
      </c>
      <c r="I122" s="30" t="n">
        <f aca="false">IF(G122=0,1,0)</f>
        <v>1</v>
      </c>
    </row>
    <row r="123" customFormat="false" ht="15" hidden="false" customHeight="false" outlineLevel="0" collapsed="false">
      <c r="A123" s="30" t="str">
        <f aca="false">Responses!A123</f>
        <v>S0063</v>
      </c>
      <c r="B123" s="30" t="n">
        <f aca="false">IF(COUNTIF(Responses!$A$2:A123,Responses!A123)&gt;1,1,0)</f>
        <v>0</v>
      </c>
      <c r="C123" s="30" t="n">
        <f aca="false">IF(OR(Responses!D123="",Responses!E123="",Responses!J123="",Responses!K123="",Responses!I123=""),1,0)</f>
        <v>0</v>
      </c>
      <c r="D123" s="30" t="n">
        <f aca="false">IF(Responses!I123="",0,IF(OR(Responses!I123&lt;Assumptions!$B$4,Responses!I123&gt;Assumptions!$B$5),1,0))</f>
        <v>0</v>
      </c>
      <c r="E123" s="30" t="n">
        <f aca="false">IF(Responses!Q123&lt;Assumptions!$B$6,1,0)</f>
        <v>0</v>
      </c>
      <c r="F123" s="30" t="n">
        <f aca="false">IF(OR(AND(Responses!K123="No",Responses!L123&lt;&gt;""),AND(Responses!K123="Yes",Responses!L123="")),1,0)</f>
        <v>0</v>
      </c>
      <c r="G123" s="30" t="n">
        <f aca="false">SUM(B123:F123)</f>
        <v>0</v>
      </c>
      <c r="H123" s="30" t="str">
        <f aca="false">IF(G123=0,"Valid","Review")</f>
        <v>Valid</v>
      </c>
      <c r="I123" s="30" t="n">
        <f aca="false">IF(G123=0,1,0)</f>
        <v>1</v>
      </c>
    </row>
    <row r="124" customFormat="false" ht="15" hidden="false" customHeight="false" outlineLevel="0" collapsed="false">
      <c r="A124" s="30" t="str">
        <f aca="false">Responses!A124</f>
        <v>S0093</v>
      </c>
      <c r="B124" s="30" t="n">
        <f aca="false">IF(COUNTIF(Responses!$A$2:A124,Responses!A124)&gt;1,1,0)</f>
        <v>0</v>
      </c>
      <c r="C124" s="30" t="n">
        <f aca="false">IF(OR(Responses!D124="",Responses!E124="",Responses!J124="",Responses!K124="",Responses!I124=""),1,0)</f>
        <v>0</v>
      </c>
      <c r="D124" s="30" t="n">
        <f aca="false">IF(Responses!I124="",0,IF(OR(Responses!I124&lt;Assumptions!$B$4,Responses!I124&gt;Assumptions!$B$5),1,0))</f>
        <v>0</v>
      </c>
      <c r="E124" s="30" t="n">
        <f aca="false">IF(Responses!Q124&lt;Assumptions!$B$6,1,0)</f>
        <v>0</v>
      </c>
      <c r="F124" s="30" t="n">
        <f aca="false">IF(OR(AND(Responses!K124="No",Responses!L124&lt;&gt;""),AND(Responses!K124="Yes",Responses!L124="")),1,0)</f>
        <v>0</v>
      </c>
      <c r="G124" s="30" t="n">
        <f aca="false">SUM(B124:F124)</f>
        <v>0</v>
      </c>
      <c r="H124" s="30" t="str">
        <f aca="false">IF(G124=0,"Valid","Review")</f>
        <v>Valid</v>
      </c>
      <c r="I124" s="30" t="n">
        <f aca="false">IF(G124=0,1,0)</f>
        <v>1</v>
      </c>
    </row>
    <row r="125" customFormat="false" ht="15" hidden="false" customHeight="false" outlineLevel="0" collapsed="false">
      <c r="A125" s="30" t="str">
        <f aca="false">Responses!A125</f>
        <v>S0104</v>
      </c>
      <c r="B125" s="30" t="n">
        <f aca="false">IF(COUNTIF(Responses!$A$2:A125,Responses!A125)&gt;1,1,0)</f>
        <v>0</v>
      </c>
      <c r="C125" s="30" t="n">
        <f aca="false">IF(OR(Responses!D125="",Responses!E125="",Responses!J125="",Responses!K125="",Responses!I125=""),1,0)</f>
        <v>0</v>
      </c>
      <c r="D125" s="30" t="n">
        <f aca="false">IF(Responses!I125="",0,IF(OR(Responses!I125&lt;Assumptions!$B$4,Responses!I125&gt;Assumptions!$B$5),1,0))</f>
        <v>0</v>
      </c>
      <c r="E125" s="30" t="n">
        <f aca="false">IF(Responses!Q125&lt;Assumptions!$B$6,1,0)</f>
        <v>0</v>
      </c>
      <c r="F125" s="30" t="n">
        <f aca="false">IF(OR(AND(Responses!K125="No",Responses!L125&lt;&gt;""),AND(Responses!K125="Yes",Responses!L125="")),1,0)</f>
        <v>0</v>
      </c>
      <c r="G125" s="30" t="n">
        <f aca="false">SUM(B125:F125)</f>
        <v>0</v>
      </c>
      <c r="H125" s="30" t="str">
        <f aca="false">IF(G125=0,"Valid","Review")</f>
        <v>Valid</v>
      </c>
      <c r="I125" s="30" t="n">
        <f aca="false">IF(G125=0,1,0)</f>
        <v>1</v>
      </c>
    </row>
    <row r="126" customFormat="false" ht="15" hidden="false" customHeight="false" outlineLevel="0" collapsed="false">
      <c r="A126" s="30" t="str">
        <f aca="false">Responses!A126</f>
        <v>S0116</v>
      </c>
      <c r="B126" s="30" t="n">
        <f aca="false">IF(COUNTIF(Responses!$A$2:A126,Responses!A126)&gt;1,1,0)</f>
        <v>0</v>
      </c>
      <c r="C126" s="30" t="n">
        <f aca="false">IF(OR(Responses!D126="",Responses!E126="",Responses!J126="",Responses!K126="",Responses!I126=""),1,0)</f>
        <v>0</v>
      </c>
      <c r="D126" s="30" t="n">
        <f aca="false">IF(Responses!I126="",0,IF(OR(Responses!I126&lt;Assumptions!$B$4,Responses!I126&gt;Assumptions!$B$5),1,0))</f>
        <v>0</v>
      </c>
      <c r="E126" s="30" t="n">
        <f aca="false">IF(Responses!Q126&lt;Assumptions!$B$6,1,0)</f>
        <v>0</v>
      </c>
      <c r="F126" s="30" t="n">
        <f aca="false">IF(OR(AND(Responses!K126="No",Responses!L126&lt;&gt;""),AND(Responses!K126="Yes",Responses!L126="")),1,0)</f>
        <v>0</v>
      </c>
      <c r="G126" s="30" t="n">
        <f aca="false">SUM(B126:F126)</f>
        <v>0</v>
      </c>
      <c r="H126" s="30" t="str">
        <f aca="false">IF(G126=0,"Valid","Review")</f>
        <v>Valid</v>
      </c>
      <c r="I126" s="30" t="n">
        <f aca="false">IF(G126=0,1,0)</f>
        <v>1</v>
      </c>
    </row>
    <row r="127" customFormat="false" ht="15" hidden="false" customHeight="false" outlineLevel="0" collapsed="false">
      <c r="A127" s="30" t="str">
        <f aca="false">Responses!A127</f>
        <v>S0153</v>
      </c>
      <c r="B127" s="30" t="n">
        <f aca="false">IF(COUNTIF(Responses!$A$2:A127,Responses!A127)&gt;1,1,0)</f>
        <v>0</v>
      </c>
      <c r="C127" s="30" t="n">
        <f aca="false">IF(OR(Responses!D127="",Responses!E127="",Responses!J127="",Responses!K127="",Responses!I127=""),1,0)</f>
        <v>0</v>
      </c>
      <c r="D127" s="30" t="n">
        <f aca="false">IF(Responses!I127="",0,IF(OR(Responses!I127&lt;Assumptions!$B$4,Responses!I127&gt;Assumptions!$B$5),1,0))</f>
        <v>0</v>
      </c>
      <c r="E127" s="30" t="n">
        <f aca="false">IF(Responses!Q127&lt;Assumptions!$B$6,1,0)</f>
        <v>0</v>
      </c>
      <c r="F127" s="30" t="n">
        <f aca="false">IF(OR(AND(Responses!K127="No",Responses!L127&lt;&gt;""),AND(Responses!K127="Yes",Responses!L127="")),1,0)</f>
        <v>0</v>
      </c>
      <c r="G127" s="30" t="n">
        <f aca="false">SUM(B127:F127)</f>
        <v>0</v>
      </c>
      <c r="H127" s="30" t="str">
        <f aca="false">IF(G127=0,"Valid","Review")</f>
        <v>Valid</v>
      </c>
      <c r="I127" s="30" t="n">
        <f aca="false">IF(G127=0,1,0)</f>
        <v>1</v>
      </c>
    </row>
    <row r="128" customFormat="false" ht="15" hidden="false" customHeight="false" outlineLevel="0" collapsed="false">
      <c r="A128" s="30" t="str">
        <f aca="false">Responses!A128</f>
        <v>S0167</v>
      </c>
      <c r="B128" s="30" t="n">
        <f aca="false">IF(COUNTIF(Responses!$A$2:A128,Responses!A128)&gt;1,1,0)</f>
        <v>0</v>
      </c>
      <c r="C128" s="30" t="n">
        <f aca="false">IF(OR(Responses!D128="",Responses!E128="",Responses!J128="",Responses!K128="",Responses!I128=""),1,0)</f>
        <v>0</v>
      </c>
      <c r="D128" s="30" t="n">
        <f aca="false">IF(Responses!I128="",0,IF(OR(Responses!I128&lt;Assumptions!$B$4,Responses!I128&gt;Assumptions!$B$5),1,0))</f>
        <v>0</v>
      </c>
      <c r="E128" s="30" t="n">
        <f aca="false">IF(Responses!Q128&lt;Assumptions!$B$6,1,0)</f>
        <v>0</v>
      </c>
      <c r="F128" s="30" t="n">
        <f aca="false">IF(OR(AND(Responses!K128="No",Responses!L128&lt;&gt;""),AND(Responses!K128="Yes",Responses!L128="")),1,0)</f>
        <v>0</v>
      </c>
      <c r="G128" s="30" t="n">
        <f aca="false">SUM(B128:F128)</f>
        <v>0</v>
      </c>
      <c r="H128" s="30" t="str">
        <f aca="false">IF(G128=0,"Valid","Review")</f>
        <v>Valid</v>
      </c>
      <c r="I128" s="30" t="n">
        <f aca="false">IF(G128=0,1,0)</f>
        <v>1</v>
      </c>
    </row>
    <row r="129" customFormat="false" ht="15" hidden="false" customHeight="false" outlineLevel="0" collapsed="false">
      <c r="A129" s="30" t="str">
        <f aca="false">Responses!A129</f>
        <v>S0170</v>
      </c>
      <c r="B129" s="30" t="n">
        <f aca="false">IF(COUNTIF(Responses!$A$2:A129,Responses!A129)&gt;1,1,0)</f>
        <v>0</v>
      </c>
      <c r="C129" s="30" t="n">
        <f aca="false">IF(OR(Responses!D129="",Responses!E129="",Responses!J129="",Responses!K129="",Responses!I129=""),1,0)</f>
        <v>0</v>
      </c>
      <c r="D129" s="30" t="n">
        <f aca="false">IF(Responses!I129="",0,IF(OR(Responses!I129&lt;Assumptions!$B$4,Responses!I129&gt;Assumptions!$B$5),1,0))</f>
        <v>0</v>
      </c>
      <c r="E129" s="30" t="n">
        <f aca="false">IF(Responses!Q129&lt;Assumptions!$B$6,1,0)</f>
        <v>0</v>
      </c>
      <c r="F129" s="30" t="n">
        <f aca="false">IF(OR(AND(Responses!K129="No",Responses!L129&lt;&gt;""),AND(Responses!K129="Yes",Responses!L129="")),1,0)</f>
        <v>0</v>
      </c>
      <c r="G129" s="30" t="n">
        <f aca="false">SUM(B129:F129)</f>
        <v>0</v>
      </c>
      <c r="H129" s="30" t="str">
        <f aca="false">IF(G129=0,"Valid","Review")</f>
        <v>Valid</v>
      </c>
      <c r="I129" s="30" t="n">
        <f aca="false">IF(G129=0,1,0)</f>
        <v>1</v>
      </c>
    </row>
    <row r="130" customFormat="false" ht="15" hidden="false" customHeight="false" outlineLevel="0" collapsed="false">
      <c r="A130" s="30" t="str">
        <f aca="false">Responses!A130</f>
        <v>S0212</v>
      </c>
      <c r="B130" s="30" t="n">
        <f aca="false">IF(COUNTIF(Responses!$A$2:A130,Responses!A130)&gt;1,1,0)</f>
        <v>0</v>
      </c>
      <c r="C130" s="30" t="n">
        <f aca="false">IF(OR(Responses!D130="",Responses!E130="",Responses!J130="",Responses!K130="",Responses!I130=""),1,0)</f>
        <v>0</v>
      </c>
      <c r="D130" s="30" t="n">
        <f aca="false">IF(Responses!I130="",0,IF(OR(Responses!I130&lt;Assumptions!$B$4,Responses!I130&gt;Assumptions!$B$5),1,0))</f>
        <v>0</v>
      </c>
      <c r="E130" s="30" t="n">
        <f aca="false">IF(Responses!Q130&lt;Assumptions!$B$6,1,0)</f>
        <v>1</v>
      </c>
      <c r="F130" s="30" t="n">
        <f aca="false">IF(OR(AND(Responses!K130="No",Responses!L130&lt;&gt;""),AND(Responses!K130="Yes",Responses!L130="")),1,0)</f>
        <v>0</v>
      </c>
      <c r="G130" s="30" t="n">
        <f aca="false">SUM(B130:F130)</f>
        <v>1</v>
      </c>
      <c r="H130" s="30" t="str">
        <f aca="false">IF(G130=0,"Valid","Review")</f>
        <v>Review</v>
      </c>
      <c r="I130" s="30" t="n">
        <f aca="false">IF(G130=0,1,0)</f>
        <v>0</v>
      </c>
    </row>
    <row r="131" customFormat="false" ht="15" hidden="false" customHeight="false" outlineLevel="0" collapsed="false">
      <c r="A131" s="30" t="str">
        <f aca="false">Responses!A131</f>
        <v>S0228</v>
      </c>
      <c r="B131" s="30" t="n">
        <f aca="false">IF(COUNTIF(Responses!$A$2:A131,Responses!A131)&gt;1,1,0)</f>
        <v>0</v>
      </c>
      <c r="C131" s="30" t="n">
        <f aca="false">IF(OR(Responses!D131="",Responses!E131="",Responses!J131="",Responses!K131="",Responses!I131=""),1,0)</f>
        <v>0</v>
      </c>
      <c r="D131" s="30" t="n">
        <f aca="false">IF(Responses!I131="",0,IF(OR(Responses!I131&lt;Assumptions!$B$4,Responses!I131&gt;Assumptions!$B$5),1,0))</f>
        <v>0</v>
      </c>
      <c r="E131" s="30" t="n">
        <f aca="false">IF(Responses!Q131&lt;Assumptions!$B$6,1,0)</f>
        <v>0</v>
      </c>
      <c r="F131" s="30" t="n">
        <f aca="false">IF(OR(AND(Responses!K131="No",Responses!L131&lt;&gt;""),AND(Responses!K131="Yes",Responses!L131="")),1,0)</f>
        <v>0</v>
      </c>
      <c r="G131" s="30" t="n">
        <f aca="false">SUM(B131:F131)</f>
        <v>0</v>
      </c>
      <c r="H131" s="30" t="str">
        <f aca="false">IF(G131=0,"Valid","Review")</f>
        <v>Valid</v>
      </c>
      <c r="I131" s="30" t="n">
        <f aca="false">IF(G131=0,1,0)</f>
        <v>1</v>
      </c>
    </row>
    <row r="132" customFormat="false" ht="15" hidden="false" customHeight="false" outlineLevel="0" collapsed="false">
      <c r="A132" s="30" t="str">
        <f aca="false">Responses!A132</f>
        <v>S0238</v>
      </c>
      <c r="B132" s="30" t="n">
        <f aca="false">IF(COUNTIF(Responses!$A$2:A132,Responses!A132)&gt;1,1,0)</f>
        <v>0</v>
      </c>
      <c r="C132" s="30" t="n">
        <f aca="false">IF(OR(Responses!D132="",Responses!E132="",Responses!J132="",Responses!K132="",Responses!I132=""),1,0)</f>
        <v>0</v>
      </c>
      <c r="D132" s="30" t="n">
        <f aca="false">IF(Responses!I132="",0,IF(OR(Responses!I132&lt;Assumptions!$B$4,Responses!I132&gt;Assumptions!$B$5),1,0))</f>
        <v>0</v>
      </c>
      <c r="E132" s="30" t="n">
        <f aca="false">IF(Responses!Q132&lt;Assumptions!$B$6,1,0)</f>
        <v>0</v>
      </c>
      <c r="F132" s="30" t="n">
        <f aca="false">IF(OR(AND(Responses!K132="No",Responses!L132&lt;&gt;""),AND(Responses!K132="Yes",Responses!L132="")),1,0)</f>
        <v>0</v>
      </c>
      <c r="G132" s="30" t="n">
        <f aca="false">SUM(B132:F132)</f>
        <v>0</v>
      </c>
      <c r="H132" s="30" t="str">
        <f aca="false">IF(G132=0,"Valid","Review")</f>
        <v>Valid</v>
      </c>
      <c r="I132" s="30" t="n">
        <f aca="false">IF(G132=0,1,0)</f>
        <v>1</v>
      </c>
    </row>
    <row r="133" customFormat="false" ht="15" hidden="false" customHeight="false" outlineLevel="0" collapsed="false">
      <c r="A133" s="30" t="str">
        <f aca="false">Responses!A133</f>
        <v>S0245</v>
      </c>
      <c r="B133" s="30" t="n">
        <f aca="false">IF(COUNTIF(Responses!$A$2:A133,Responses!A133)&gt;1,1,0)</f>
        <v>0</v>
      </c>
      <c r="C133" s="30" t="n">
        <f aca="false">IF(OR(Responses!D133="",Responses!E133="",Responses!J133="",Responses!K133="",Responses!I133=""),1,0)</f>
        <v>0</v>
      </c>
      <c r="D133" s="30" t="n">
        <f aca="false">IF(Responses!I133="",0,IF(OR(Responses!I133&lt;Assumptions!$B$4,Responses!I133&gt;Assumptions!$B$5),1,0))</f>
        <v>0</v>
      </c>
      <c r="E133" s="30" t="n">
        <f aca="false">IF(Responses!Q133&lt;Assumptions!$B$6,1,0)</f>
        <v>0</v>
      </c>
      <c r="F133" s="30" t="n">
        <f aca="false">IF(OR(AND(Responses!K133="No",Responses!L133&lt;&gt;""),AND(Responses!K133="Yes",Responses!L133="")),1,0)</f>
        <v>0</v>
      </c>
      <c r="G133" s="30" t="n">
        <f aca="false">SUM(B133:F133)</f>
        <v>0</v>
      </c>
      <c r="H133" s="30" t="str">
        <f aca="false">IF(G133=0,"Valid","Review")</f>
        <v>Valid</v>
      </c>
      <c r="I133" s="30" t="n">
        <f aca="false">IF(G133=0,1,0)</f>
        <v>1</v>
      </c>
    </row>
    <row r="134" customFormat="false" ht="15" hidden="false" customHeight="false" outlineLevel="0" collapsed="false">
      <c r="A134" s="30" t="str">
        <f aca="false">Responses!A134</f>
        <v>S0261</v>
      </c>
      <c r="B134" s="30" t="n">
        <f aca="false">IF(COUNTIF(Responses!$A$2:A134,Responses!A134)&gt;1,1,0)</f>
        <v>0</v>
      </c>
      <c r="C134" s="30" t="n">
        <f aca="false">IF(OR(Responses!D134="",Responses!E134="",Responses!J134="",Responses!K134="",Responses!I134=""),1,0)</f>
        <v>0</v>
      </c>
      <c r="D134" s="30" t="n">
        <f aca="false">IF(Responses!I134="",0,IF(OR(Responses!I134&lt;Assumptions!$B$4,Responses!I134&gt;Assumptions!$B$5),1,0))</f>
        <v>0</v>
      </c>
      <c r="E134" s="30" t="n">
        <f aca="false">IF(Responses!Q134&lt;Assumptions!$B$6,1,0)</f>
        <v>0</v>
      </c>
      <c r="F134" s="30" t="n">
        <f aca="false">IF(OR(AND(Responses!K134="No",Responses!L134&lt;&gt;""),AND(Responses!K134="Yes",Responses!L134="")),1,0)</f>
        <v>0</v>
      </c>
      <c r="G134" s="30" t="n">
        <f aca="false">SUM(B134:F134)</f>
        <v>0</v>
      </c>
      <c r="H134" s="30" t="str">
        <f aca="false">IF(G134=0,"Valid","Review")</f>
        <v>Valid</v>
      </c>
      <c r="I134" s="30" t="n">
        <f aca="false">IF(G134=0,1,0)</f>
        <v>1</v>
      </c>
    </row>
    <row r="135" customFormat="false" ht="15" hidden="false" customHeight="false" outlineLevel="0" collapsed="false">
      <c r="A135" s="30" t="str">
        <f aca="false">Responses!A135</f>
        <v>S0291</v>
      </c>
      <c r="B135" s="30" t="n">
        <f aca="false">IF(COUNTIF(Responses!$A$2:A135,Responses!A135)&gt;1,1,0)</f>
        <v>0</v>
      </c>
      <c r="C135" s="30" t="n">
        <f aca="false">IF(OR(Responses!D135="",Responses!E135="",Responses!J135="",Responses!K135="",Responses!I135=""),1,0)</f>
        <v>0</v>
      </c>
      <c r="D135" s="30" t="n">
        <f aca="false">IF(Responses!I135="",0,IF(OR(Responses!I135&lt;Assumptions!$B$4,Responses!I135&gt;Assumptions!$B$5),1,0))</f>
        <v>0</v>
      </c>
      <c r="E135" s="30" t="n">
        <f aca="false">IF(Responses!Q135&lt;Assumptions!$B$6,1,0)</f>
        <v>0</v>
      </c>
      <c r="F135" s="30" t="n">
        <f aca="false">IF(OR(AND(Responses!K135="No",Responses!L135&lt;&gt;""),AND(Responses!K135="Yes",Responses!L135="")),1,0)</f>
        <v>0</v>
      </c>
      <c r="G135" s="30" t="n">
        <f aca="false">SUM(B135:F135)</f>
        <v>0</v>
      </c>
      <c r="H135" s="30" t="str">
        <f aca="false">IF(G135=0,"Valid","Review")</f>
        <v>Valid</v>
      </c>
      <c r="I135" s="30" t="n">
        <f aca="false">IF(G135=0,1,0)</f>
        <v>1</v>
      </c>
    </row>
    <row r="136" customFormat="false" ht="15" hidden="false" customHeight="false" outlineLevel="0" collapsed="false">
      <c r="A136" s="30" t="str">
        <f aca="false">Responses!A136</f>
        <v>S0296</v>
      </c>
      <c r="B136" s="30" t="n">
        <f aca="false">IF(COUNTIF(Responses!$A$2:A136,Responses!A136)&gt;1,1,0)</f>
        <v>0</v>
      </c>
      <c r="C136" s="30" t="n">
        <f aca="false">IF(OR(Responses!D136="",Responses!E136="",Responses!J136="",Responses!K136="",Responses!I136=""),1,0)</f>
        <v>0</v>
      </c>
      <c r="D136" s="30" t="n">
        <f aca="false">IF(Responses!I136="",0,IF(OR(Responses!I136&lt;Assumptions!$B$4,Responses!I136&gt;Assumptions!$B$5),1,0))</f>
        <v>0</v>
      </c>
      <c r="E136" s="30" t="n">
        <f aca="false">IF(Responses!Q136&lt;Assumptions!$B$6,1,0)</f>
        <v>0</v>
      </c>
      <c r="F136" s="30" t="n">
        <f aca="false">IF(OR(AND(Responses!K136="No",Responses!L136&lt;&gt;""),AND(Responses!K136="Yes",Responses!L136="")),1,0)</f>
        <v>0</v>
      </c>
      <c r="G136" s="30" t="n">
        <f aca="false">SUM(B136:F136)</f>
        <v>0</v>
      </c>
      <c r="H136" s="30" t="str">
        <f aca="false">IF(G136=0,"Valid","Review")</f>
        <v>Valid</v>
      </c>
      <c r="I136" s="30" t="n">
        <f aca="false">IF(G136=0,1,0)</f>
        <v>1</v>
      </c>
    </row>
    <row r="137" customFormat="false" ht="15" hidden="false" customHeight="false" outlineLevel="0" collapsed="false">
      <c r="A137" s="30" t="str">
        <f aca="false">Responses!A137</f>
        <v>S0297</v>
      </c>
      <c r="B137" s="30" t="n">
        <f aca="false">IF(COUNTIF(Responses!$A$2:A137,Responses!A137)&gt;1,1,0)</f>
        <v>0</v>
      </c>
      <c r="C137" s="30" t="n">
        <f aca="false">IF(OR(Responses!D137="",Responses!E137="",Responses!J137="",Responses!K137="",Responses!I137=""),1,0)</f>
        <v>0</v>
      </c>
      <c r="D137" s="30" t="n">
        <f aca="false">IF(Responses!I137="",0,IF(OR(Responses!I137&lt;Assumptions!$B$4,Responses!I137&gt;Assumptions!$B$5),1,0))</f>
        <v>0</v>
      </c>
      <c r="E137" s="30" t="n">
        <f aca="false">IF(Responses!Q137&lt;Assumptions!$B$6,1,0)</f>
        <v>0</v>
      </c>
      <c r="F137" s="30" t="n">
        <f aca="false">IF(OR(AND(Responses!K137="No",Responses!L137&lt;&gt;""),AND(Responses!K137="Yes",Responses!L137="")),1,0)</f>
        <v>0</v>
      </c>
      <c r="G137" s="30" t="n">
        <f aca="false">SUM(B137:F137)</f>
        <v>0</v>
      </c>
      <c r="H137" s="30" t="str">
        <f aca="false">IF(G137=0,"Valid","Review")</f>
        <v>Valid</v>
      </c>
      <c r="I137" s="30" t="n">
        <f aca="false">IF(G137=0,1,0)</f>
        <v>1</v>
      </c>
    </row>
    <row r="138" customFormat="false" ht="15" hidden="false" customHeight="false" outlineLevel="0" collapsed="false">
      <c r="A138" s="30" t="str">
        <f aca="false">Responses!A138</f>
        <v>S0305</v>
      </c>
      <c r="B138" s="30" t="n">
        <f aca="false">IF(COUNTIF(Responses!$A$2:A138,Responses!A138)&gt;1,1,0)</f>
        <v>0</v>
      </c>
      <c r="C138" s="30" t="n">
        <f aca="false">IF(OR(Responses!D138="",Responses!E138="",Responses!J138="",Responses!K138="",Responses!I138=""),1,0)</f>
        <v>0</v>
      </c>
      <c r="D138" s="30" t="n">
        <f aca="false">IF(Responses!I138="",0,IF(OR(Responses!I138&lt;Assumptions!$B$4,Responses!I138&gt;Assumptions!$B$5),1,0))</f>
        <v>0</v>
      </c>
      <c r="E138" s="30" t="n">
        <f aca="false">IF(Responses!Q138&lt;Assumptions!$B$6,1,0)</f>
        <v>0</v>
      </c>
      <c r="F138" s="30" t="n">
        <f aca="false">IF(OR(AND(Responses!K138="No",Responses!L138&lt;&gt;""),AND(Responses!K138="Yes",Responses!L138="")),1,0)</f>
        <v>0</v>
      </c>
      <c r="G138" s="30" t="n">
        <f aca="false">SUM(B138:F138)</f>
        <v>0</v>
      </c>
      <c r="H138" s="30" t="str">
        <f aca="false">IF(G138=0,"Valid","Review")</f>
        <v>Valid</v>
      </c>
      <c r="I138" s="30" t="n">
        <f aca="false">IF(G138=0,1,0)</f>
        <v>1</v>
      </c>
    </row>
    <row r="139" customFormat="false" ht="15" hidden="false" customHeight="false" outlineLevel="0" collapsed="false">
      <c r="A139" s="30" t="str">
        <f aca="false">Responses!A139</f>
        <v>S0002</v>
      </c>
      <c r="B139" s="30" t="n">
        <f aca="false">IF(COUNTIF(Responses!$A$2:A139,Responses!A139)&gt;1,1,0)</f>
        <v>0</v>
      </c>
      <c r="C139" s="30" t="n">
        <f aca="false">IF(OR(Responses!D139="",Responses!E139="",Responses!J139="",Responses!K139="",Responses!I139=""),1,0)</f>
        <v>1</v>
      </c>
      <c r="D139" s="30" t="n">
        <f aca="false">IF(Responses!I139="",0,IF(OR(Responses!I139&lt;Assumptions!$B$4,Responses!I139&gt;Assumptions!$B$5),1,0))</f>
        <v>0</v>
      </c>
      <c r="E139" s="30" t="n">
        <f aca="false">IF(Responses!Q139&lt;Assumptions!$B$6,1,0)</f>
        <v>0</v>
      </c>
      <c r="F139" s="30" t="n">
        <f aca="false">IF(OR(AND(Responses!K139="No",Responses!L139&lt;&gt;""),AND(Responses!K139="Yes",Responses!L139="")),1,0)</f>
        <v>0</v>
      </c>
      <c r="G139" s="30" t="n">
        <f aca="false">SUM(B139:F139)</f>
        <v>1</v>
      </c>
      <c r="H139" s="30" t="str">
        <f aca="false">IF(G139=0,"Valid","Review")</f>
        <v>Review</v>
      </c>
      <c r="I139" s="30" t="n">
        <f aca="false">IF(G139=0,1,0)</f>
        <v>0</v>
      </c>
    </row>
    <row r="140" customFormat="false" ht="15" hidden="false" customHeight="false" outlineLevel="0" collapsed="false">
      <c r="A140" s="30" t="str">
        <f aca="false">Responses!A140</f>
        <v>S0007</v>
      </c>
      <c r="B140" s="30" t="n">
        <f aca="false">IF(COUNTIF(Responses!$A$2:A140,Responses!A140)&gt;1,1,0)</f>
        <v>0</v>
      </c>
      <c r="C140" s="30" t="n">
        <f aca="false">IF(OR(Responses!D140="",Responses!E140="",Responses!J140="",Responses!K140="",Responses!I140=""),1,0)</f>
        <v>0</v>
      </c>
      <c r="D140" s="30" t="n">
        <f aca="false">IF(Responses!I140="",0,IF(OR(Responses!I140&lt;Assumptions!$B$4,Responses!I140&gt;Assumptions!$B$5),1,0))</f>
        <v>0</v>
      </c>
      <c r="E140" s="30" t="n">
        <f aca="false">IF(Responses!Q140&lt;Assumptions!$B$6,1,0)</f>
        <v>0</v>
      </c>
      <c r="F140" s="30" t="n">
        <f aca="false">IF(OR(AND(Responses!K140="No",Responses!L140&lt;&gt;""),AND(Responses!K140="Yes",Responses!L140="")),1,0)</f>
        <v>0</v>
      </c>
      <c r="G140" s="30" t="n">
        <f aca="false">SUM(B140:F140)</f>
        <v>0</v>
      </c>
      <c r="H140" s="30" t="str">
        <f aca="false">IF(G140=0,"Valid","Review")</f>
        <v>Valid</v>
      </c>
      <c r="I140" s="30" t="n">
        <f aca="false">IF(G140=0,1,0)</f>
        <v>1</v>
      </c>
    </row>
    <row r="141" customFormat="false" ht="15" hidden="false" customHeight="false" outlineLevel="0" collapsed="false">
      <c r="A141" s="30" t="str">
        <f aca="false">Responses!A141</f>
        <v>S0014</v>
      </c>
      <c r="B141" s="30" t="n">
        <f aca="false">IF(COUNTIF(Responses!$A$2:A141,Responses!A141)&gt;1,1,0)</f>
        <v>0</v>
      </c>
      <c r="C141" s="30" t="n">
        <f aca="false">IF(OR(Responses!D141="",Responses!E141="",Responses!J141="",Responses!K141="",Responses!I141=""),1,0)</f>
        <v>0</v>
      </c>
      <c r="D141" s="30" t="n">
        <f aca="false">IF(Responses!I141="",0,IF(OR(Responses!I141&lt;Assumptions!$B$4,Responses!I141&gt;Assumptions!$B$5),1,0))</f>
        <v>0</v>
      </c>
      <c r="E141" s="30" t="n">
        <f aca="false">IF(Responses!Q141&lt;Assumptions!$B$6,1,0)</f>
        <v>0</v>
      </c>
      <c r="F141" s="30" t="n">
        <f aca="false">IF(OR(AND(Responses!K141="No",Responses!L141&lt;&gt;""),AND(Responses!K141="Yes",Responses!L141="")),1,0)</f>
        <v>0</v>
      </c>
      <c r="G141" s="30" t="n">
        <f aca="false">SUM(B141:F141)</f>
        <v>0</v>
      </c>
      <c r="H141" s="30" t="str">
        <f aca="false">IF(G141=0,"Valid","Review")</f>
        <v>Valid</v>
      </c>
      <c r="I141" s="30" t="n">
        <f aca="false">IF(G141=0,1,0)</f>
        <v>1</v>
      </c>
    </row>
    <row r="142" customFormat="false" ht="15" hidden="false" customHeight="false" outlineLevel="0" collapsed="false">
      <c r="A142" s="30" t="str">
        <f aca="false">Responses!A142</f>
        <v>S0039</v>
      </c>
      <c r="B142" s="30" t="n">
        <f aca="false">IF(COUNTIF(Responses!$A$2:A142,Responses!A142)&gt;1,1,0)</f>
        <v>0</v>
      </c>
      <c r="C142" s="30" t="n">
        <f aca="false">IF(OR(Responses!D142="",Responses!E142="",Responses!J142="",Responses!K142="",Responses!I142=""),1,0)</f>
        <v>0</v>
      </c>
      <c r="D142" s="30" t="n">
        <f aca="false">IF(Responses!I142="",0,IF(OR(Responses!I142&lt;Assumptions!$B$4,Responses!I142&gt;Assumptions!$B$5),1,0))</f>
        <v>0</v>
      </c>
      <c r="E142" s="30" t="n">
        <f aca="false">IF(Responses!Q142&lt;Assumptions!$B$6,1,0)</f>
        <v>0</v>
      </c>
      <c r="F142" s="30" t="n">
        <f aca="false">IF(OR(AND(Responses!K142="No",Responses!L142&lt;&gt;""),AND(Responses!K142="Yes",Responses!L142="")),1,0)</f>
        <v>0</v>
      </c>
      <c r="G142" s="30" t="n">
        <f aca="false">SUM(B142:F142)</f>
        <v>0</v>
      </c>
      <c r="H142" s="30" t="str">
        <f aca="false">IF(G142=0,"Valid","Review")</f>
        <v>Valid</v>
      </c>
      <c r="I142" s="30" t="n">
        <f aca="false">IF(G142=0,1,0)</f>
        <v>1</v>
      </c>
    </row>
    <row r="143" customFormat="false" ht="15" hidden="false" customHeight="false" outlineLevel="0" collapsed="false">
      <c r="A143" s="30" t="str">
        <f aca="false">Responses!A143</f>
        <v>S0115</v>
      </c>
      <c r="B143" s="30" t="n">
        <f aca="false">IF(COUNTIF(Responses!$A$2:A143,Responses!A143)&gt;1,1,0)</f>
        <v>0</v>
      </c>
      <c r="C143" s="30" t="n">
        <f aca="false">IF(OR(Responses!D143="",Responses!E143="",Responses!J143="",Responses!K143="",Responses!I143=""),1,0)</f>
        <v>0</v>
      </c>
      <c r="D143" s="30" t="n">
        <f aca="false">IF(Responses!I143="",0,IF(OR(Responses!I143&lt;Assumptions!$B$4,Responses!I143&gt;Assumptions!$B$5),1,0))</f>
        <v>0</v>
      </c>
      <c r="E143" s="30" t="n">
        <f aca="false">IF(Responses!Q143&lt;Assumptions!$B$6,1,0)</f>
        <v>0</v>
      </c>
      <c r="F143" s="30" t="n">
        <f aca="false">IF(OR(AND(Responses!K143="No",Responses!L143&lt;&gt;""),AND(Responses!K143="Yes",Responses!L143="")),1,0)</f>
        <v>0</v>
      </c>
      <c r="G143" s="30" t="n">
        <f aca="false">SUM(B143:F143)</f>
        <v>0</v>
      </c>
      <c r="H143" s="30" t="str">
        <f aca="false">IF(G143=0,"Valid","Review")</f>
        <v>Valid</v>
      </c>
      <c r="I143" s="30" t="n">
        <f aca="false">IF(G143=0,1,0)</f>
        <v>1</v>
      </c>
    </row>
    <row r="144" customFormat="false" ht="15" hidden="false" customHeight="false" outlineLevel="0" collapsed="false">
      <c r="A144" s="30" t="str">
        <f aca="false">Responses!A144</f>
        <v>S0146</v>
      </c>
      <c r="B144" s="30" t="n">
        <f aca="false">IF(COUNTIF(Responses!$A$2:A144,Responses!A144)&gt;1,1,0)</f>
        <v>0</v>
      </c>
      <c r="C144" s="30" t="n">
        <f aca="false">IF(OR(Responses!D144="",Responses!E144="",Responses!J144="",Responses!K144="",Responses!I144=""),1,0)</f>
        <v>0</v>
      </c>
      <c r="D144" s="30" t="n">
        <f aca="false">IF(Responses!I144="",0,IF(OR(Responses!I144&lt;Assumptions!$B$4,Responses!I144&gt;Assumptions!$B$5),1,0))</f>
        <v>0</v>
      </c>
      <c r="E144" s="30" t="n">
        <f aca="false">IF(Responses!Q144&lt;Assumptions!$B$6,1,0)</f>
        <v>0</v>
      </c>
      <c r="F144" s="30" t="n">
        <f aca="false">IF(OR(AND(Responses!K144="No",Responses!L144&lt;&gt;""),AND(Responses!K144="Yes",Responses!L144="")),1,0)</f>
        <v>0</v>
      </c>
      <c r="G144" s="30" t="n">
        <f aca="false">SUM(B144:F144)</f>
        <v>0</v>
      </c>
      <c r="H144" s="30" t="str">
        <f aca="false">IF(G144=0,"Valid","Review")</f>
        <v>Valid</v>
      </c>
      <c r="I144" s="30" t="n">
        <f aca="false">IF(G144=0,1,0)</f>
        <v>1</v>
      </c>
    </row>
    <row r="145" customFormat="false" ht="15" hidden="false" customHeight="false" outlineLevel="0" collapsed="false">
      <c r="A145" s="30" t="str">
        <f aca="false">Responses!A145</f>
        <v>S0162</v>
      </c>
      <c r="B145" s="30" t="n">
        <f aca="false">IF(COUNTIF(Responses!$A$2:A145,Responses!A145)&gt;1,1,0)</f>
        <v>0</v>
      </c>
      <c r="C145" s="30" t="n">
        <f aca="false">IF(OR(Responses!D145="",Responses!E145="",Responses!J145="",Responses!K145="",Responses!I145=""),1,0)</f>
        <v>0</v>
      </c>
      <c r="D145" s="30" t="n">
        <f aca="false">IF(Responses!I145="",0,IF(OR(Responses!I145&lt;Assumptions!$B$4,Responses!I145&gt;Assumptions!$B$5),1,0))</f>
        <v>0</v>
      </c>
      <c r="E145" s="30" t="n">
        <f aca="false">IF(Responses!Q145&lt;Assumptions!$B$6,1,0)</f>
        <v>0</v>
      </c>
      <c r="F145" s="30" t="n">
        <f aca="false">IF(OR(AND(Responses!K145="No",Responses!L145&lt;&gt;""),AND(Responses!K145="Yes",Responses!L145="")),1,0)</f>
        <v>0</v>
      </c>
      <c r="G145" s="30" t="n">
        <f aca="false">SUM(B145:F145)</f>
        <v>0</v>
      </c>
      <c r="H145" s="30" t="str">
        <f aca="false">IF(G145=0,"Valid","Review")</f>
        <v>Valid</v>
      </c>
      <c r="I145" s="30" t="n">
        <f aca="false">IF(G145=0,1,0)</f>
        <v>1</v>
      </c>
    </row>
    <row r="146" customFormat="false" ht="15" hidden="false" customHeight="false" outlineLevel="0" collapsed="false">
      <c r="A146" s="30" t="str">
        <f aca="false">Responses!A146</f>
        <v>S0169</v>
      </c>
      <c r="B146" s="30" t="n">
        <f aca="false">IF(COUNTIF(Responses!$A$2:A146,Responses!A146)&gt;1,1,0)</f>
        <v>0</v>
      </c>
      <c r="C146" s="30" t="n">
        <f aca="false">IF(OR(Responses!D146="",Responses!E146="",Responses!J146="",Responses!K146="",Responses!I146=""),1,0)</f>
        <v>0</v>
      </c>
      <c r="D146" s="30" t="n">
        <f aca="false">IF(Responses!I146="",0,IF(OR(Responses!I146&lt;Assumptions!$B$4,Responses!I146&gt;Assumptions!$B$5),1,0))</f>
        <v>0</v>
      </c>
      <c r="E146" s="30" t="n">
        <f aca="false">IF(Responses!Q146&lt;Assumptions!$B$6,1,0)</f>
        <v>0</v>
      </c>
      <c r="F146" s="30" t="n">
        <f aca="false">IF(OR(AND(Responses!K146="No",Responses!L146&lt;&gt;""),AND(Responses!K146="Yes",Responses!L146="")),1,0)</f>
        <v>0</v>
      </c>
      <c r="G146" s="30" t="n">
        <f aca="false">SUM(B146:F146)</f>
        <v>0</v>
      </c>
      <c r="H146" s="30" t="str">
        <f aca="false">IF(G146=0,"Valid","Review")</f>
        <v>Valid</v>
      </c>
      <c r="I146" s="30" t="n">
        <f aca="false">IF(G146=0,1,0)</f>
        <v>1</v>
      </c>
    </row>
    <row r="147" customFormat="false" ht="15" hidden="false" customHeight="false" outlineLevel="0" collapsed="false">
      <c r="A147" s="30" t="str">
        <f aca="false">Responses!A147</f>
        <v>S0171</v>
      </c>
      <c r="B147" s="30" t="n">
        <f aca="false">IF(COUNTIF(Responses!$A$2:A147,Responses!A147)&gt;1,1,0)</f>
        <v>0</v>
      </c>
      <c r="C147" s="30" t="n">
        <f aca="false">IF(OR(Responses!D147="",Responses!E147="",Responses!J147="",Responses!K147="",Responses!I147=""),1,0)</f>
        <v>0</v>
      </c>
      <c r="D147" s="30" t="n">
        <f aca="false">IF(Responses!I147="",0,IF(OR(Responses!I147&lt;Assumptions!$B$4,Responses!I147&gt;Assumptions!$B$5),1,0))</f>
        <v>0</v>
      </c>
      <c r="E147" s="30" t="n">
        <f aca="false">IF(Responses!Q147&lt;Assumptions!$B$6,1,0)</f>
        <v>0</v>
      </c>
      <c r="F147" s="30" t="n">
        <f aca="false">IF(OR(AND(Responses!K147="No",Responses!L147&lt;&gt;""),AND(Responses!K147="Yes",Responses!L147="")),1,0)</f>
        <v>0</v>
      </c>
      <c r="G147" s="30" t="n">
        <f aca="false">SUM(B147:F147)</f>
        <v>0</v>
      </c>
      <c r="H147" s="30" t="str">
        <f aca="false">IF(G147=0,"Valid","Review")</f>
        <v>Valid</v>
      </c>
      <c r="I147" s="30" t="n">
        <f aca="false">IF(G147=0,1,0)</f>
        <v>1</v>
      </c>
    </row>
    <row r="148" customFormat="false" ht="15" hidden="false" customHeight="false" outlineLevel="0" collapsed="false">
      <c r="A148" s="30" t="str">
        <f aca="false">Responses!A148</f>
        <v>S0181</v>
      </c>
      <c r="B148" s="30" t="n">
        <f aca="false">IF(COUNTIF(Responses!$A$2:A148,Responses!A148)&gt;1,1,0)</f>
        <v>0</v>
      </c>
      <c r="C148" s="30" t="n">
        <f aca="false">IF(OR(Responses!D148="",Responses!E148="",Responses!J148="",Responses!K148="",Responses!I148=""),1,0)</f>
        <v>0</v>
      </c>
      <c r="D148" s="30" t="n">
        <f aca="false">IF(Responses!I148="",0,IF(OR(Responses!I148&lt;Assumptions!$B$4,Responses!I148&gt;Assumptions!$B$5),1,0))</f>
        <v>0</v>
      </c>
      <c r="E148" s="30" t="n">
        <f aca="false">IF(Responses!Q148&lt;Assumptions!$B$6,1,0)</f>
        <v>1</v>
      </c>
      <c r="F148" s="30" t="n">
        <f aca="false">IF(OR(AND(Responses!K148="No",Responses!L148&lt;&gt;""),AND(Responses!K148="Yes",Responses!L148="")),1,0)</f>
        <v>0</v>
      </c>
      <c r="G148" s="30" t="n">
        <f aca="false">SUM(B148:F148)</f>
        <v>1</v>
      </c>
      <c r="H148" s="30" t="str">
        <f aca="false">IF(G148=0,"Valid","Review")</f>
        <v>Review</v>
      </c>
      <c r="I148" s="30" t="n">
        <f aca="false">IF(G148=0,1,0)</f>
        <v>0</v>
      </c>
    </row>
    <row r="149" customFormat="false" ht="15" hidden="false" customHeight="false" outlineLevel="0" collapsed="false">
      <c r="A149" s="30" t="str">
        <f aca="false">Responses!A149</f>
        <v>S0188</v>
      </c>
      <c r="B149" s="30" t="n">
        <f aca="false">IF(COUNTIF(Responses!$A$2:A149,Responses!A149)&gt;1,1,0)</f>
        <v>0</v>
      </c>
      <c r="C149" s="30" t="n">
        <f aca="false">IF(OR(Responses!D149="",Responses!E149="",Responses!J149="",Responses!K149="",Responses!I149=""),1,0)</f>
        <v>0</v>
      </c>
      <c r="D149" s="30" t="n">
        <f aca="false">IF(Responses!I149="",0,IF(OR(Responses!I149&lt;Assumptions!$B$4,Responses!I149&gt;Assumptions!$B$5),1,0))</f>
        <v>0</v>
      </c>
      <c r="E149" s="30" t="n">
        <f aca="false">IF(Responses!Q149&lt;Assumptions!$B$6,1,0)</f>
        <v>1</v>
      </c>
      <c r="F149" s="30" t="n">
        <f aca="false">IF(OR(AND(Responses!K149="No",Responses!L149&lt;&gt;""),AND(Responses!K149="Yes",Responses!L149="")),1,0)</f>
        <v>0</v>
      </c>
      <c r="G149" s="30" t="n">
        <f aca="false">SUM(B149:F149)</f>
        <v>1</v>
      </c>
      <c r="H149" s="30" t="str">
        <f aca="false">IF(G149=0,"Valid","Review")</f>
        <v>Review</v>
      </c>
      <c r="I149" s="30" t="n">
        <f aca="false">IF(G149=0,1,0)</f>
        <v>0</v>
      </c>
    </row>
    <row r="150" customFormat="false" ht="15" hidden="false" customHeight="false" outlineLevel="0" collapsed="false">
      <c r="A150" s="30" t="str">
        <f aca="false">Responses!A150</f>
        <v>S0195</v>
      </c>
      <c r="B150" s="30" t="n">
        <f aca="false">IF(COUNTIF(Responses!$A$2:A150,Responses!A150)&gt;1,1,0)</f>
        <v>0</v>
      </c>
      <c r="C150" s="30" t="n">
        <f aca="false">IF(OR(Responses!D150="",Responses!E150="",Responses!J150="",Responses!K150="",Responses!I150=""),1,0)</f>
        <v>0</v>
      </c>
      <c r="D150" s="30" t="n">
        <f aca="false">IF(Responses!I150="",0,IF(OR(Responses!I150&lt;Assumptions!$B$4,Responses!I150&gt;Assumptions!$B$5),1,0))</f>
        <v>0</v>
      </c>
      <c r="E150" s="30" t="n">
        <f aca="false">IF(Responses!Q150&lt;Assumptions!$B$6,1,0)</f>
        <v>0</v>
      </c>
      <c r="F150" s="30" t="n">
        <f aca="false">IF(OR(AND(Responses!K150="No",Responses!L150&lt;&gt;""),AND(Responses!K150="Yes",Responses!L150="")),1,0)</f>
        <v>0</v>
      </c>
      <c r="G150" s="30" t="n">
        <f aca="false">SUM(B150:F150)</f>
        <v>0</v>
      </c>
      <c r="H150" s="30" t="str">
        <f aca="false">IF(G150=0,"Valid","Review")</f>
        <v>Valid</v>
      </c>
      <c r="I150" s="30" t="n">
        <f aca="false">IF(G150=0,1,0)</f>
        <v>1</v>
      </c>
    </row>
    <row r="151" customFormat="false" ht="15" hidden="false" customHeight="false" outlineLevel="0" collapsed="false">
      <c r="A151" s="30" t="str">
        <f aca="false">Responses!A151</f>
        <v>S0213</v>
      </c>
      <c r="B151" s="30" t="n">
        <f aca="false">IF(COUNTIF(Responses!$A$2:A151,Responses!A151)&gt;1,1,0)</f>
        <v>0</v>
      </c>
      <c r="C151" s="30" t="n">
        <f aca="false">IF(OR(Responses!D151="",Responses!E151="",Responses!J151="",Responses!K151="",Responses!I151=""),1,0)</f>
        <v>0</v>
      </c>
      <c r="D151" s="30" t="n">
        <f aca="false">IF(Responses!I151="",0,IF(OR(Responses!I151&lt;Assumptions!$B$4,Responses!I151&gt;Assumptions!$B$5),1,0))</f>
        <v>0</v>
      </c>
      <c r="E151" s="30" t="n">
        <f aca="false">IF(Responses!Q151&lt;Assumptions!$B$6,1,0)</f>
        <v>0</v>
      </c>
      <c r="F151" s="30" t="n">
        <f aca="false">IF(OR(AND(Responses!K151="No",Responses!L151&lt;&gt;""),AND(Responses!K151="Yes",Responses!L151="")),1,0)</f>
        <v>0</v>
      </c>
      <c r="G151" s="30" t="n">
        <f aca="false">SUM(B151:F151)</f>
        <v>0</v>
      </c>
      <c r="H151" s="30" t="str">
        <f aca="false">IF(G151=0,"Valid","Review")</f>
        <v>Valid</v>
      </c>
      <c r="I151" s="30" t="n">
        <f aca="false">IF(G151=0,1,0)</f>
        <v>1</v>
      </c>
    </row>
    <row r="152" customFormat="false" ht="15" hidden="false" customHeight="false" outlineLevel="0" collapsed="false">
      <c r="A152" s="30" t="str">
        <f aca="false">Responses!A152</f>
        <v>S0242</v>
      </c>
      <c r="B152" s="30" t="n">
        <f aca="false">IF(COUNTIF(Responses!$A$2:A152,Responses!A152)&gt;1,1,0)</f>
        <v>0</v>
      </c>
      <c r="C152" s="30" t="n">
        <f aca="false">IF(OR(Responses!D152="",Responses!E152="",Responses!J152="",Responses!K152="",Responses!I152=""),1,0)</f>
        <v>0</v>
      </c>
      <c r="D152" s="30" t="n">
        <f aca="false">IF(Responses!I152="",0,IF(OR(Responses!I152&lt;Assumptions!$B$4,Responses!I152&gt;Assumptions!$B$5),1,0))</f>
        <v>0</v>
      </c>
      <c r="E152" s="30" t="n">
        <f aca="false">IF(Responses!Q152&lt;Assumptions!$B$6,1,0)</f>
        <v>0</v>
      </c>
      <c r="F152" s="30" t="n">
        <f aca="false">IF(OR(AND(Responses!K152="No",Responses!L152&lt;&gt;""),AND(Responses!K152="Yes",Responses!L152="")),1,0)</f>
        <v>0</v>
      </c>
      <c r="G152" s="30" t="n">
        <f aca="false">SUM(B152:F152)</f>
        <v>0</v>
      </c>
      <c r="H152" s="30" t="str">
        <f aca="false">IF(G152=0,"Valid","Review")</f>
        <v>Valid</v>
      </c>
      <c r="I152" s="30" t="n">
        <f aca="false">IF(G152=0,1,0)</f>
        <v>1</v>
      </c>
    </row>
    <row r="153" customFormat="false" ht="15" hidden="false" customHeight="false" outlineLevel="0" collapsed="false">
      <c r="A153" s="30" t="str">
        <f aca="false">Responses!A153</f>
        <v>S0252</v>
      </c>
      <c r="B153" s="30" t="n">
        <f aca="false">IF(COUNTIF(Responses!$A$2:A153,Responses!A153)&gt;1,1,0)</f>
        <v>0</v>
      </c>
      <c r="C153" s="30" t="n">
        <f aca="false">IF(OR(Responses!D153="",Responses!E153="",Responses!J153="",Responses!K153="",Responses!I153=""),1,0)</f>
        <v>0</v>
      </c>
      <c r="D153" s="30" t="n">
        <f aca="false">IF(Responses!I153="",0,IF(OR(Responses!I153&lt;Assumptions!$B$4,Responses!I153&gt;Assumptions!$B$5),1,0))</f>
        <v>0</v>
      </c>
      <c r="E153" s="30" t="n">
        <f aca="false">IF(Responses!Q153&lt;Assumptions!$B$6,1,0)</f>
        <v>0</v>
      </c>
      <c r="F153" s="30" t="n">
        <f aca="false">IF(OR(AND(Responses!K153="No",Responses!L153&lt;&gt;""),AND(Responses!K153="Yes",Responses!L153="")),1,0)</f>
        <v>0</v>
      </c>
      <c r="G153" s="30" t="n">
        <f aca="false">SUM(B153:F153)</f>
        <v>0</v>
      </c>
      <c r="H153" s="30" t="str">
        <f aca="false">IF(G153=0,"Valid","Review")</f>
        <v>Valid</v>
      </c>
      <c r="I153" s="30" t="n">
        <f aca="false">IF(G153=0,1,0)</f>
        <v>1</v>
      </c>
    </row>
    <row r="154" customFormat="false" ht="15" hidden="false" customHeight="false" outlineLevel="0" collapsed="false">
      <c r="A154" s="30" t="str">
        <f aca="false">Responses!A154</f>
        <v>S0255</v>
      </c>
      <c r="B154" s="30" t="n">
        <f aca="false">IF(COUNTIF(Responses!$A$2:A154,Responses!A154)&gt;1,1,0)</f>
        <v>0</v>
      </c>
      <c r="C154" s="30" t="n">
        <f aca="false">IF(OR(Responses!D154="",Responses!E154="",Responses!J154="",Responses!K154="",Responses!I154=""),1,0)</f>
        <v>0</v>
      </c>
      <c r="D154" s="30" t="n">
        <f aca="false">IF(Responses!I154="",0,IF(OR(Responses!I154&lt;Assumptions!$B$4,Responses!I154&gt;Assumptions!$B$5),1,0))</f>
        <v>0</v>
      </c>
      <c r="E154" s="30" t="n">
        <f aca="false">IF(Responses!Q154&lt;Assumptions!$B$6,1,0)</f>
        <v>0</v>
      </c>
      <c r="F154" s="30" t="n">
        <f aca="false">IF(OR(AND(Responses!K154="No",Responses!L154&lt;&gt;""),AND(Responses!K154="Yes",Responses!L154="")),1,0)</f>
        <v>0</v>
      </c>
      <c r="G154" s="30" t="n">
        <f aca="false">SUM(B154:F154)</f>
        <v>0</v>
      </c>
      <c r="H154" s="30" t="str">
        <f aca="false">IF(G154=0,"Valid","Review")</f>
        <v>Valid</v>
      </c>
      <c r="I154" s="30" t="n">
        <f aca="false">IF(G154=0,1,0)</f>
        <v>1</v>
      </c>
    </row>
    <row r="155" customFormat="false" ht="15" hidden="false" customHeight="false" outlineLevel="0" collapsed="false">
      <c r="A155" s="30" t="str">
        <f aca="false">Responses!A155</f>
        <v>S0262</v>
      </c>
      <c r="B155" s="30" t="n">
        <f aca="false">IF(COUNTIF(Responses!$A$2:A155,Responses!A155)&gt;1,1,0)</f>
        <v>0</v>
      </c>
      <c r="C155" s="30" t="n">
        <f aca="false">IF(OR(Responses!D155="",Responses!E155="",Responses!J155="",Responses!K155="",Responses!I155=""),1,0)</f>
        <v>0</v>
      </c>
      <c r="D155" s="30" t="n">
        <f aca="false">IF(Responses!I155="",0,IF(OR(Responses!I155&lt;Assumptions!$B$4,Responses!I155&gt;Assumptions!$B$5),1,0))</f>
        <v>0</v>
      </c>
      <c r="E155" s="30" t="n">
        <f aca="false">IF(Responses!Q155&lt;Assumptions!$B$6,1,0)</f>
        <v>0</v>
      </c>
      <c r="F155" s="30" t="n">
        <f aca="false">IF(OR(AND(Responses!K155="No",Responses!L155&lt;&gt;""),AND(Responses!K155="Yes",Responses!L155="")),1,0)</f>
        <v>0</v>
      </c>
      <c r="G155" s="30" t="n">
        <f aca="false">SUM(B155:F155)</f>
        <v>0</v>
      </c>
      <c r="H155" s="30" t="str">
        <f aca="false">IF(G155=0,"Valid","Review")</f>
        <v>Valid</v>
      </c>
      <c r="I155" s="30" t="n">
        <f aca="false">IF(G155=0,1,0)</f>
        <v>1</v>
      </c>
    </row>
    <row r="156" customFormat="false" ht="15" hidden="false" customHeight="false" outlineLevel="0" collapsed="false">
      <c r="A156" s="30" t="str">
        <f aca="false">Responses!A156</f>
        <v>S0003</v>
      </c>
      <c r="B156" s="30" t="n">
        <f aca="false">IF(COUNTIF(Responses!$A$2:A156,Responses!A156)&gt;1,1,0)</f>
        <v>0</v>
      </c>
      <c r="C156" s="30" t="n">
        <f aca="false">IF(OR(Responses!D156="",Responses!E156="",Responses!J156="",Responses!K156="",Responses!I156=""),1,0)</f>
        <v>0</v>
      </c>
      <c r="D156" s="30" t="n">
        <f aca="false">IF(Responses!I156="",0,IF(OR(Responses!I156&lt;Assumptions!$B$4,Responses!I156&gt;Assumptions!$B$5),1,0))</f>
        <v>0</v>
      </c>
      <c r="E156" s="30" t="n">
        <f aca="false">IF(Responses!Q156&lt;Assumptions!$B$6,1,0)</f>
        <v>0</v>
      </c>
      <c r="F156" s="30" t="n">
        <f aca="false">IF(OR(AND(Responses!K156="No",Responses!L156&lt;&gt;""),AND(Responses!K156="Yes",Responses!L156="")),1,0)</f>
        <v>0</v>
      </c>
      <c r="G156" s="30" t="n">
        <f aca="false">SUM(B156:F156)</f>
        <v>0</v>
      </c>
      <c r="H156" s="30" t="str">
        <f aca="false">IF(G156=0,"Valid","Review")</f>
        <v>Valid</v>
      </c>
      <c r="I156" s="30" t="n">
        <f aca="false">IF(G156=0,1,0)</f>
        <v>1</v>
      </c>
    </row>
    <row r="157" customFormat="false" ht="15" hidden="false" customHeight="false" outlineLevel="0" collapsed="false">
      <c r="A157" s="30" t="str">
        <f aca="false">Responses!A157</f>
        <v>S0042</v>
      </c>
      <c r="B157" s="30" t="n">
        <f aca="false">IF(COUNTIF(Responses!$A$2:A157,Responses!A157)&gt;1,1,0)</f>
        <v>0</v>
      </c>
      <c r="C157" s="30" t="n">
        <f aca="false">IF(OR(Responses!D157="",Responses!E157="",Responses!J157="",Responses!K157="",Responses!I157=""),1,0)</f>
        <v>0</v>
      </c>
      <c r="D157" s="30" t="n">
        <f aca="false">IF(Responses!I157="",0,IF(OR(Responses!I157&lt;Assumptions!$B$4,Responses!I157&gt;Assumptions!$B$5),1,0))</f>
        <v>0</v>
      </c>
      <c r="E157" s="30" t="n">
        <f aca="false">IF(Responses!Q157&lt;Assumptions!$B$6,1,0)</f>
        <v>0</v>
      </c>
      <c r="F157" s="30" t="n">
        <f aca="false">IF(OR(AND(Responses!K157="No",Responses!L157&lt;&gt;""),AND(Responses!K157="Yes",Responses!L157="")),1,0)</f>
        <v>0</v>
      </c>
      <c r="G157" s="30" t="n">
        <f aca="false">SUM(B157:F157)</f>
        <v>0</v>
      </c>
      <c r="H157" s="30" t="str">
        <f aca="false">IF(G157=0,"Valid","Review")</f>
        <v>Valid</v>
      </c>
      <c r="I157" s="30" t="n">
        <f aca="false">IF(G157=0,1,0)</f>
        <v>1</v>
      </c>
    </row>
    <row r="158" customFormat="false" ht="15" hidden="false" customHeight="false" outlineLevel="0" collapsed="false">
      <c r="A158" s="30" t="str">
        <f aca="false">Responses!A158</f>
        <v>S0047</v>
      </c>
      <c r="B158" s="30" t="n">
        <f aca="false">IF(COUNTIF(Responses!$A$2:A158,Responses!A158)&gt;1,1,0)</f>
        <v>0</v>
      </c>
      <c r="C158" s="30" t="n">
        <f aca="false">IF(OR(Responses!D158="",Responses!E158="",Responses!J158="",Responses!K158="",Responses!I158=""),1,0)</f>
        <v>0</v>
      </c>
      <c r="D158" s="30" t="n">
        <f aca="false">IF(Responses!I158="",0,IF(OR(Responses!I158&lt;Assumptions!$B$4,Responses!I158&gt;Assumptions!$B$5),1,0))</f>
        <v>0</v>
      </c>
      <c r="E158" s="30" t="n">
        <f aca="false">IF(Responses!Q158&lt;Assumptions!$B$6,1,0)</f>
        <v>0</v>
      </c>
      <c r="F158" s="30" t="n">
        <f aca="false">IF(OR(AND(Responses!K158="No",Responses!L158&lt;&gt;""),AND(Responses!K158="Yes",Responses!L158="")),1,0)</f>
        <v>0</v>
      </c>
      <c r="G158" s="30" t="n">
        <f aca="false">SUM(B158:F158)</f>
        <v>0</v>
      </c>
      <c r="H158" s="30" t="str">
        <f aca="false">IF(G158=0,"Valid","Review")</f>
        <v>Valid</v>
      </c>
      <c r="I158" s="30" t="n">
        <f aca="false">IF(G158=0,1,0)</f>
        <v>1</v>
      </c>
    </row>
    <row r="159" customFormat="false" ht="15" hidden="false" customHeight="false" outlineLevel="0" collapsed="false">
      <c r="A159" s="30" t="str">
        <f aca="false">Responses!A159</f>
        <v>S0077</v>
      </c>
      <c r="B159" s="30" t="n">
        <f aca="false">IF(COUNTIF(Responses!$A$2:A159,Responses!A159)&gt;1,1,0)</f>
        <v>0</v>
      </c>
      <c r="C159" s="30" t="n">
        <f aca="false">IF(OR(Responses!D159="",Responses!E159="",Responses!J159="",Responses!K159="",Responses!I159=""),1,0)</f>
        <v>0</v>
      </c>
      <c r="D159" s="30" t="n">
        <f aca="false">IF(Responses!I159="",0,IF(OR(Responses!I159&lt;Assumptions!$B$4,Responses!I159&gt;Assumptions!$B$5),1,0))</f>
        <v>0</v>
      </c>
      <c r="E159" s="30" t="n">
        <f aca="false">IF(Responses!Q159&lt;Assumptions!$B$6,1,0)</f>
        <v>0</v>
      </c>
      <c r="F159" s="30" t="n">
        <f aca="false">IF(OR(AND(Responses!K159="No",Responses!L159&lt;&gt;""),AND(Responses!K159="Yes",Responses!L159="")),1,0)</f>
        <v>0</v>
      </c>
      <c r="G159" s="30" t="n">
        <f aca="false">SUM(B159:F159)</f>
        <v>0</v>
      </c>
      <c r="H159" s="30" t="str">
        <f aca="false">IF(G159=0,"Valid","Review")</f>
        <v>Valid</v>
      </c>
      <c r="I159" s="30" t="n">
        <f aca="false">IF(G159=0,1,0)</f>
        <v>1</v>
      </c>
    </row>
    <row r="160" customFormat="false" ht="15" hidden="false" customHeight="false" outlineLevel="0" collapsed="false">
      <c r="A160" s="30" t="str">
        <f aca="false">Responses!A160</f>
        <v>S0102</v>
      </c>
      <c r="B160" s="30" t="n">
        <f aca="false">IF(COUNTIF(Responses!$A$2:A160,Responses!A160)&gt;1,1,0)</f>
        <v>0</v>
      </c>
      <c r="C160" s="30" t="n">
        <f aca="false">IF(OR(Responses!D160="",Responses!E160="",Responses!J160="",Responses!K160="",Responses!I160=""),1,0)</f>
        <v>0</v>
      </c>
      <c r="D160" s="30" t="n">
        <f aca="false">IF(Responses!I160="",0,IF(OR(Responses!I160&lt;Assumptions!$B$4,Responses!I160&gt;Assumptions!$B$5),1,0))</f>
        <v>0</v>
      </c>
      <c r="E160" s="30" t="n">
        <f aca="false">IF(Responses!Q160&lt;Assumptions!$B$6,1,0)</f>
        <v>0</v>
      </c>
      <c r="F160" s="30" t="n">
        <f aca="false">IF(OR(AND(Responses!K160="No",Responses!L160&lt;&gt;""),AND(Responses!K160="Yes",Responses!L160="")),1,0)</f>
        <v>0</v>
      </c>
      <c r="G160" s="30" t="n">
        <f aca="false">SUM(B160:F160)</f>
        <v>0</v>
      </c>
      <c r="H160" s="30" t="str">
        <f aca="false">IF(G160=0,"Valid","Review")</f>
        <v>Valid</v>
      </c>
      <c r="I160" s="30" t="n">
        <f aca="false">IF(G160=0,1,0)</f>
        <v>1</v>
      </c>
    </row>
    <row r="161" customFormat="false" ht="15" hidden="false" customHeight="false" outlineLevel="0" collapsed="false">
      <c r="A161" s="30" t="str">
        <f aca="false">Responses!A161</f>
        <v>S0149</v>
      </c>
      <c r="B161" s="30" t="n">
        <f aca="false">IF(COUNTIF(Responses!$A$2:A161,Responses!A161)&gt;1,1,0)</f>
        <v>0</v>
      </c>
      <c r="C161" s="30" t="n">
        <f aca="false">IF(OR(Responses!D161="",Responses!E161="",Responses!J161="",Responses!K161="",Responses!I161=""),1,0)</f>
        <v>0</v>
      </c>
      <c r="D161" s="30" t="n">
        <f aca="false">IF(Responses!I161="",0,IF(OR(Responses!I161&lt;Assumptions!$B$4,Responses!I161&gt;Assumptions!$B$5),1,0))</f>
        <v>0</v>
      </c>
      <c r="E161" s="30" t="n">
        <f aca="false">IF(Responses!Q161&lt;Assumptions!$B$6,1,0)</f>
        <v>0</v>
      </c>
      <c r="F161" s="30" t="n">
        <f aca="false">IF(OR(AND(Responses!K161="No",Responses!L161&lt;&gt;""),AND(Responses!K161="Yes",Responses!L161="")),1,0)</f>
        <v>0</v>
      </c>
      <c r="G161" s="30" t="n">
        <f aca="false">SUM(B161:F161)</f>
        <v>0</v>
      </c>
      <c r="H161" s="30" t="str">
        <f aca="false">IF(G161=0,"Valid","Review")</f>
        <v>Valid</v>
      </c>
      <c r="I161" s="30" t="n">
        <f aca="false">IF(G161=0,1,0)</f>
        <v>1</v>
      </c>
    </row>
    <row r="162" customFormat="false" ht="15" hidden="false" customHeight="false" outlineLevel="0" collapsed="false">
      <c r="A162" s="30" t="str">
        <f aca="false">Responses!A162</f>
        <v>S0176</v>
      </c>
      <c r="B162" s="30" t="n">
        <f aca="false">IF(COUNTIF(Responses!$A$2:A162,Responses!A162)&gt;1,1,0)</f>
        <v>0</v>
      </c>
      <c r="C162" s="30" t="n">
        <f aca="false">IF(OR(Responses!D162="",Responses!E162="",Responses!J162="",Responses!K162="",Responses!I162=""),1,0)</f>
        <v>0</v>
      </c>
      <c r="D162" s="30" t="n">
        <f aca="false">IF(Responses!I162="",0,IF(OR(Responses!I162&lt;Assumptions!$B$4,Responses!I162&gt;Assumptions!$B$5),1,0))</f>
        <v>0</v>
      </c>
      <c r="E162" s="30" t="n">
        <f aca="false">IF(Responses!Q162&lt;Assumptions!$B$6,1,0)</f>
        <v>0</v>
      </c>
      <c r="F162" s="30" t="n">
        <f aca="false">IF(OR(AND(Responses!K162="No",Responses!L162&lt;&gt;""),AND(Responses!K162="Yes",Responses!L162="")),1,0)</f>
        <v>0</v>
      </c>
      <c r="G162" s="30" t="n">
        <f aca="false">SUM(B162:F162)</f>
        <v>0</v>
      </c>
      <c r="H162" s="30" t="str">
        <f aca="false">IF(G162=0,"Valid","Review")</f>
        <v>Valid</v>
      </c>
      <c r="I162" s="30" t="n">
        <f aca="false">IF(G162=0,1,0)</f>
        <v>1</v>
      </c>
    </row>
    <row r="163" customFormat="false" ht="15" hidden="false" customHeight="false" outlineLevel="0" collapsed="false">
      <c r="A163" s="30" t="str">
        <f aca="false">Responses!A163</f>
        <v>S0205</v>
      </c>
      <c r="B163" s="30" t="n">
        <f aca="false">IF(COUNTIF(Responses!$A$2:A163,Responses!A163)&gt;1,1,0)</f>
        <v>0</v>
      </c>
      <c r="C163" s="30" t="n">
        <f aca="false">IF(OR(Responses!D163="",Responses!E163="",Responses!J163="",Responses!K163="",Responses!I163=""),1,0)</f>
        <v>0</v>
      </c>
      <c r="D163" s="30" t="n">
        <f aca="false">IF(Responses!I163="",0,IF(OR(Responses!I163&lt;Assumptions!$B$4,Responses!I163&gt;Assumptions!$B$5),1,0))</f>
        <v>0</v>
      </c>
      <c r="E163" s="30" t="n">
        <f aca="false">IF(Responses!Q163&lt;Assumptions!$B$6,1,0)</f>
        <v>0</v>
      </c>
      <c r="F163" s="30" t="n">
        <f aca="false">IF(OR(AND(Responses!K163="No",Responses!L163&lt;&gt;""),AND(Responses!K163="Yes",Responses!L163="")),1,0)</f>
        <v>0</v>
      </c>
      <c r="G163" s="30" t="n">
        <f aca="false">SUM(B163:F163)</f>
        <v>0</v>
      </c>
      <c r="H163" s="30" t="str">
        <f aca="false">IF(G163=0,"Valid","Review")</f>
        <v>Valid</v>
      </c>
      <c r="I163" s="30" t="n">
        <f aca="false">IF(G163=0,1,0)</f>
        <v>1</v>
      </c>
    </row>
    <row r="164" customFormat="false" ht="15" hidden="false" customHeight="false" outlineLevel="0" collapsed="false">
      <c r="A164" s="30" t="str">
        <f aca="false">Responses!A164</f>
        <v>S0246</v>
      </c>
      <c r="B164" s="30" t="n">
        <f aca="false">IF(COUNTIF(Responses!$A$2:A164,Responses!A164)&gt;1,1,0)</f>
        <v>0</v>
      </c>
      <c r="C164" s="30" t="n">
        <f aca="false">IF(OR(Responses!D164="",Responses!E164="",Responses!J164="",Responses!K164="",Responses!I164=""),1,0)</f>
        <v>0</v>
      </c>
      <c r="D164" s="30" t="n">
        <f aca="false">IF(Responses!I164="",0,IF(OR(Responses!I164&lt;Assumptions!$B$4,Responses!I164&gt;Assumptions!$B$5),1,0))</f>
        <v>0</v>
      </c>
      <c r="E164" s="30" t="n">
        <f aca="false">IF(Responses!Q164&lt;Assumptions!$B$6,1,0)</f>
        <v>0</v>
      </c>
      <c r="F164" s="30" t="n">
        <f aca="false">IF(OR(AND(Responses!K164="No",Responses!L164&lt;&gt;""),AND(Responses!K164="Yes",Responses!L164="")),1,0)</f>
        <v>0</v>
      </c>
      <c r="G164" s="30" t="n">
        <f aca="false">SUM(B164:F164)</f>
        <v>0</v>
      </c>
      <c r="H164" s="30" t="str">
        <f aca="false">IF(G164=0,"Valid","Review")</f>
        <v>Valid</v>
      </c>
      <c r="I164" s="30" t="n">
        <f aca="false">IF(G164=0,1,0)</f>
        <v>1</v>
      </c>
    </row>
    <row r="165" customFormat="false" ht="15" hidden="false" customHeight="false" outlineLevel="0" collapsed="false">
      <c r="A165" s="30" t="str">
        <f aca="false">Responses!A165</f>
        <v>S0253</v>
      </c>
      <c r="B165" s="30" t="n">
        <f aca="false">IF(COUNTIF(Responses!$A$2:A165,Responses!A165)&gt;1,1,0)</f>
        <v>0</v>
      </c>
      <c r="C165" s="30" t="n">
        <f aca="false">IF(OR(Responses!D165="",Responses!E165="",Responses!J165="",Responses!K165="",Responses!I165=""),1,0)</f>
        <v>0</v>
      </c>
      <c r="D165" s="30" t="n">
        <f aca="false">IF(Responses!I165="",0,IF(OR(Responses!I165&lt;Assumptions!$B$4,Responses!I165&gt;Assumptions!$B$5),1,0))</f>
        <v>0</v>
      </c>
      <c r="E165" s="30" t="n">
        <f aca="false">IF(Responses!Q165&lt;Assumptions!$B$6,1,0)</f>
        <v>0</v>
      </c>
      <c r="F165" s="30" t="n">
        <f aca="false">IF(OR(AND(Responses!K165="No",Responses!L165&lt;&gt;""),AND(Responses!K165="Yes",Responses!L165="")),1,0)</f>
        <v>0</v>
      </c>
      <c r="G165" s="30" t="n">
        <f aca="false">SUM(B165:F165)</f>
        <v>0</v>
      </c>
      <c r="H165" s="30" t="str">
        <f aca="false">IF(G165=0,"Valid","Review")</f>
        <v>Valid</v>
      </c>
      <c r="I165" s="30" t="n">
        <f aca="false">IF(G165=0,1,0)</f>
        <v>1</v>
      </c>
    </row>
    <row r="166" customFormat="false" ht="15" hidden="false" customHeight="false" outlineLevel="0" collapsed="false">
      <c r="A166" s="30" t="str">
        <f aca="false">Responses!A166</f>
        <v>S0253</v>
      </c>
      <c r="B166" s="30" t="n">
        <f aca="false">IF(COUNTIF(Responses!$A$2:A166,Responses!A166)&gt;1,1,0)</f>
        <v>1</v>
      </c>
      <c r="C166" s="30" t="n">
        <f aca="false">IF(OR(Responses!D166="",Responses!E166="",Responses!J166="",Responses!K166="",Responses!I166=""),1,0)</f>
        <v>0</v>
      </c>
      <c r="D166" s="30" t="n">
        <f aca="false">IF(Responses!I166="",0,IF(OR(Responses!I166&lt;Assumptions!$B$4,Responses!I166&gt;Assumptions!$B$5),1,0))</f>
        <v>0</v>
      </c>
      <c r="E166" s="30" t="n">
        <f aca="false">IF(Responses!Q166&lt;Assumptions!$B$6,1,0)</f>
        <v>0</v>
      </c>
      <c r="F166" s="30" t="n">
        <f aca="false">IF(OR(AND(Responses!K166="No",Responses!L166&lt;&gt;""),AND(Responses!K166="Yes",Responses!L166="")),1,0)</f>
        <v>0</v>
      </c>
      <c r="G166" s="30" t="n">
        <f aca="false">SUM(B166:F166)</f>
        <v>1</v>
      </c>
      <c r="H166" s="30" t="str">
        <f aca="false">IF(G166=0,"Valid","Review")</f>
        <v>Review</v>
      </c>
      <c r="I166" s="30" t="n">
        <f aca="false">IF(G166=0,1,0)</f>
        <v>0</v>
      </c>
    </row>
    <row r="167" customFormat="false" ht="15" hidden="false" customHeight="false" outlineLevel="0" collapsed="false">
      <c r="A167" s="30" t="str">
        <f aca="false">Responses!A167</f>
        <v>S0260</v>
      </c>
      <c r="B167" s="30" t="n">
        <f aca="false">IF(COUNTIF(Responses!$A$2:A167,Responses!A167)&gt;1,1,0)</f>
        <v>0</v>
      </c>
      <c r="C167" s="30" t="n">
        <f aca="false">IF(OR(Responses!D167="",Responses!E167="",Responses!J167="",Responses!K167="",Responses!I167=""),1,0)</f>
        <v>0</v>
      </c>
      <c r="D167" s="30" t="n">
        <f aca="false">IF(Responses!I167="",0,IF(OR(Responses!I167&lt;Assumptions!$B$4,Responses!I167&gt;Assumptions!$B$5),1,0))</f>
        <v>0</v>
      </c>
      <c r="E167" s="30" t="n">
        <f aca="false">IF(Responses!Q167&lt;Assumptions!$B$6,1,0)</f>
        <v>0</v>
      </c>
      <c r="F167" s="30" t="n">
        <f aca="false">IF(OR(AND(Responses!K167="No",Responses!L167&lt;&gt;""),AND(Responses!K167="Yes",Responses!L167="")),1,0)</f>
        <v>0</v>
      </c>
      <c r="G167" s="30" t="n">
        <f aca="false">SUM(B167:F167)</f>
        <v>0</v>
      </c>
      <c r="H167" s="30" t="str">
        <f aca="false">IF(G167=0,"Valid","Review")</f>
        <v>Valid</v>
      </c>
      <c r="I167" s="30" t="n">
        <f aca="false">IF(G167=0,1,0)</f>
        <v>1</v>
      </c>
    </row>
    <row r="168" customFormat="false" ht="15" hidden="false" customHeight="false" outlineLevel="0" collapsed="false">
      <c r="A168" s="30" t="str">
        <f aca="false">Responses!A168</f>
        <v>S0269</v>
      </c>
      <c r="B168" s="30" t="n">
        <f aca="false">IF(COUNTIF(Responses!$A$2:A168,Responses!A168)&gt;1,1,0)</f>
        <v>0</v>
      </c>
      <c r="C168" s="30" t="n">
        <f aca="false">IF(OR(Responses!D168="",Responses!E168="",Responses!J168="",Responses!K168="",Responses!I168=""),1,0)</f>
        <v>0</v>
      </c>
      <c r="D168" s="30" t="n">
        <f aca="false">IF(Responses!I168="",0,IF(OR(Responses!I168&lt;Assumptions!$B$4,Responses!I168&gt;Assumptions!$B$5),1,0))</f>
        <v>0</v>
      </c>
      <c r="E168" s="30" t="n">
        <f aca="false">IF(Responses!Q168&lt;Assumptions!$B$6,1,0)</f>
        <v>0</v>
      </c>
      <c r="F168" s="30" t="n">
        <f aca="false">IF(OR(AND(Responses!K168="No",Responses!L168&lt;&gt;""),AND(Responses!K168="Yes",Responses!L168="")),1,0)</f>
        <v>0</v>
      </c>
      <c r="G168" s="30" t="n">
        <f aca="false">SUM(B168:F168)</f>
        <v>0</v>
      </c>
      <c r="H168" s="30" t="str">
        <f aca="false">IF(G168=0,"Valid","Review")</f>
        <v>Valid</v>
      </c>
      <c r="I168" s="30" t="n">
        <f aca="false">IF(G168=0,1,0)</f>
        <v>1</v>
      </c>
    </row>
    <row r="169" customFormat="false" ht="15" hidden="false" customHeight="false" outlineLevel="0" collapsed="false">
      <c r="A169" s="30" t="str">
        <f aca="false">Responses!A169</f>
        <v>S0283</v>
      </c>
      <c r="B169" s="30" t="n">
        <f aca="false">IF(COUNTIF(Responses!$A$2:A169,Responses!A169)&gt;1,1,0)</f>
        <v>0</v>
      </c>
      <c r="C169" s="30" t="n">
        <f aca="false">IF(OR(Responses!D169="",Responses!E169="",Responses!J169="",Responses!K169="",Responses!I169=""),1,0)</f>
        <v>0</v>
      </c>
      <c r="D169" s="30" t="n">
        <f aca="false">IF(Responses!I169="",0,IF(OR(Responses!I169&lt;Assumptions!$B$4,Responses!I169&gt;Assumptions!$B$5),1,0))</f>
        <v>0</v>
      </c>
      <c r="E169" s="30" t="n">
        <f aca="false">IF(Responses!Q169&lt;Assumptions!$B$6,1,0)</f>
        <v>0</v>
      </c>
      <c r="F169" s="30" t="n">
        <f aca="false">IF(OR(AND(Responses!K169="No",Responses!L169&lt;&gt;""),AND(Responses!K169="Yes",Responses!L169="")),1,0)</f>
        <v>0</v>
      </c>
      <c r="G169" s="30" t="n">
        <f aca="false">SUM(B169:F169)</f>
        <v>0</v>
      </c>
      <c r="H169" s="30" t="str">
        <f aca="false">IF(G169=0,"Valid","Review")</f>
        <v>Valid</v>
      </c>
      <c r="I169" s="30" t="n">
        <f aca="false">IF(G169=0,1,0)</f>
        <v>1</v>
      </c>
    </row>
    <row r="170" customFormat="false" ht="15" hidden="false" customHeight="false" outlineLevel="0" collapsed="false">
      <c r="A170" s="30" t="str">
        <f aca="false">Responses!A170</f>
        <v>S0006</v>
      </c>
      <c r="B170" s="30" t="n">
        <f aca="false">IF(COUNTIF(Responses!$A$2:A170,Responses!A170)&gt;1,1,0)</f>
        <v>0</v>
      </c>
      <c r="C170" s="30" t="n">
        <f aca="false">IF(OR(Responses!D170="",Responses!E170="",Responses!J170="",Responses!K170="",Responses!I170=""),1,0)</f>
        <v>0</v>
      </c>
      <c r="D170" s="30" t="n">
        <f aca="false">IF(Responses!I170="",0,IF(OR(Responses!I170&lt;Assumptions!$B$4,Responses!I170&gt;Assumptions!$B$5),1,0))</f>
        <v>0</v>
      </c>
      <c r="E170" s="30" t="n">
        <f aca="false">IF(Responses!Q170&lt;Assumptions!$B$6,1,0)</f>
        <v>0</v>
      </c>
      <c r="F170" s="30" t="n">
        <f aca="false">IF(OR(AND(Responses!K170="No",Responses!L170&lt;&gt;""),AND(Responses!K170="Yes",Responses!L170="")),1,0)</f>
        <v>0</v>
      </c>
      <c r="G170" s="30" t="n">
        <f aca="false">SUM(B170:F170)</f>
        <v>0</v>
      </c>
      <c r="H170" s="30" t="str">
        <f aca="false">IF(G170=0,"Valid","Review")</f>
        <v>Valid</v>
      </c>
      <c r="I170" s="30" t="n">
        <f aca="false">IF(G170=0,1,0)</f>
        <v>1</v>
      </c>
    </row>
    <row r="171" customFormat="false" ht="15" hidden="false" customHeight="false" outlineLevel="0" collapsed="false">
      <c r="A171" s="30" t="str">
        <f aca="false">Responses!A171</f>
        <v>S0020</v>
      </c>
      <c r="B171" s="30" t="n">
        <f aca="false">IF(COUNTIF(Responses!$A$2:A171,Responses!A171)&gt;1,1,0)</f>
        <v>0</v>
      </c>
      <c r="C171" s="30" t="n">
        <f aca="false">IF(OR(Responses!D171="",Responses!E171="",Responses!J171="",Responses!K171="",Responses!I171=""),1,0)</f>
        <v>0</v>
      </c>
      <c r="D171" s="30" t="n">
        <f aca="false">IF(Responses!I171="",0,IF(OR(Responses!I171&lt;Assumptions!$B$4,Responses!I171&gt;Assumptions!$B$5),1,0))</f>
        <v>0</v>
      </c>
      <c r="E171" s="30" t="n">
        <f aca="false">IF(Responses!Q171&lt;Assumptions!$B$6,1,0)</f>
        <v>0</v>
      </c>
      <c r="F171" s="30" t="n">
        <f aca="false">IF(OR(AND(Responses!K171="No",Responses!L171&lt;&gt;""),AND(Responses!K171="Yes",Responses!L171="")),1,0)</f>
        <v>0</v>
      </c>
      <c r="G171" s="30" t="n">
        <f aca="false">SUM(B171:F171)</f>
        <v>0</v>
      </c>
      <c r="H171" s="30" t="str">
        <f aca="false">IF(G171=0,"Valid","Review")</f>
        <v>Valid</v>
      </c>
      <c r="I171" s="30" t="n">
        <f aca="false">IF(G171=0,1,0)</f>
        <v>1</v>
      </c>
    </row>
    <row r="172" customFormat="false" ht="15" hidden="false" customHeight="false" outlineLevel="0" collapsed="false">
      <c r="A172" s="30" t="str">
        <f aca="false">Responses!A172</f>
        <v>S0041</v>
      </c>
      <c r="B172" s="30" t="n">
        <f aca="false">IF(COUNTIF(Responses!$A$2:A172,Responses!A172)&gt;1,1,0)</f>
        <v>0</v>
      </c>
      <c r="C172" s="30" t="n">
        <f aca="false">IF(OR(Responses!D172="",Responses!E172="",Responses!J172="",Responses!K172="",Responses!I172=""),1,0)</f>
        <v>0</v>
      </c>
      <c r="D172" s="30" t="n">
        <f aca="false">IF(Responses!I172="",0,IF(OR(Responses!I172&lt;Assumptions!$B$4,Responses!I172&gt;Assumptions!$B$5),1,0))</f>
        <v>0</v>
      </c>
      <c r="E172" s="30" t="n">
        <f aca="false">IF(Responses!Q172&lt;Assumptions!$B$6,1,0)</f>
        <v>0</v>
      </c>
      <c r="F172" s="30" t="n">
        <f aca="false">IF(OR(AND(Responses!K172="No",Responses!L172&lt;&gt;""),AND(Responses!K172="Yes",Responses!L172="")),1,0)</f>
        <v>0</v>
      </c>
      <c r="G172" s="30" t="n">
        <f aca="false">SUM(B172:F172)</f>
        <v>0</v>
      </c>
      <c r="H172" s="30" t="str">
        <f aca="false">IF(G172=0,"Valid","Review")</f>
        <v>Valid</v>
      </c>
      <c r="I172" s="30" t="n">
        <f aca="false">IF(G172=0,1,0)</f>
        <v>1</v>
      </c>
    </row>
    <row r="173" customFormat="false" ht="15" hidden="false" customHeight="false" outlineLevel="0" collapsed="false">
      <c r="A173" s="30" t="str">
        <f aca="false">Responses!A173</f>
        <v>S0147</v>
      </c>
      <c r="B173" s="30" t="n">
        <f aca="false">IF(COUNTIF(Responses!$A$2:A173,Responses!A173)&gt;1,1,0)</f>
        <v>0</v>
      </c>
      <c r="C173" s="30" t="n">
        <f aca="false">IF(OR(Responses!D173="",Responses!E173="",Responses!J173="",Responses!K173="",Responses!I173=""),1,0)</f>
        <v>0</v>
      </c>
      <c r="D173" s="30" t="n">
        <f aca="false">IF(Responses!I173="",0,IF(OR(Responses!I173&lt;Assumptions!$B$4,Responses!I173&gt;Assumptions!$B$5),1,0))</f>
        <v>0</v>
      </c>
      <c r="E173" s="30" t="n">
        <f aca="false">IF(Responses!Q173&lt;Assumptions!$B$6,1,0)</f>
        <v>0</v>
      </c>
      <c r="F173" s="30" t="n">
        <f aca="false">IF(OR(AND(Responses!K173="No",Responses!L173&lt;&gt;""),AND(Responses!K173="Yes",Responses!L173="")),1,0)</f>
        <v>0</v>
      </c>
      <c r="G173" s="30" t="n">
        <f aca="false">SUM(B173:F173)</f>
        <v>0</v>
      </c>
      <c r="H173" s="30" t="str">
        <f aca="false">IF(G173=0,"Valid","Review")</f>
        <v>Valid</v>
      </c>
      <c r="I173" s="30" t="n">
        <f aca="false">IF(G173=0,1,0)</f>
        <v>1</v>
      </c>
    </row>
    <row r="174" customFormat="false" ht="15" hidden="false" customHeight="false" outlineLevel="0" collapsed="false">
      <c r="A174" s="30" t="str">
        <f aca="false">Responses!A174</f>
        <v>S0177</v>
      </c>
      <c r="B174" s="30" t="n">
        <f aca="false">IF(COUNTIF(Responses!$A$2:A174,Responses!A174)&gt;1,1,0)</f>
        <v>0</v>
      </c>
      <c r="C174" s="30" t="n">
        <f aca="false">IF(OR(Responses!D174="",Responses!E174="",Responses!J174="",Responses!K174="",Responses!I174=""),1,0)</f>
        <v>0</v>
      </c>
      <c r="D174" s="30" t="n">
        <f aca="false">IF(Responses!I174="",0,IF(OR(Responses!I174&lt;Assumptions!$B$4,Responses!I174&gt;Assumptions!$B$5),1,0))</f>
        <v>0</v>
      </c>
      <c r="E174" s="30" t="n">
        <f aca="false">IF(Responses!Q174&lt;Assumptions!$B$6,1,0)</f>
        <v>0</v>
      </c>
      <c r="F174" s="30" t="n">
        <f aca="false">IF(OR(AND(Responses!K174="No",Responses!L174&lt;&gt;""),AND(Responses!K174="Yes",Responses!L174="")),1,0)</f>
        <v>0</v>
      </c>
      <c r="G174" s="30" t="n">
        <f aca="false">SUM(B174:F174)</f>
        <v>0</v>
      </c>
      <c r="H174" s="30" t="str">
        <f aca="false">IF(G174=0,"Valid","Review")</f>
        <v>Valid</v>
      </c>
      <c r="I174" s="30" t="n">
        <f aca="false">IF(G174=0,1,0)</f>
        <v>1</v>
      </c>
    </row>
    <row r="175" customFormat="false" ht="15" hidden="false" customHeight="false" outlineLevel="0" collapsed="false">
      <c r="A175" s="30" t="str">
        <f aca="false">Responses!A175</f>
        <v>S0197</v>
      </c>
      <c r="B175" s="30" t="n">
        <f aca="false">IF(COUNTIF(Responses!$A$2:A175,Responses!A175)&gt;1,1,0)</f>
        <v>0</v>
      </c>
      <c r="C175" s="30" t="n">
        <f aca="false">IF(OR(Responses!D175="",Responses!E175="",Responses!J175="",Responses!K175="",Responses!I175=""),1,0)</f>
        <v>0</v>
      </c>
      <c r="D175" s="30" t="n">
        <f aca="false">IF(Responses!I175="",0,IF(OR(Responses!I175&lt;Assumptions!$B$4,Responses!I175&gt;Assumptions!$B$5),1,0))</f>
        <v>0</v>
      </c>
      <c r="E175" s="30" t="n">
        <f aca="false">IF(Responses!Q175&lt;Assumptions!$B$6,1,0)</f>
        <v>1</v>
      </c>
      <c r="F175" s="30" t="n">
        <f aca="false">IF(OR(AND(Responses!K175="No",Responses!L175&lt;&gt;""),AND(Responses!K175="Yes",Responses!L175="")),1,0)</f>
        <v>1</v>
      </c>
      <c r="G175" s="30" t="n">
        <f aca="false">SUM(B175:F175)</f>
        <v>2</v>
      </c>
      <c r="H175" s="30" t="str">
        <f aca="false">IF(G175=0,"Valid","Review")</f>
        <v>Review</v>
      </c>
      <c r="I175" s="30" t="n">
        <f aca="false">IF(G175=0,1,0)</f>
        <v>0</v>
      </c>
    </row>
    <row r="176" customFormat="false" ht="15" hidden="false" customHeight="false" outlineLevel="0" collapsed="false">
      <c r="A176" s="30" t="str">
        <f aca="false">Responses!A176</f>
        <v>S0201</v>
      </c>
      <c r="B176" s="30" t="n">
        <f aca="false">IF(COUNTIF(Responses!$A$2:A176,Responses!A176)&gt;1,1,0)</f>
        <v>0</v>
      </c>
      <c r="C176" s="30" t="n">
        <f aca="false">IF(OR(Responses!D176="",Responses!E176="",Responses!J176="",Responses!K176="",Responses!I176=""),1,0)</f>
        <v>0</v>
      </c>
      <c r="D176" s="30" t="n">
        <f aca="false">IF(Responses!I176="",0,IF(OR(Responses!I176&lt;Assumptions!$B$4,Responses!I176&gt;Assumptions!$B$5),1,0))</f>
        <v>0</v>
      </c>
      <c r="E176" s="30" t="n">
        <f aca="false">IF(Responses!Q176&lt;Assumptions!$B$6,1,0)</f>
        <v>0</v>
      </c>
      <c r="F176" s="30" t="n">
        <f aca="false">IF(OR(AND(Responses!K176="No",Responses!L176&lt;&gt;""),AND(Responses!K176="Yes",Responses!L176="")),1,0)</f>
        <v>0</v>
      </c>
      <c r="G176" s="30" t="n">
        <f aca="false">SUM(B176:F176)</f>
        <v>0</v>
      </c>
      <c r="H176" s="30" t="str">
        <f aca="false">IF(G176=0,"Valid","Review")</f>
        <v>Valid</v>
      </c>
      <c r="I176" s="30" t="n">
        <f aca="false">IF(G176=0,1,0)</f>
        <v>1</v>
      </c>
    </row>
    <row r="177" customFormat="false" ht="15" hidden="false" customHeight="false" outlineLevel="0" collapsed="false">
      <c r="A177" s="30" t="str">
        <f aca="false">Responses!A177</f>
        <v>S0229</v>
      </c>
      <c r="B177" s="30" t="n">
        <f aca="false">IF(COUNTIF(Responses!$A$2:A177,Responses!A177)&gt;1,1,0)</f>
        <v>0</v>
      </c>
      <c r="C177" s="30" t="n">
        <f aca="false">IF(OR(Responses!D177="",Responses!E177="",Responses!J177="",Responses!K177="",Responses!I177=""),1,0)</f>
        <v>0</v>
      </c>
      <c r="D177" s="30" t="n">
        <f aca="false">IF(Responses!I177="",0,IF(OR(Responses!I177&lt;Assumptions!$B$4,Responses!I177&gt;Assumptions!$B$5),1,0))</f>
        <v>0</v>
      </c>
      <c r="E177" s="30" t="n">
        <f aca="false">IF(Responses!Q177&lt;Assumptions!$B$6,1,0)</f>
        <v>0</v>
      </c>
      <c r="F177" s="30" t="n">
        <f aca="false">IF(OR(AND(Responses!K177="No",Responses!L177&lt;&gt;""),AND(Responses!K177="Yes",Responses!L177="")),1,0)</f>
        <v>0</v>
      </c>
      <c r="G177" s="30" t="n">
        <f aca="false">SUM(B177:F177)</f>
        <v>0</v>
      </c>
      <c r="H177" s="30" t="str">
        <f aca="false">IF(G177=0,"Valid","Review")</f>
        <v>Valid</v>
      </c>
      <c r="I177" s="30" t="n">
        <f aca="false">IF(G177=0,1,0)</f>
        <v>1</v>
      </c>
    </row>
    <row r="178" customFormat="false" ht="15" hidden="false" customHeight="false" outlineLevel="0" collapsed="false">
      <c r="A178" s="30" t="str">
        <f aca="false">Responses!A178</f>
        <v>S0248</v>
      </c>
      <c r="B178" s="30" t="n">
        <f aca="false">IF(COUNTIF(Responses!$A$2:A178,Responses!A178)&gt;1,1,0)</f>
        <v>0</v>
      </c>
      <c r="C178" s="30" t="n">
        <f aca="false">IF(OR(Responses!D178="",Responses!E178="",Responses!J178="",Responses!K178="",Responses!I178=""),1,0)</f>
        <v>0</v>
      </c>
      <c r="D178" s="30" t="n">
        <f aca="false">IF(Responses!I178="",0,IF(OR(Responses!I178&lt;Assumptions!$B$4,Responses!I178&gt;Assumptions!$B$5),1,0))</f>
        <v>0</v>
      </c>
      <c r="E178" s="30" t="n">
        <f aca="false">IF(Responses!Q178&lt;Assumptions!$B$6,1,0)</f>
        <v>0</v>
      </c>
      <c r="F178" s="30" t="n">
        <f aca="false">IF(OR(AND(Responses!K178="No",Responses!L178&lt;&gt;""),AND(Responses!K178="Yes",Responses!L178="")),1,0)</f>
        <v>0</v>
      </c>
      <c r="G178" s="30" t="n">
        <f aca="false">SUM(B178:F178)</f>
        <v>0</v>
      </c>
      <c r="H178" s="30" t="str">
        <f aca="false">IF(G178=0,"Valid","Review")</f>
        <v>Valid</v>
      </c>
      <c r="I178" s="30" t="n">
        <f aca="false">IF(G178=0,1,0)</f>
        <v>1</v>
      </c>
    </row>
    <row r="179" customFormat="false" ht="15" hidden="false" customHeight="false" outlineLevel="0" collapsed="false">
      <c r="A179" s="30" t="str">
        <f aca="false">Responses!A179</f>
        <v>S0286</v>
      </c>
      <c r="B179" s="30" t="n">
        <f aca="false">IF(COUNTIF(Responses!$A$2:A179,Responses!A179)&gt;1,1,0)</f>
        <v>0</v>
      </c>
      <c r="C179" s="30" t="n">
        <f aca="false">IF(OR(Responses!D179="",Responses!E179="",Responses!J179="",Responses!K179="",Responses!I179=""),1,0)</f>
        <v>0</v>
      </c>
      <c r="D179" s="30" t="n">
        <f aca="false">IF(Responses!I179="",0,IF(OR(Responses!I179&lt;Assumptions!$B$4,Responses!I179&gt;Assumptions!$B$5),1,0))</f>
        <v>0</v>
      </c>
      <c r="E179" s="30" t="n">
        <f aca="false">IF(Responses!Q179&lt;Assumptions!$B$6,1,0)</f>
        <v>0</v>
      </c>
      <c r="F179" s="30" t="n">
        <f aca="false">IF(OR(AND(Responses!K179="No",Responses!L179&lt;&gt;""),AND(Responses!K179="Yes",Responses!L179="")),1,0)</f>
        <v>0</v>
      </c>
      <c r="G179" s="30" t="n">
        <f aca="false">SUM(B179:F179)</f>
        <v>0</v>
      </c>
      <c r="H179" s="30" t="str">
        <f aca="false">IF(G179=0,"Valid","Review")</f>
        <v>Valid</v>
      </c>
      <c r="I179" s="30" t="n">
        <f aca="false">IF(G179=0,1,0)</f>
        <v>1</v>
      </c>
    </row>
    <row r="180" customFormat="false" ht="15" hidden="false" customHeight="false" outlineLevel="0" collapsed="false">
      <c r="A180" s="30" t="str">
        <f aca="false">Responses!A180</f>
        <v>S0293</v>
      </c>
      <c r="B180" s="30" t="n">
        <f aca="false">IF(COUNTIF(Responses!$A$2:A180,Responses!A180)&gt;1,1,0)</f>
        <v>0</v>
      </c>
      <c r="C180" s="30" t="n">
        <f aca="false">IF(OR(Responses!D180="",Responses!E180="",Responses!J180="",Responses!K180="",Responses!I180=""),1,0)</f>
        <v>0</v>
      </c>
      <c r="D180" s="30" t="n">
        <f aca="false">IF(Responses!I180="",0,IF(OR(Responses!I180&lt;Assumptions!$B$4,Responses!I180&gt;Assumptions!$B$5),1,0))</f>
        <v>0</v>
      </c>
      <c r="E180" s="30" t="n">
        <f aca="false">IF(Responses!Q180&lt;Assumptions!$B$6,1,0)</f>
        <v>0</v>
      </c>
      <c r="F180" s="30" t="n">
        <f aca="false">IF(OR(AND(Responses!K180="No",Responses!L180&lt;&gt;""),AND(Responses!K180="Yes",Responses!L180="")),1,0)</f>
        <v>0</v>
      </c>
      <c r="G180" s="30" t="n">
        <f aca="false">SUM(B180:F180)</f>
        <v>0</v>
      </c>
      <c r="H180" s="30" t="str">
        <f aca="false">IF(G180=0,"Valid","Review")</f>
        <v>Valid</v>
      </c>
      <c r="I180" s="30" t="n">
        <f aca="false">IF(G180=0,1,0)</f>
        <v>1</v>
      </c>
    </row>
    <row r="181" customFormat="false" ht="15" hidden="false" customHeight="false" outlineLevel="0" collapsed="false">
      <c r="A181" s="30" t="str">
        <f aca="false">Responses!A181</f>
        <v>S0004</v>
      </c>
      <c r="B181" s="30" t="n">
        <f aca="false">IF(COUNTIF(Responses!$A$2:A181,Responses!A181)&gt;1,1,0)</f>
        <v>0</v>
      </c>
      <c r="C181" s="30" t="n">
        <f aca="false">IF(OR(Responses!D181="",Responses!E181="",Responses!J181="",Responses!K181="",Responses!I181=""),1,0)</f>
        <v>0</v>
      </c>
      <c r="D181" s="30" t="n">
        <f aca="false">IF(Responses!I181="",0,IF(OR(Responses!I181&lt;Assumptions!$B$4,Responses!I181&gt;Assumptions!$B$5),1,0))</f>
        <v>0</v>
      </c>
      <c r="E181" s="30" t="n">
        <f aca="false">IF(Responses!Q181&lt;Assumptions!$B$6,1,0)</f>
        <v>0</v>
      </c>
      <c r="F181" s="30" t="n">
        <f aca="false">IF(OR(AND(Responses!K181="No",Responses!L181&lt;&gt;""),AND(Responses!K181="Yes",Responses!L181="")),1,0)</f>
        <v>0</v>
      </c>
      <c r="G181" s="30" t="n">
        <f aca="false">SUM(B181:F181)</f>
        <v>0</v>
      </c>
      <c r="H181" s="30" t="str">
        <f aca="false">IF(G181=0,"Valid","Review")</f>
        <v>Valid</v>
      </c>
      <c r="I181" s="30" t="n">
        <f aca="false">IF(G181=0,1,0)</f>
        <v>1</v>
      </c>
    </row>
    <row r="182" customFormat="false" ht="15" hidden="false" customHeight="false" outlineLevel="0" collapsed="false">
      <c r="A182" s="30" t="str">
        <f aca="false">Responses!A182</f>
        <v>S0033</v>
      </c>
      <c r="B182" s="30" t="n">
        <f aca="false">IF(COUNTIF(Responses!$A$2:A182,Responses!A182)&gt;1,1,0)</f>
        <v>0</v>
      </c>
      <c r="C182" s="30" t="n">
        <f aca="false">IF(OR(Responses!D182="",Responses!E182="",Responses!J182="",Responses!K182="",Responses!I182=""),1,0)</f>
        <v>0</v>
      </c>
      <c r="D182" s="30" t="n">
        <f aca="false">IF(Responses!I182="",0,IF(OR(Responses!I182&lt;Assumptions!$B$4,Responses!I182&gt;Assumptions!$B$5),1,0))</f>
        <v>0</v>
      </c>
      <c r="E182" s="30" t="n">
        <f aca="false">IF(Responses!Q182&lt;Assumptions!$B$6,1,0)</f>
        <v>0</v>
      </c>
      <c r="F182" s="30" t="n">
        <f aca="false">IF(OR(AND(Responses!K182="No",Responses!L182&lt;&gt;""),AND(Responses!K182="Yes",Responses!L182="")),1,0)</f>
        <v>0</v>
      </c>
      <c r="G182" s="30" t="n">
        <f aca="false">SUM(B182:F182)</f>
        <v>0</v>
      </c>
      <c r="H182" s="30" t="str">
        <f aca="false">IF(G182=0,"Valid","Review")</f>
        <v>Valid</v>
      </c>
      <c r="I182" s="30" t="n">
        <f aca="false">IF(G182=0,1,0)</f>
        <v>1</v>
      </c>
    </row>
    <row r="183" customFormat="false" ht="15" hidden="false" customHeight="false" outlineLevel="0" collapsed="false">
      <c r="A183" s="30" t="str">
        <f aca="false">Responses!A183</f>
        <v>S0051</v>
      </c>
      <c r="B183" s="30" t="n">
        <f aca="false">IF(COUNTIF(Responses!$A$2:A183,Responses!A183)&gt;1,1,0)</f>
        <v>0</v>
      </c>
      <c r="C183" s="30" t="n">
        <f aca="false">IF(OR(Responses!D183="",Responses!E183="",Responses!J183="",Responses!K183="",Responses!I183=""),1,0)</f>
        <v>0</v>
      </c>
      <c r="D183" s="30" t="n">
        <f aca="false">IF(Responses!I183="",0,IF(OR(Responses!I183&lt;Assumptions!$B$4,Responses!I183&gt;Assumptions!$B$5),1,0))</f>
        <v>0</v>
      </c>
      <c r="E183" s="30" t="n">
        <f aca="false">IF(Responses!Q183&lt;Assumptions!$B$6,1,0)</f>
        <v>0</v>
      </c>
      <c r="F183" s="30" t="n">
        <f aca="false">IF(OR(AND(Responses!K183="No",Responses!L183&lt;&gt;""),AND(Responses!K183="Yes",Responses!L183="")),1,0)</f>
        <v>0</v>
      </c>
      <c r="G183" s="30" t="n">
        <f aca="false">SUM(B183:F183)</f>
        <v>0</v>
      </c>
      <c r="H183" s="30" t="str">
        <f aca="false">IF(G183=0,"Valid","Review")</f>
        <v>Valid</v>
      </c>
      <c r="I183" s="30" t="n">
        <f aca="false">IF(G183=0,1,0)</f>
        <v>1</v>
      </c>
    </row>
    <row r="184" customFormat="false" ht="15" hidden="false" customHeight="false" outlineLevel="0" collapsed="false">
      <c r="A184" s="30" t="str">
        <f aca="false">Responses!A184</f>
        <v>S0089</v>
      </c>
      <c r="B184" s="30" t="n">
        <f aca="false">IF(COUNTIF(Responses!$A$2:A184,Responses!A184)&gt;1,1,0)</f>
        <v>0</v>
      </c>
      <c r="C184" s="30" t="n">
        <f aca="false">IF(OR(Responses!D184="",Responses!E184="",Responses!J184="",Responses!K184="",Responses!I184=""),1,0)</f>
        <v>0</v>
      </c>
      <c r="D184" s="30" t="n">
        <f aca="false">IF(Responses!I184="",0,IF(OR(Responses!I184&lt;Assumptions!$B$4,Responses!I184&gt;Assumptions!$B$5),1,0))</f>
        <v>0</v>
      </c>
      <c r="E184" s="30" t="n">
        <f aca="false">IF(Responses!Q184&lt;Assumptions!$B$6,1,0)</f>
        <v>0</v>
      </c>
      <c r="F184" s="30" t="n">
        <f aca="false">IF(OR(AND(Responses!K184="No",Responses!L184&lt;&gt;""),AND(Responses!K184="Yes",Responses!L184="")),1,0)</f>
        <v>0</v>
      </c>
      <c r="G184" s="30" t="n">
        <f aca="false">SUM(B184:F184)</f>
        <v>0</v>
      </c>
      <c r="H184" s="30" t="str">
        <f aca="false">IF(G184=0,"Valid","Review")</f>
        <v>Valid</v>
      </c>
      <c r="I184" s="30" t="n">
        <f aca="false">IF(G184=0,1,0)</f>
        <v>1</v>
      </c>
    </row>
    <row r="185" customFormat="false" ht="15" hidden="false" customHeight="false" outlineLevel="0" collapsed="false">
      <c r="A185" s="30" t="str">
        <f aca="false">Responses!A185</f>
        <v>S0106</v>
      </c>
      <c r="B185" s="30" t="n">
        <f aca="false">IF(COUNTIF(Responses!$A$2:A185,Responses!A185)&gt;1,1,0)</f>
        <v>0</v>
      </c>
      <c r="C185" s="30" t="n">
        <f aca="false">IF(OR(Responses!D185="",Responses!E185="",Responses!J185="",Responses!K185="",Responses!I185=""),1,0)</f>
        <v>0</v>
      </c>
      <c r="D185" s="30" t="n">
        <f aca="false">IF(Responses!I185="",0,IF(OR(Responses!I185&lt;Assumptions!$B$4,Responses!I185&gt;Assumptions!$B$5),1,0))</f>
        <v>0</v>
      </c>
      <c r="E185" s="30" t="n">
        <f aca="false">IF(Responses!Q185&lt;Assumptions!$B$6,1,0)</f>
        <v>0</v>
      </c>
      <c r="F185" s="30" t="n">
        <f aca="false">IF(OR(AND(Responses!K185="No",Responses!L185&lt;&gt;""),AND(Responses!K185="Yes",Responses!L185="")),1,0)</f>
        <v>0</v>
      </c>
      <c r="G185" s="30" t="n">
        <f aca="false">SUM(B185:F185)</f>
        <v>0</v>
      </c>
      <c r="H185" s="30" t="str">
        <f aca="false">IF(G185=0,"Valid","Review")</f>
        <v>Valid</v>
      </c>
      <c r="I185" s="30" t="n">
        <f aca="false">IF(G185=0,1,0)</f>
        <v>1</v>
      </c>
    </row>
    <row r="186" customFormat="false" ht="15" hidden="false" customHeight="false" outlineLevel="0" collapsed="false">
      <c r="A186" s="30" t="str">
        <f aca="false">Responses!A186</f>
        <v>S0106</v>
      </c>
      <c r="B186" s="30" t="n">
        <f aca="false">IF(COUNTIF(Responses!$A$2:A186,Responses!A186)&gt;1,1,0)</f>
        <v>1</v>
      </c>
      <c r="C186" s="30" t="n">
        <f aca="false">IF(OR(Responses!D186="",Responses!E186="",Responses!J186="",Responses!K186="",Responses!I186=""),1,0)</f>
        <v>0</v>
      </c>
      <c r="D186" s="30" t="n">
        <f aca="false">IF(Responses!I186="",0,IF(OR(Responses!I186&lt;Assumptions!$B$4,Responses!I186&gt;Assumptions!$B$5),1,0))</f>
        <v>0</v>
      </c>
      <c r="E186" s="30" t="n">
        <f aca="false">IF(Responses!Q186&lt;Assumptions!$B$6,1,0)</f>
        <v>0</v>
      </c>
      <c r="F186" s="30" t="n">
        <f aca="false">IF(OR(AND(Responses!K186="No",Responses!L186&lt;&gt;""),AND(Responses!K186="Yes",Responses!L186="")),1,0)</f>
        <v>0</v>
      </c>
      <c r="G186" s="30" t="n">
        <f aca="false">SUM(B186:F186)</f>
        <v>1</v>
      </c>
      <c r="H186" s="30" t="str">
        <f aca="false">IF(G186=0,"Valid","Review")</f>
        <v>Review</v>
      </c>
      <c r="I186" s="30" t="n">
        <f aca="false">IF(G186=0,1,0)</f>
        <v>0</v>
      </c>
    </row>
    <row r="187" customFormat="false" ht="15" hidden="false" customHeight="false" outlineLevel="0" collapsed="false">
      <c r="A187" s="30" t="str">
        <f aca="false">Responses!A187</f>
        <v>S0122</v>
      </c>
      <c r="B187" s="30" t="n">
        <f aca="false">IF(COUNTIF(Responses!$A$2:A187,Responses!A187)&gt;1,1,0)</f>
        <v>0</v>
      </c>
      <c r="C187" s="30" t="n">
        <f aca="false">IF(OR(Responses!D187="",Responses!E187="",Responses!J187="",Responses!K187="",Responses!I187=""),1,0)</f>
        <v>0</v>
      </c>
      <c r="D187" s="30" t="n">
        <f aca="false">IF(Responses!I187="",0,IF(OR(Responses!I187&lt;Assumptions!$B$4,Responses!I187&gt;Assumptions!$B$5),1,0))</f>
        <v>0</v>
      </c>
      <c r="E187" s="30" t="n">
        <f aca="false">IF(Responses!Q187&lt;Assumptions!$B$6,1,0)</f>
        <v>0</v>
      </c>
      <c r="F187" s="30" t="n">
        <f aca="false">IF(OR(AND(Responses!K187="No",Responses!L187&lt;&gt;""),AND(Responses!K187="Yes",Responses!L187="")),1,0)</f>
        <v>0</v>
      </c>
      <c r="G187" s="30" t="n">
        <f aca="false">SUM(B187:F187)</f>
        <v>0</v>
      </c>
      <c r="H187" s="30" t="str">
        <f aca="false">IF(G187=0,"Valid","Review")</f>
        <v>Valid</v>
      </c>
      <c r="I187" s="30" t="n">
        <f aca="false">IF(G187=0,1,0)</f>
        <v>1</v>
      </c>
    </row>
    <row r="188" customFormat="false" ht="15" hidden="false" customHeight="false" outlineLevel="0" collapsed="false">
      <c r="A188" s="30" t="str">
        <f aca="false">Responses!A188</f>
        <v>S0143</v>
      </c>
      <c r="B188" s="30" t="n">
        <f aca="false">IF(COUNTIF(Responses!$A$2:A188,Responses!A188)&gt;1,1,0)</f>
        <v>0</v>
      </c>
      <c r="C188" s="30" t="n">
        <f aca="false">IF(OR(Responses!D188="",Responses!E188="",Responses!J188="",Responses!K188="",Responses!I188=""),1,0)</f>
        <v>0</v>
      </c>
      <c r="D188" s="30" t="n">
        <f aca="false">IF(Responses!I188="",0,IF(OR(Responses!I188&lt;Assumptions!$B$4,Responses!I188&gt;Assumptions!$B$5),1,0))</f>
        <v>0</v>
      </c>
      <c r="E188" s="30" t="n">
        <f aca="false">IF(Responses!Q188&lt;Assumptions!$B$6,1,0)</f>
        <v>0</v>
      </c>
      <c r="F188" s="30" t="n">
        <f aca="false">IF(OR(AND(Responses!K188="No",Responses!L188&lt;&gt;""),AND(Responses!K188="Yes",Responses!L188="")),1,0)</f>
        <v>0</v>
      </c>
      <c r="G188" s="30" t="n">
        <f aca="false">SUM(B188:F188)</f>
        <v>0</v>
      </c>
      <c r="H188" s="30" t="str">
        <f aca="false">IF(G188=0,"Valid","Review")</f>
        <v>Valid</v>
      </c>
      <c r="I188" s="30" t="n">
        <f aca="false">IF(G188=0,1,0)</f>
        <v>1</v>
      </c>
    </row>
    <row r="189" customFormat="false" ht="15" hidden="false" customHeight="false" outlineLevel="0" collapsed="false">
      <c r="A189" s="30" t="str">
        <f aca="false">Responses!A189</f>
        <v>S0145</v>
      </c>
      <c r="B189" s="30" t="n">
        <f aca="false">IF(COUNTIF(Responses!$A$2:A189,Responses!A189)&gt;1,1,0)</f>
        <v>0</v>
      </c>
      <c r="C189" s="30" t="n">
        <f aca="false">IF(OR(Responses!D189="",Responses!E189="",Responses!J189="",Responses!K189="",Responses!I189=""),1,0)</f>
        <v>0</v>
      </c>
      <c r="D189" s="30" t="n">
        <f aca="false">IF(Responses!I189="",0,IF(OR(Responses!I189&lt;Assumptions!$B$4,Responses!I189&gt;Assumptions!$B$5),1,0))</f>
        <v>0</v>
      </c>
      <c r="E189" s="30" t="n">
        <f aca="false">IF(Responses!Q189&lt;Assumptions!$B$6,1,0)</f>
        <v>0</v>
      </c>
      <c r="F189" s="30" t="n">
        <f aca="false">IF(OR(AND(Responses!K189="No",Responses!L189&lt;&gt;""),AND(Responses!K189="Yes",Responses!L189="")),1,0)</f>
        <v>0</v>
      </c>
      <c r="G189" s="30" t="n">
        <f aca="false">SUM(B189:F189)</f>
        <v>0</v>
      </c>
      <c r="H189" s="30" t="str">
        <f aca="false">IF(G189=0,"Valid","Review")</f>
        <v>Valid</v>
      </c>
      <c r="I189" s="30" t="n">
        <f aca="false">IF(G189=0,1,0)</f>
        <v>1</v>
      </c>
    </row>
    <row r="190" customFormat="false" ht="15" hidden="false" customHeight="false" outlineLevel="0" collapsed="false">
      <c r="A190" s="30" t="str">
        <f aca="false">Responses!A190</f>
        <v>S0184</v>
      </c>
      <c r="B190" s="30" t="n">
        <f aca="false">IF(COUNTIF(Responses!$A$2:A190,Responses!A190)&gt;1,1,0)</f>
        <v>0</v>
      </c>
      <c r="C190" s="30" t="n">
        <f aca="false">IF(OR(Responses!D190="",Responses!E190="",Responses!J190="",Responses!K190="",Responses!I190=""),1,0)</f>
        <v>0</v>
      </c>
      <c r="D190" s="30" t="n">
        <f aca="false">IF(Responses!I190="",0,IF(OR(Responses!I190&lt;Assumptions!$B$4,Responses!I190&gt;Assumptions!$B$5),1,0))</f>
        <v>0</v>
      </c>
      <c r="E190" s="30" t="n">
        <f aca="false">IF(Responses!Q190&lt;Assumptions!$B$6,1,0)</f>
        <v>0</v>
      </c>
      <c r="F190" s="30" t="n">
        <f aca="false">IF(OR(AND(Responses!K190="No",Responses!L190&lt;&gt;""),AND(Responses!K190="Yes",Responses!L190="")),1,0)</f>
        <v>0</v>
      </c>
      <c r="G190" s="30" t="n">
        <f aca="false">SUM(B190:F190)</f>
        <v>0</v>
      </c>
      <c r="H190" s="30" t="str">
        <f aca="false">IF(G190=0,"Valid","Review")</f>
        <v>Valid</v>
      </c>
      <c r="I190" s="30" t="n">
        <f aca="false">IF(G190=0,1,0)</f>
        <v>1</v>
      </c>
    </row>
    <row r="191" customFormat="false" ht="15" hidden="false" customHeight="false" outlineLevel="0" collapsed="false">
      <c r="A191" s="30" t="str">
        <f aca="false">Responses!A191</f>
        <v>S0187</v>
      </c>
      <c r="B191" s="30" t="n">
        <f aca="false">IF(COUNTIF(Responses!$A$2:A191,Responses!A191)&gt;1,1,0)</f>
        <v>0</v>
      </c>
      <c r="C191" s="30" t="n">
        <f aca="false">IF(OR(Responses!D191="",Responses!E191="",Responses!J191="",Responses!K191="",Responses!I191=""),1,0)</f>
        <v>0</v>
      </c>
      <c r="D191" s="30" t="n">
        <f aca="false">IF(Responses!I191="",0,IF(OR(Responses!I191&lt;Assumptions!$B$4,Responses!I191&gt;Assumptions!$B$5),1,0))</f>
        <v>0</v>
      </c>
      <c r="E191" s="30" t="n">
        <f aca="false">IF(Responses!Q191&lt;Assumptions!$B$6,1,0)</f>
        <v>0</v>
      </c>
      <c r="F191" s="30" t="n">
        <f aca="false">IF(OR(AND(Responses!K191="No",Responses!L191&lt;&gt;""),AND(Responses!K191="Yes",Responses!L191="")),1,0)</f>
        <v>0</v>
      </c>
      <c r="G191" s="30" t="n">
        <f aca="false">SUM(B191:F191)</f>
        <v>0</v>
      </c>
      <c r="H191" s="30" t="str">
        <f aca="false">IF(G191=0,"Valid","Review")</f>
        <v>Valid</v>
      </c>
      <c r="I191" s="30" t="n">
        <f aca="false">IF(G191=0,1,0)</f>
        <v>1</v>
      </c>
    </row>
    <row r="192" customFormat="false" ht="15" hidden="false" customHeight="false" outlineLevel="0" collapsed="false">
      <c r="A192" s="30" t="str">
        <f aca="false">Responses!A192</f>
        <v>S0227</v>
      </c>
      <c r="B192" s="30" t="n">
        <f aca="false">IF(COUNTIF(Responses!$A$2:A192,Responses!A192)&gt;1,1,0)</f>
        <v>0</v>
      </c>
      <c r="C192" s="30" t="n">
        <f aca="false">IF(OR(Responses!D192="",Responses!E192="",Responses!J192="",Responses!K192="",Responses!I192=""),1,0)</f>
        <v>0</v>
      </c>
      <c r="D192" s="30" t="n">
        <f aca="false">IF(Responses!I192="",0,IF(OR(Responses!I192&lt;Assumptions!$B$4,Responses!I192&gt;Assumptions!$B$5),1,0))</f>
        <v>0</v>
      </c>
      <c r="E192" s="30" t="n">
        <f aca="false">IF(Responses!Q192&lt;Assumptions!$B$6,1,0)</f>
        <v>0</v>
      </c>
      <c r="F192" s="30" t="n">
        <f aca="false">IF(OR(AND(Responses!K192="No",Responses!L192&lt;&gt;""),AND(Responses!K192="Yes",Responses!L192="")),1,0)</f>
        <v>0</v>
      </c>
      <c r="G192" s="30" t="n">
        <f aca="false">SUM(B192:F192)</f>
        <v>0</v>
      </c>
      <c r="H192" s="30" t="str">
        <f aca="false">IF(G192=0,"Valid","Review")</f>
        <v>Valid</v>
      </c>
      <c r="I192" s="30" t="n">
        <f aca="false">IF(G192=0,1,0)</f>
        <v>1</v>
      </c>
    </row>
    <row r="193" customFormat="false" ht="15" hidden="false" customHeight="false" outlineLevel="0" collapsed="false">
      <c r="A193" s="30" t="str">
        <f aca="false">Responses!A193</f>
        <v>S0012</v>
      </c>
      <c r="B193" s="30" t="n">
        <f aca="false">IF(COUNTIF(Responses!$A$2:A193,Responses!A193)&gt;1,1,0)</f>
        <v>0</v>
      </c>
      <c r="C193" s="30" t="n">
        <f aca="false">IF(OR(Responses!D193="",Responses!E193="",Responses!J193="",Responses!K193="",Responses!I193=""),1,0)</f>
        <v>0</v>
      </c>
      <c r="D193" s="30" t="n">
        <f aca="false">IF(Responses!I193="",0,IF(OR(Responses!I193&lt;Assumptions!$B$4,Responses!I193&gt;Assumptions!$B$5),1,0))</f>
        <v>0</v>
      </c>
      <c r="E193" s="30" t="n">
        <f aca="false">IF(Responses!Q193&lt;Assumptions!$B$6,1,0)</f>
        <v>0</v>
      </c>
      <c r="F193" s="30" t="n">
        <f aca="false">IF(OR(AND(Responses!K193="No",Responses!L193&lt;&gt;""),AND(Responses!K193="Yes",Responses!L193="")),1,0)</f>
        <v>0</v>
      </c>
      <c r="G193" s="30" t="n">
        <f aca="false">SUM(B193:F193)</f>
        <v>0</v>
      </c>
      <c r="H193" s="30" t="str">
        <f aca="false">IF(G193=0,"Valid","Review")</f>
        <v>Valid</v>
      </c>
      <c r="I193" s="30" t="n">
        <f aca="false">IF(G193=0,1,0)</f>
        <v>1</v>
      </c>
    </row>
    <row r="194" customFormat="false" ht="15" hidden="false" customHeight="false" outlineLevel="0" collapsed="false">
      <c r="A194" s="30" t="str">
        <f aca="false">Responses!A194</f>
        <v>S0050</v>
      </c>
      <c r="B194" s="30" t="n">
        <f aca="false">IF(COUNTIF(Responses!$A$2:A194,Responses!A194)&gt;1,1,0)</f>
        <v>0</v>
      </c>
      <c r="C194" s="30" t="n">
        <f aca="false">IF(OR(Responses!D194="",Responses!E194="",Responses!J194="",Responses!K194="",Responses!I194=""),1,0)</f>
        <v>0</v>
      </c>
      <c r="D194" s="30" t="n">
        <f aca="false">IF(Responses!I194="",0,IF(OR(Responses!I194&lt;Assumptions!$B$4,Responses!I194&gt;Assumptions!$B$5),1,0))</f>
        <v>0</v>
      </c>
      <c r="E194" s="30" t="n">
        <f aca="false">IF(Responses!Q194&lt;Assumptions!$B$6,1,0)</f>
        <v>0</v>
      </c>
      <c r="F194" s="30" t="n">
        <f aca="false">IF(OR(AND(Responses!K194="No",Responses!L194&lt;&gt;""),AND(Responses!K194="Yes",Responses!L194="")),1,0)</f>
        <v>0</v>
      </c>
      <c r="G194" s="30" t="n">
        <f aca="false">SUM(B194:F194)</f>
        <v>0</v>
      </c>
      <c r="H194" s="30" t="str">
        <f aca="false">IF(G194=0,"Valid","Review")</f>
        <v>Valid</v>
      </c>
      <c r="I194" s="30" t="n">
        <f aca="false">IF(G194=0,1,0)</f>
        <v>1</v>
      </c>
    </row>
    <row r="195" customFormat="false" ht="15" hidden="false" customHeight="false" outlineLevel="0" collapsed="false">
      <c r="A195" s="30" t="str">
        <f aca="false">Responses!A195</f>
        <v>S0087</v>
      </c>
      <c r="B195" s="30" t="n">
        <f aca="false">IF(COUNTIF(Responses!$A$2:A195,Responses!A195)&gt;1,1,0)</f>
        <v>0</v>
      </c>
      <c r="C195" s="30" t="n">
        <f aca="false">IF(OR(Responses!D195="",Responses!E195="",Responses!J195="",Responses!K195="",Responses!I195=""),1,0)</f>
        <v>0</v>
      </c>
      <c r="D195" s="30" t="n">
        <f aca="false">IF(Responses!I195="",0,IF(OR(Responses!I195&lt;Assumptions!$B$4,Responses!I195&gt;Assumptions!$B$5),1,0))</f>
        <v>0</v>
      </c>
      <c r="E195" s="30" t="n">
        <f aca="false">IF(Responses!Q195&lt;Assumptions!$B$6,1,0)</f>
        <v>0</v>
      </c>
      <c r="F195" s="30" t="n">
        <f aca="false">IF(OR(AND(Responses!K195="No",Responses!L195&lt;&gt;""),AND(Responses!K195="Yes",Responses!L195="")),1,0)</f>
        <v>0</v>
      </c>
      <c r="G195" s="30" t="n">
        <f aca="false">SUM(B195:F195)</f>
        <v>0</v>
      </c>
      <c r="H195" s="30" t="str">
        <f aca="false">IF(G195=0,"Valid","Review")</f>
        <v>Valid</v>
      </c>
      <c r="I195" s="30" t="n">
        <f aca="false">IF(G195=0,1,0)</f>
        <v>1</v>
      </c>
    </row>
    <row r="196" customFormat="false" ht="15" hidden="false" customHeight="false" outlineLevel="0" collapsed="false">
      <c r="A196" s="30" t="str">
        <f aca="false">Responses!A196</f>
        <v>S0096</v>
      </c>
      <c r="B196" s="30" t="n">
        <f aca="false">IF(COUNTIF(Responses!$A$2:A196,Responses!A196)&gt;1,1,0)</f>
        <v>0</v>
      </c>
      <c r="C196" s="30" t="n">
        <f aca="false">IF(OR(Responses!D196="",Responses!E196="",Responses!J196="",Responses!K196="",Responses!I196=""),1,0)</f>
        <v>0</v>
      </c>
      <c r="D196" s="30" t="n">
        <f aca="false">IF(Responses!I196="",0,IF(OR(Responses!I196&lt;Assumptions!$B$4,Responses!I196&gt;Assumptions!$B$5),1,0))</f>
        <v>0</v>
      </c>
      <c r="E196" s="30" t="n">
        <f aca="false">IF(Responses!Q196&lt;Assumptions!$B$6,1,0)</f>
        <v>0</v>
      </c>
      <c r="F196" s="30" t="n">
        <f aca="false">IF(OR(AND(Responses!K196="No",Responses!L196&lt;&gt;""),AND(Responses!K196="Yes",Responses!L196="")),1,0)</f>
        <v>0</v>
      </c>
      <c r="G196" s="30" t="n">
        <f aca="false">SUM(B196:F196)</f>
        <v>0</v>
      </c>
      <c r="H196" s="30" t="str">
        <f aca="false">IF(G196=0,"Valid","Review")</f>
        <v>Valid</v>
      </c>
      <c r="I196" s="30" t="n">
        <f aca="false">IF(G196=0,1,0)</f>
        <v>1</v>
      </c>
    </row>
    <row r="197" customFormat="false" ht="15" hidden="false" customHeight="false" outlineLevel="0" collapsed="false">
      <c r="A197" s="30" t="str">
        <f aca="false">Responses!A197</f>
        <v>S0101</v>
      </c>
      <c r="B197" s="30" t="n">
        <f aca="false">IF(COUNTIF(Responses!$A$2:A197,Responses!A197)&gt;1,1,0)</f>
        <v>0</v>
      </c>
      <c r="C197" s="30" t="n">
        <f aca="false">IF(OR(Responses!D197="",Responses!E197="",Responses!J197="",Responses!K197="",Responses!I197=""),1,0)</f>
        <v>0</v>
      </c>
      <c r="D197" s="30" t="n">
        <f aca="false">IF(Responses!I197="",0,IF(OR(Responses!I197&lt;Assumptions!$B$4,Responses!I197&gt;Assumptions!$B$5),1,0))</f>
        <v>0</v>
      </c>
      <c r="E197" s="30" t="n">
        <f aca="false">IF(Responses!Q197&lt;Assumptions!$B$6,1,0)</f>
        <v>0</v>
      </c>
      <c r="F197" s="30" t="n">
        <f aca="false">IF(OR(AND(Responses!K197="No",Responses!L197&lt;&gt;""),AND(Responses!K197="Yes",Responses!L197="")),1,0)</f>
        <v>0</v>
      </c>
      <c r="G197" s="30" t="n">
        <f aca="false">SUM(B197:F197)</f>
        <v>0</v>
      </c>
      <c r="H197" s="30" t="str">
        <f aca="false">IF(G197=0,"Valid","Review")</f>
        <v>Valid</v>
      </c>
      <c r="I197" s="30" t="n">
        <f aca="false">IF(G197=0,1,0)</f>
        <v>1</v>
      </c>
    </row>
    <row r="198" customFormat="false" ht="15" hidden="false" customHeight="false" outlineLevel="0" collapsed="false">
      <c r="A198" s="30" t="str">
        <f aca="false">Responses!A198</f>
        <v>S0131</v>
      </c>
      <c r="B198" s="30" t="n">
        <f aca="false">IF(COUNTIF(Responses!$A$2:A198,Responses!A198)&gt;1,1,0)</f>
        <v>0</v>
      </c>
      <c r="C198" s="30" t="n">
        <f aca="false">IF(OR(Responses!D198="",Responses!E198="",Responses!J198="",Responses!K198="",Responses!I198=""),1,0)</f>
        <v>0</v>
      </c>
      <c r="D198" s="30" t="n">
        <f aca="false">IF(Responses!I198="",0,IF(OR(Responses!I198&lt;Assumptions!$B$4,Responses!I198&gt;Assumptions!$B$5),1,0))</f>
        <v>0</v>
      </c>
      <c r="E198" s="30" t="n">
        <f aca="false">IF(Responses!Q198&lt;Assumptions!$B$6,1,0)</f>
        <v>0</v>
      </c>
      <c r="F198" s="30" t="n">
        <f aca="false">IF(OR(AND(Responses!K198="No",Responses!L198&lt;&gt;""),AND(Responses!K198="Yes",Responses!L198="")),1,0)</f>
        <v>0</v>
      </c>
      <c r="G198" s="30" t="n">
        <f aca="false">SUM(B198:F198)</f>
        <v>0</v>
      </c>
      <c r="H198" s="30" t="str">
        <f aca="false">IF(G198=0,"Valid","Review")</f>
        <v>Valid</v>
      </c>
      <c r="I198" s="30" t="n">
        <f aca="false">IF(G198=0,1,0)</f>
        <v>1</v>
      </c>
    </row>
    <row r="199" customFormat="false" ht="15" hidden="false" customHeight="false" outlineLevel="0" collapsed="false">
      <c r="A199" s="30" t="str">
        <f aca="false">Responses!A199</f>
        <v>S0135</v>
      </c>
      <c r="B199" s="30" t="n">
        <f aca="false">IF(COUNTIF(Responses!$A$2:A199,Responses!A199)&gt;1,1,0)</f>
        <v>0</v>
      </c>
      <c r="C199" s="30" t="n">
        <f aca="false">IF(OR(Responses!D199="",Responses!E199="",Responses!J199="",Responses!K199="",Responses!I199=""),1,0)</f>
        <v>0</v>
      </c>
      <c r="D199" s="30" t="n">
        <f aca="false">IF(Responses!I199="",0,IF(OR(Responses!I199&lt;Assumptions!$B$4,Responses!I199&gt;Assumptions!$B$5),1,0))</f>
        <v>0</v>
      </c>
      <c r="E199" s="30" t="n">
        <f aca="false">IF(Responses!Q199&lt;Assumptions!$B$6,1,0)</f>
        <v>0</v>
      </c>
      <c r="F199" s="30" t="n">
        <f aca="false">IF(OR(AND(Responses!K199="No",Responses!L199&lt;&gt;""),AND(Responses!K199="Yes",Responses!L199="")),1,0)</f>
        <v>0</v>
      </c>
      <c r="G199" s="30" t="n">
        <f aca="false">SUM(B199:F199)</f>
        <v>0</v>
      </c>
      <c r="H199" s="30" t="str">
        <f aca="false">IF(G199=0,"Valid","Review")</f>
        <v>Valid</v>
      </c>
      <c r="I199" s="30" t="n">
        <f aca="false">IF(G199=0,1,0)</f>
        <v>1</v>
      </c>
    </row>
    <row r="200" customFormat="false" ht="15" hidden="false" customHeight="false" outlineLevel="0" collapsed="false">
      <c r="A200" s="30" t="str">
        <f aca="false">Responses!A200</f>
        <v>S0141</v>
      </c>
      <c r="B200" s="30" t="n">
        <f aca="false">IF(COUNTIF(Responses!$A$2:A200,Responses!A200)&gt;1,1,0)</f>
        <v>0</v>
      </c>
      <c r="C200" s="30" t="n">
        <f aca="false">IF(OR(Responses!D200="",Responses!E200="",Responses!J200="",Responses!K200="",Responses!I200=""),1,0)</f>
        <v>0</v>
      </c>
      <c r="D200" s="30" t="n">
        <f aca="false">IF(Responses!I200="",0,IF(OR(Responses!I200&lt;Assumptions!$B$4,Responses!I200&gt;Assumptions!$B$5),1,0))</f>
        <v>0</v>
      </c>
      <c r="E200" s="30" t="n">
        <f aca="false">IF(Responses!Q200&lt;Assumptions!$B$6,1,0)</f>
        <v>0</v>
      </c>
      <c r="F200" s="30" t="n">
        <f aca="false">IF(OR(AND(Responses!K200="No",Responses!L200&lt;&gt;""),AND(Responses!K200="Yes",Responses!L200="")),1,0)</f>
        <v>0</v>
      </c>
      <c r="G200" s="30" t="n">
        <f aca="false">SUM(B200:F200)</f>
        <v>0</v>
      </c>
      <c r="H200" s="30" t="str">
        <f aca="false">IF(G200=0,"Valid","Review")</f>
        <v>Valid</v>
      </c>
      <c r="I200" s="30" t="n">
        <f aca="false">IF(G200=0,1,0)</f>
        <v>1</v>
      </c>
    </row>
    <row r="201" customFormat="false" ht="15" hidden="false" customHeight="false" outlineLevel="0" collapsed="false">
      <c r="A201" s="30" t="str">
        <f aca="false">Responses!A201</f>
        <v>S0148</v>
      </c>
      <c r="B201" s="30" t="n">
        <f aca="false">IF(COUNTIF(Responses!$A$2:A201,Responses!A201)&gt;1,1,0)</f>
        <v>0</v>
      </c>
      <c r="C201" s="30" t="n">
        <f aca="false">IF(OR(Responses!D201="",Responses!E201="",Responses!J201="",Responses!K201="",Responses!I201=""),1,0)</f>
        <v>0</v>
      </c>
      <c r="D201" s="30" t="n">
        <f aca="false">IF(Responses!I201="",0,IF(OR(Responses!I201&lt;Assumptions!$B$4,Responses!I201&gt;Assumptions!$B$5),1,0))</f>
        <v>0</v>
      </c>
      <c r="E201" s="30" t="n">
        <f aca="false">IF(Responses!Q201&lt;Assumptions!$B$6,1,0)</f>
        <v>0</v>
      </c>
      <c r="F201" s="30" t="n">
        <f aca="false">IF(OR(AND(Responses!K201="No",Responses!L201&lt;&gt;""),AND(Responses!K201="Yes",Responses!L201="")),1,0)</f>
        <v>0</v>
      </c>
      <c r="G201" s="30" t="n">
        <f aca="false">SUM(B201:F201)</f>
        <v>0</v>
      </c>
      <c r="H201" s="30" t="str">
        <f aca="false">IF(G201=0,"Valid","Review")</f>
        <v>Valid</v>
      </c>
      <c r="I201" s="30" t="n">
        <f aca="false">IF(G201=0,1,0)</f>
        <v>1</v>
      </c>
    </row>
    <row r="202" customFormat="false" ht="15" hidden="false" customHeight="false" outlineLevel="0" collapsed="false">
      <c r="A202" s="30" t="str">
        <f aca="false">Responses!A202</f>
        <v>S0150</v>
      </c>
      <c r="B202" s="30" t="n">
        <f aca="false">IF(COUNTIF(Responses!$A$2:A202,Responses!A202)&gt;1,1,0)</f>
        <v>0</v>
      </c>
      <c r="C202" s="30" t="n">
        <f aca="false">IF(OR(Responses!D202="",Responses!E202="",Responses!J202="",Responses!K202="",Responses!I202=""),1,0)</f>
        <v>0</v>
      </c>
      <c r="D202" s="30" t="n">
        <f aca="false">IF(Responses!I202="",0,IF(OR(Responses!I202&lt;Assumptions!$B$4,Responses!I202&gt;Assumptions!$B$5),1,0))</f>
        <v>0</v>
      </c>
      <c r="E202" s="30" t="n">
        <f aca="false">IF(Responses!Q202&lt;Assumptions!$B$6,1,0)</f>
        <v>0</v>
      </c>
      <c r="F202" s="30" t="n">
        <f aca="false">IF(OR(AND(Responses!K202="No",Responses!L202&lt;&gt;""),AND(Responses!K202="Yes",Responses!L202="")),1,0)</f>
        <v>0</v>
      </c>
      <c r="G202" s="30" t="n">
        <f aca="false">SUM(B202:F202)</f>
        <v>0</v>
      </c>
      <c r="H202" s="30" t="str">
        <f aca="false">IF(G202=0,"Valid","Review")</f>
        <v>Valid</v>
      </c>
      <c r="I202" s="30" t="n">
        <f aca="false">IF(G202=0,1,0)</f>
        <v>1</v>
      </c>
    </row>
    <row r="203" customFormat="false" ht="15" hidden="false" customHeight="false" outlineLevel="0" collapsed="false">
      <c r="A203" s="30" t="str">
        <f aca="false">Responses!A203</f>
        <v>S0155</v>
      </c>
      <c r="B203" s="30" t="n">
        <f aca="false">IF(COUNTIF(Responses!$A$2:A203,Responses!A203)&gt;1,1,0)</f>
        <v>0</v>
      </c>
      <c r="C203" s="30" t="n">
        <f aca="false">IF(OR(Responses!D203="",Responses!E203="",Responses!J203="",Responses!K203="",Responses!I203=""),1,0)</f>
        <v>1</v>
      </c>
      <c r="D203" s="30" t="n">
        <f aca="false">IF(Responses!I203="",0,IF(OR(Responses!I203&lt;Assumptions!$B$4,Responses!I203&gt;Assumptions!$B$5),1,0))</f>
        <v>0</v>
      </c>
      <c r="E203" s="30" t="n">
        <f aca="false">IF(Responses!Q203&lt;Assumptions!$B$6,1,0)</f>
        <v>0</v>
      </c>
      <c r="F203" s="30" t="n">
        <f aca="false">IF(OR(AND(Responses!K203="No",Responses!L203&lt;&gt;""),AND(Responses!K203="Yes",Responses!L203="")),1,0)</f>
        <v>0</v>
      </c>
      <c r="G203" s="30" t="n">
        <f aca="false">SUM(B203:F203)</f>
        <v>1</v>
      </c>
      <c r="H203" s="30" t="str">
        <f aca="false">IF(G203=0,"Valid","Review")</f>
        <v>Review</v>
      </c>
      <c r="I203" s="30" t="n">
        <f aca="false">IF(G203=0,1,0)</f>
        <v>0</v>
      </c>
    </row>
    <row r="204" customFormat="false" ht="15" hidden="false" customHeight="false" outlineLevel="0" collapsed="false">
      <c r="A204" s="30" t="str">
        <f aca="false">Responses!A204</f>
        <v>S0216</v>
      </c>
      <c r="B204" s="30" t="n">
        <f aca="false">IF(COUNTIF(Responses!$A$2:A204,Responses!A204)&gt;1,1,0)</f>
        <v>0</v>
      </c>
      <c r="C204" s="30" t="n">
        <f aca="false">IF(OR(Responses!D204="",Responses!E204="",Responses!J204="",Responses!K204="",Responses!I204=""),1,0)</f>
        <v>0</v>
      </c>
      <c r="D204" s="30" t="n">
        <f aca="false">IF(Responses!I204="",0,IF(OR(Responses!I204&lt;Assumptions!$B$4,Responses!I204&gt;Assumptions!$B$5),1,0))</f>
        <v>0</v>
      </c>
      <c r="E204" s="30" t="n">
        <f aca="false">IF(Responses!Q204&lt;Assumptions!$B$6,1,0)</f>
        <v>0</v>
      </c>
      <c r="F204" s="30" t="n">
        <f aca="false">IF(OR(AND(Responses!K204="No",Responses!L204&lt;&gt;""),AND(Responses!K204="Yes",Responses!L204="")),1,0)</f>
        <v>0</v>
      </c>
      <c r="G204" s="30" t="n">
        <f aca="false">SUM(B204:F204)</f>
        <v>0</v>
      </c>
      <c r="H204" s="30" t="str">
        <f aca="false">IF(G204=0,"Valid","Review")</f>
        <v>Valid</v>
      </c>
      <c r="I204" s="30" t="n">
        <f aca="false">IF(G204=0,1,0)</f>
        <v>1</v>
      </c>
    </row>
    <row r="205" customFormat="false" ht="15" hidden="false" customHeight="false" outlineLevel="0" collapsed="false">
      <c r="A205" s="30" t="str">
        <f aca="false">Responses!A205</f>
        <v>S0217</v>
      </c>
      <c r="B205" s="30" t="n">
        <f aca="false">IF(COUNTIF(Responses!$A$2:A205,Responses!A205)&gt;1,1,0)</f>
        <v>0</v>
      </c>
      <c r="C205" s="30" t="n">
        <f aca="false">IF(OR(Responses!D205="",Responses!E205="",Responses!J205="",Responses!K205="",Responses!I205=""),1,0)</f>
        <v>0</v>
      </c>
      <c r="D205" s="30" t="n">
        <f aca="false">IF(Responses!I205="",0,IF(OR(Responses!I205&lt;Assumptions!$B$4,Responses!I205&gt;Assumptions!$B$5),1,0))</f>
        <v>0</v>
      </c>
      <c r="E205" s="30" t="n">
        <f aca="false">IF(Responses!Q205&lt;Assumptions!$B$6,1,0)</f>
        <v>0</v>
      </c>
      <c r="F205" s="30" t="n">
        <f aca="false">IF(OR(AND(Responses!K205="No",Responses!L205&lt;&gt;""),AND(Responses!K205="Yes",Responses!L205="")),1,0)</f>
        <v>0</v>
      </c>
      <c r="G205" s="30" t="n">
        <f aca="false">SUM(B205:F205)</f>
        <v>0</v>
      </c>
      <c r="H205" s="30" t="str">
        <f aca="false">IF(G205=0,"Valid","Review")</f>
        <v>Valid</v>
      </c>
      <c r="I205" s="30" t="n">
        <f aca="false">IF(G205=0,1,0)</f>
        <v>1</v>
      </c>
    </row>
    <row r="206" customFormat="false" ht="15" hidden="false" customHeight="false" outlineLevel="0" collapsed="false">
      <c r="A206" s="30" t="str">
        <f aca="false">Responses!A206</f>
        <v>S0223</v>
      </c>
      <c r="B206" s="30" t="n">
        <f aca="false">IF(COUNTIF(Responses!$A$2:A206,Responses!A206)&gt;1,1,0)</f>
        <v>0</v>
      </c>
      <c r="C206" s="30" t="n">
        <f aca="false">IF(OR(Responses!D206="",Responses!E206="",Responses!J206="",Responses!K206="",Responses!I206=""),1,0)</f>
        <v>0</v>
      </c>
      <c r="D206" s="30" t="n">
        <f aca="false">IF(Responses!I206="",0,IF(OR(Responses!I206&lt;Assumptions!$B$4,Responses!I206&gt;Assumptions!$B$5),1,0))</f>
        <v>0</v>
      </c>
      <c r="E206" s="30" t="n">
        <f aca="false">IF(Responses!Q206&lt;Assumptions!$B$6,1,0)</f>
        <v>0</v>
      </c>
      <c r="F206" s="30" t="n">
        <f aca="false">IF(OR(AND(Responses!K206="No",Responses!L206&lt;&gt;""),AND(Responses!K206="Yes",Responses!L206="")),1,0)</f>
        <v>0</v>
      </c>
      <c r="G206" s="30" t="n">
        <f aca="false">SUM(B206:F206)</f>
        <v>0</v>
      </c>
      <c r="H206" s="30" t="str">
        <f aca="false">IF(G206=0,"Valid","Review")</f>
        <v>Valid</v>
      </c>
      <c r="I206" s="30" t="n">
        <f aca="false">IF(G206=0,1,0)</f>
        <v>1</v>
      </c>
    </row>
    <row r="207" customFormat="false" ht="15" hidden="false" customHeight="false" outlineLevel="0" collapsed="false">
      <c r="A207" s="30" t="str">
        <f aca="false">Responses!A207</f>
        <v>S0234</v>
      </c>
      <c r="B207" s="30" t="n">
        <f aca="false">IF(COUNTIF(Responses!$A$2:A207,Responses!A207)&gt;1,1,0)</f>
        <v>0</v>
      </c>
      <c r="C207" s="30" t="n">
        <f aca="false">IF(OR(Responses!D207="",Responses!E207="",Responses!J207="",Responses!K207="",Responses!I207=""),1,0)</f>
        <v>0</v>
      </c>
      <c r="D207" s="30" t="n">
        <f aca="false">IF(Responses!I207="",0,IF(OR(Responses!I207&lt;Assumptions!$B$4,Responses!I207&gt;Assumptions!$B$5),1,0))</f>
        <v>0</v>
      </c>
      <c r="E207" s="30" t="n">
        <f aca="false">IF(Responses!Q207&lt;Assumptions!$B$6,1,0)</f>
        <v>0</v>
      </c>
      <c r="F207" s="30" t="n">
        <f aca="false">IF(OR(AND(Responses!K207="No",Responses!L207&lt;&gt;""),AND(Responses!K207="Yes",Responses!L207="")),1,0)</f>
        <v>0</v>
      </c>
      <c r="G207" s="30" t="n">
        <f aca="false">SUM(B207:F207)</f>
        <v>0</v>
      </c>
      <c r="H207" s="30" t="str">
        <f aca="false">IF(G207=0,"Valid","Review")</f>
        <v>Valid</v>
      </c>
      <c r="I207" s="30" t="n">
        <f aca="false">IF(G207=0,1,0)</f>
        <v>1</v>
      </c>
    </row>
    <row r="208" customFormat="false" ht="15" hidden="false" customHeight="false" outlineLevel="0" collapsed="false">
      <c r="A208" s="30" t="str">
        <f aca="false">Responses!A208</f>
        <v>S0239</v>
      </c>
      <c r="B208" s="30" t="n">
        <f aca="false">IF(COUNTIF(Responses!$A$2:A208,Responses!A208)&gt;1,1,0)</f>
        <v>0</v>
      </c>
      <c r="C208" s="30" t="n">
        <f aca="false">IF(OR(Responses!D208="",Responses!E208="",Responses!J208="",Responses!K208="",Responses!I208=""),1,0)</f>
        <v>0</v>
      </c>
      <c r="D208" s="30" t="n">
        <f aca="false">IF(Responses!I208="",0,IF(OR(Responses!I208&lt;Assumptions!$B$4,Responses!I208&gt;Assumptions!$B$5),1,0))</f>
        <v>0</v>
      </c>
      <c r="E208" s="30" t="n">
        <f aca="false">IF(Responses!Q208&lt;Assumptions!$B$6,1,0)</f>
        <v>0</v>
      </c>
      <c r="F208" s="30" t="n">
        <f aca="false">IF(OR(AND(Responses!K208="No",Responses!L208&lt;&gt;""),AND(Responses!K208="Yes",Responses!L208="")),1,0)</f>
        <v>0</v>
      </c>
      <c r="G208" s="30" t="n">
        <f aca="false">SUM(B208:F208)</f>
        <v>0</v>
      </c>
      <c r="H208" s="30" t="str">
        <f aca="false">IF(G208=0,"Valid","Review")</f>
        <v>Valid</v>
      </c>
      <c r="I208" s="30" t="n">
        <f aca="false">IF(G208=0,1,0)</f>
        <v>1</v>
      </c>
    </row>
    <row r="209" customFormat="false" ht="15" hidden="false" customHeight="false" outlineLevel="0" collapsed="false">
      <c r="A209" s="30" t="str">
        <f aca="false">Responses!A209</f>
        <v>S0241</v>
      </c>
      <c r="B209" s="30" t="n">
        <f aca="false">IF(COUNTIF(Responses!$A$2:A209,Responses!A209)&gt;1,1,0)</f>
        <v>0</v>
      </c>
      <c r="C209" s="30" t="n">
        <f aca="false">IF(OR(Responses!D209="",Responses!E209="",Responses!J209="",Responses!K209="",Responses!I209=""),1,0)</f>
        <v>0</v>
      </c>
      <c r="D209" s="30" t="n">
        <f aca="false">IF(Responses!I209="",0,IF(OR(Responses!I209&lt;Assumptions!$B$4,Responses!I209&gt;Assumptions!$B$5),1,0))</f>
        <v>0</v>
      </c>
      <c r="E209" s="30" t="n">
        <f aca="false">IF(Responses!Q209&lt;Assumptions!$B$6,1,0)</f>
        <v>0</v>
      </c>
      <c r="F209" s="30" t="n">
        <f aca="false">IF(OR(AND(Responses!K209="No",Responses!L209&lt;&gt;""),AND(Responses!K209="Yes",Responses!L209="")),1,0)</f>
        <v>0</v>
      </c>
      <c r="G209" s="30" t="n">
        <f aca="false">SUM(B209:F209)</f>
        <v>0</v>
      </c>
      <c r="H209" s="30" t="str">
        <f aca="false">IF(G209=0,"Valid","Review")</f>
        <v>Valid</v>
      </c>
      <c r="I209" s="30" t="n">
        <f aca="false">IF(G209=0,1,0)</f>
        <v>1</v>
      </c>
    </row>
    <row r="210" customFormat="false" ht="15" hidden="false" customHeight="false" outlineLevel="0" collapsed="false">
      <c r="A210" s="30" t="str">
        <f aca="false">Responses!A210</f>
        <v>S0266</v>
      </c>
      <c r="B210" s="30" t="n">
        <f aca="false">IF(COUNTIF(Responses!$A$2:A210,Responses!A210)&gt;1,1,0)</f>
        <v>0</v>
      </c>
      <c r="C210" s="30" t="n">
        <f aca="false">IF(OR(Responses!D210="",Responses!E210="",Responses!J210="",Responses!K210="",Responses!I210=""),1,0)</f>
        <v>0</v>
      </c>
      <c r="D210" s="30" t="n">
        <f aca="false">IF(Responses!I210="",0,IF(OR(Responses!I210&lt;Assumptions!$B$4,Responses!I210&gt;Assumptions!$B$5),1,0))</f>
        <v>0</v>
      </c>
      <c r="E210" s="30" t="n">
        <f aca="false">IF(Responses!Q210&lt;Assumptions!$B$6,1,0)</f>
        <v>0</v>
      </c>
      <c r="F210" s="30" t="n">
        <f aca="false">IF(OR(AND(Responses!K210="No",Responses!L210&lt;&gt;""),AND(Responses!K210="Yes",Responses!L210="")),1,0)</f>
        <v>0</v>
      </c>
      <c r="G210" s="30" t="n">
        <f aca="false">SUM(B210:F210)</f>
        <v>0</v>
      </c>
      <c r="H210" s="30" t="str">
        <f aca="false">IF(G210=0,"Valid","Review")</f>
        <v>Valid</v>
      </c>
      <c r="I210" s="30" t="n">
        <f aca="false">IF(G210=0,1,0)</f>
        <v>1</v>
      </c>
    </row>
    <row r="211" customFormat="false" ht="15" hidden="false" customHeight="false" outlineLevel="0" collapsed="false">
      <c r="A211" s="30" t="str">
        <f aca="false">Responses!A211</f>
        <v>S0270</v>
      </c>
      <c r="B211" s="30" t="n">
        <f aca="false">IF(COUNTIF(Responses!$A$2:A211,Responses!A211)&gt;1,1,0)</f>
        <v>0</v>
      </c>
      <c r="C211" s="30" t="n">
        <f aca="false">IF(OR(Responses!D211="",Responses!E211="",Responses!J211="",Responses!K211="",Responses!I211=""),1,0)</f>
        <v>0</v>
      </c>
      <c r="D211" s="30" t="n">
        <f aca="false">IF(Responses!I211="",0,IF(OR(Responses!I211&lt;Assumptions!$B$4,Responses!I211&gt;Assumptions!$B$5),1,0))</f>
        <v>0</v>
      </c>
      <c r="E211" s="30" t="n">
        <f aca="false">IF(Responses!Q211&lt;Assumptions!$B$6,1,0)</f>
        <v>0</v>
      </c>
      <c r="F211" s="30" t="n">
        <f aca="false">IF(OR(AND(Responses!K211="No",Responses!L211&lt;&gt;""),AND(Responses!K211="Yes",Responses!L211="")),1,0)</f>
        <v>0</v>
      </c>
      <c r="G211" s="30" t="n">
        <f aca="false">SUM(B211:F211)</f>
        <v>0</v>
      </c>
      <c r="H211" s="30" t="str">
        <f aca="false">IF(G211=0,"Valid","Review")</f>
        <v>Valid</v>
      </c>
      <c r="I211" s="30" t="n">
        <f aca="false">IF(G211=0,1,0)</f>
        <v>1</v>
      </c>
    </row>
    <row r="212" customFormat="false" ht="15" hidden="false" customHeight="false" outlineLevel="0" collapsed="false">
      <c r="A212" s="30" t="str">
        <f aca="false">Responses!A212</f>
        <v>S0035</v>
      </c>
      <c r="B212" s="30" t="n">
        <f aca="false">IF(COUNTIF(Responses!$A$2:A212,Responses!A212)&gt;1,1,0)</f>
        <v>0</v>
      </c>
      <c r="C212" s="30" t="n">
        <f aca="false">IF(OR(Responses!D212="",Responses!E212="",Responses!J212="",Responses!K212="",Responses!I212=""),1,0)</f>
        <v>0</v>
      </c>
      <c r="D212" s="30" t="n">
        <f aca="false">IF(Responses!I212="",0,IF(OR(Responses!I212&lt;Assumptions!$B$4,Responses!I212&gt;Assumptions!$B$5),1,0))</f>
        <v>0</v>
      </c>
      <c r="E212" s="30" t="n">
        <f aca="false">IF(Responses!Q212&lt;Assumptions!$B$6,1,0)</f>
        <v>0</v>
      </c>
      <c r="F212" s="30" t="n">
        <f aca="false">IF(OR(AND(Responses!K212="No",Responses!L212&lt;&gt;""),AND(Responses!K212="Yes",Responses!L212="")),1,0)</f>
        <v>0</v>
      </c>
      <c r="G212" s="30" t="n">
        <f aca="false">SUM(B212:F212)</f>
        <v>0</v>
      </c>
      <c r="H212" s="30" t="str">
        <f aca="false">IF(G212=0,"Valid","Review")</f>
        <v>Valid</v>
      </c>
      <c r="I212" s="30" t="n">
        <f aca="false">IF(G212=0,1,0)</f>
        <v>1</v>
      </c>
    </row>
    <row r="213" customFormat="false" ht="15" hidden="false" customHeight="false" outlineLevel="0" collapsed="false">
      <c r="A213" s="30" t="str">
        <f aca="false">Responses!A213</f>
        <v>S0046</v>
      </c>
      <c r="B213" s="30" t="n">
        <f aca="false">IF(COUNTIF(Responses!$A$2:A213,Responses!A213)&gt;1,1,0)</f>
        <v>0</v>
      </c>
      <c r="C213" s="30" t="n">
        <f aca="false">IF(OR(Responses!D213="",Responses!E213="",Responses!J213="",Responses!K213="",Responses!I213=""),1,0)</f>
        <v>0</v>
      </c>
      <c r="D213" s="30" t="n">
        <f aca="false">IF(Responses!I213="",0,IF(OR(Responses!I213&lt;Assumptions!$B$4,Responses!I213&gt;Assumptions!$B$5),1,0))</f>
        <v>0</v>
      </c>
      <c r="E213" s="30" t="n">
        <f aca="false">IF(Responses!Q213&lt;Assumptions!$B$6,1,0)</f>
        <v>0</v>
      </c>
      <c r="F213" s="30" t="n">
        <f aca="false">IF(OR(AND(Responses!K213="No",Responses!L213&lt;&gt;""),AND(Responses!K213="Yes",Responses!L213="")),1,0)</f>
        <v>0</v>
      </c>
      <c r="G213" s="30" t="n">
        <f aca="false">SUM(B213:F213)</f>
        <v>0</v>
      </c>
      <c r="H213" s="30" t="str">
        <f aca="false">IF(G213=0,"Valid","Review")</f>
        <v>Valid</v>
      </c>
      <c r="I213" s="30" t="n">
        <f aca="false">IF(G213=0,1,0)</f>
        <v>1</v>
      </c>
    </row>
    <row r="214" customFormat="false" ht="15" hidden="false" customHeight="false" outlineLevel="0" collapsed="false">
      <c r="A214" s="30" t="str">
        <f aca="false">Responses!A214</f>
        <v>S0058</v>
      </c>
      <c r="B214" s="30" t="n">
        <f aca="false">IF(COUNTIF(Responses!$A$2:A214,Responses!A214)&gt;1,1,0)</f>
        <v>0</v>
      </c>
      <c r="C214" s="30" t="n">
        <f aca="false">IF(OR(Responses!D214="",Responses!E214="",Responses!J214="",Responses!K214="",Responses!I214=""),1,0)</f>
        <v>0</v>
      </c>
      <c r="D214" s="30" t="n">
        <f aca="false">IF(Responses!I214="",0,IF(OR(Responses!I214&lt;Assumptions!$B$4,Responses!I214&gt;Assumptions!$B$5),1,0))</f>
        <v>0</v>
      </c>
      <c r="E214" s="30" t="n">
        <f aca="false">IF(Responses!Q214&lt;Assumptions!$B$6,1,0)</f>
        <v>0</v>
      </c>
      <c r="F214" s="30" t="n">
        <f aca="false">IF(OR(AND(Responses!K214="No",Responses!L214&lt;&gt;""),AND(Responses!K214="Yes",Responses!L214="")),1,0)</f>
        <v>0</v>
      </c>
      <c r="G214" s="30" t="n">
        <f aca="false">SUM(B214:F214)</f>
        <v>0</v>
      </c>
      <c r="H214" s="30" t="str">
        <f aca="false">IF(G214=0,"Valid","Review")</f>
        <v>Valid</v>
      </c>
      <c r="I214" s="30" t="n">
        <f aca="false">IF(G214=0,1,0)</f>
        <v>1</v>
      </c>
    </row>
    <row r="215" customFormat="false" ht="15" hidden="false" customHeight="false" outlineLevel="0" collapsed="false">
      <c r="A215" s="30" t="str">
        <f aca="false">Responses!A215</f>
        <v>S0072</v>
      </c>
      <c r="B215" s="30" t="n">
        <f aca="false">IF(COUNTIF(Responses!$A$2:A215,Responses!A215)&gt;1,1,0)</f>
        <v>0</v>
      </c>
      <c r="C215" s="30" t="n">
        <f aca="false">IF(OR(Responses!D215="",Responses!E215="",Responses!J215="",Responses!K215="",Responses!I215=""),1,0)</f>
        <v>0</v>
      </c>
      <c r="D215" s="30" t="n">
        <f aca="false">IF(Responses!I215="",0,IF(OR(Responses!I215&lt;Assumptions!$B$4,Responses!I215&gt;Assumptions!$B$5),1,0))</f>
        <v>0</v>
      </c>
      <c r="E215" s="30" t="n">
        <f aca="false">IF(Responses!Q215&lt;Assumptions!$B$6,1,0)</f>
        <v>0</v>
      </c>
      <c r="F215" s="30" t="n">
        <f aca="false">IF(OR(AND(Responses!K215="No",Responses!L215&lt;&gt;""),AND(Responses!K215="Yes",Responses!L215="")),1,0)</f>
        <v>0</v>
      </c>
      <c r="G215" s="30" t="n">
        <f aca="false">SUM(B215:F215)</f>
        <v>0</v>
      </c>
      <c r="H215" s="30" t="str">
        <f aca="false">IF(G215=0,"Valid","Review")</f>
        <v>Valid</v>
      </c>
      <c r="I215" s="30" t="n">
        <f aca="false">IF(G215=0,1,0)</f>
        <v>1</v>
      </c>
    </row>
    <row r="216" customFormat="false" ht="15" hidden="false" customHeight="false" outlineLevel="0" collapsed="false">
      <c r="A216" s="30" t="str">
        <f aca="false">Responses!A216</f>
        <v>S0099</v>
      </c>
      <c r="B216" s="30" t="n">
        <f aca="false">IF(COUNTIF(Responses!$A$2:A216,Responses!A216)&gt;1,1,0)</f>
        <v>0</v>
      </c>
      <c r="C216" s="30" t="n">
        <f aca="false">IF(OR(Responses!D216="",Responses!E216="",Responses!J216="",Responses!K216="",Responses!I216=""),1,0)</f>
        <v>0</v>
      </c>
      <c r="D216" s="30" t="n">
        <f aca="false">IF(Responses!I216="",0,IF(OR(Responses!I216&lt;Assumptions!$B$4,Responses!I216&gt;Assumptions!$B$5),1,0))</f>
        <v>0</v>
      </c>
      <c r="E216" s="30" t="n">
        <f aca="false">IF(Responses!Q216&lt;Assumptions!$B$6,1,0)</f>
        <v>0</v>
      </c>
      <c r="F216" s="30" t="n">
        <f aca="false">IF(OR(AND(Responses!K216="No",Responses!L216&lt;&gt;""),AND(Responses!K216="Yes",Responses!L216="")),1,0)</f>
        <v>0</v>
      </c>
      <c r="G216" s="30" t="n">
        <f aca="false">SUM(B216:F216)</f>
        <v>0</v>
      </c>
      <c r="H216" s="30" t="str">
        <f aca="false">IF(G216=0,"Valid","Review")</f>
        <v>Valid</v>
      </c>
      <c r="I216" s="30" t="n">
        <f aca="false">IF(G216=0,1,0)</f>
        <v>1</v>
      </c>
    </row>
    <row r="217" customFormat="false" ht="15" hidden="false" customHeight="false" outlineLevel="0" collapsed="false">
      <c r="A217" s="30" t="str">
        <f aca="false">Responses!A217</f>
        <v>S0265</v>
      </c>
      <c r="B217" s="30" t="n">
        <f aca="false">IF(COUNTIF(Responses!$A$2:A217,Responses!A217)&gt;1,1,0)</f>
        <v>0</v>
      </c>
      <c r="C217" s="30" t="n">
        <f aca="false">IF(OR(Responses!D217="",Responses!E217="",Responses!J217="",Responses!K217="",Responses!I217=""),1,0)</f>
        <v>0</v>
      </c>
      <c r="D217" s="30" t="n">
        <f aca="false">IF(Responses!I217="",0,IF(OR(Responses!I217&lt;Assumptions!$B$4,Responses!I217&gt;Assumptions!$B$5),1,0))</f>
        <v>0</v>
      </c>
      <c r="E217" s="30" t="n">
        <f aca="false">IF(Responses!Q217&lt;Assumptions!$B$6,1,0)</f>
        <v>0</v>
      </c>
      <c r="F217" s="30" t="n">
        <f aca="false">IF(OR(AND(Responses!K217="No",Responses!L217&lt;&gt;""),AND(Responses!K217="Yes",Responses!L217="")),1,0)</f>
        <v>0</v>
      </c>
      <c r="G217" s="30" t="n">
        <f aca="false">SUM(B217:F217)</f>
        <v>0</v>
      </c>
      <c r="H217" s="30" t="str">
        <f aca="false">IF(G217=0,"Valid","Review")</f>
        <v>Valid</v>
      </c>
      <c r="I217" s="30" t="n">
        <f aca="false">IF(G217=0,1,0)</f>
        <v>1</v>
      </c>
    </row>
    <row r="218" customFormat="false" ht="15" hidden="false" customHeight="false" outlineLevel="0" collapsed="false">
      <c r="A218" s="30" t="str">
        <f aca="false">Responses!A218</f>
        <v>S0306</v>
      </c>
      <c r="B218" s="30" t="n">
        <f aca="false">IF(COUNTIF(Responses!$A$2:A218,Responses!A218)&gt;1,1,0)</f>
        <v>0</v>
      </c>
      <c r="C218" s="30" t="n">
        <f aca="false">IF(OR(Responses!D218="",Responses!E218="",Responses!J218="",Responses!K218="",Responses!I218=""),1,0)</f>
        <v>0</v>
      </c>
      <c r="D218" s="30" t="n">
        <f aca="false">IF(Responses!I218="",0,IF(OR(Responses!I218&lt;Assumptions!$B$4,Responses!I218&gt;Assumptions!$B$5),1,0))</f>
        <v>0</v>
      </c>
      <c r="E218" s="30" t="n">
        <f aca="false">IF(Responses!Q218&lt;Assumptions!$B$6,1,0)</f>
        <v>0</v>
      </c>
      <c r="F218" s="30" t="n">
        <f aca="false">IF(OR(AND(Responses!K218="No",Responses!L218&lt;&gt;""),AND(Responses!K218="Yes",Responses!L218="")),1,0)</f>
        <v>0</v>
      </c>
      <c r="G218" s="30" t="n">
        <f aca="false">SUM(B218:F218)</f>
        <v>0</v>
      </c>
      <c r="H218" s="30" t="str">
        <f aca="false">IF(G218=0,"Valid","Review")</f>
        <v>Valid</v>
      </c>
      <c r="I218" s="30" t="n">
        <f aca="false">IF(G218=0,1,0)</f>
        <v>1</v>
      </c>
    </row>
    <row r="219" customFormat="false" ht="15" hidden="false" customHeight="false" outlineLevel="0" collapsed="false">
      <c r="A219" s="30" t="str">
        <f aca="false">Responses!A219</f>
        <v>S0017</v>
      </c>
      <c r="B219" s="30" t="n">
        <f aca="false">IF(COUNTIF(Responses!$A$2:A219,Responses!A219)&gt;1,1,0)</f>
        <v>0</v>
      </c>
      <c r="C219" s="30" t="n">
        <f aca="false">IF(OR(Responses!D219="",Responses!E219="",Responses!J219="",Responses!K219="",Responses!I219=""),1,0)</f>
        <v>0</v>
      </c>
      <c r="D219" s="30" t="n">
        <f aca="false">IF(Responses!I219="",0,IF(OR(Responses!I219&lt;Assumptions!$B$4,Responses!I219&gt;Assumptions!$B$5),1,0))</f>
        <v>0</v>
      </c>
      <c r="E219" s="30" t="n">
        <f aca="false">IF(Responses!Q219&lt;Assumptions!$B$6,1,0)</f>
        <v>0</v>
      </c>
      <c r="F219" s="30" t="n">
        <f aca="false">IF(OR(AND(Responses!K219="No",Responses!L219&lt;&gt;""),AND(Responses!K219="Yes",Responses!L219="")),1,0)</f>
        <v>0</v>
      </c>
      <c r="G219" s="30" t="n">
        <f aca="false">SUM(B219:F219)</f>
        <v>0</v>
      </c>
      <c r="H219" s="30" t="str">
        <f aca="false">IF(G219=0,"Valid","Review")</f>
        <v>Valid</v>
      </c>
      <c r="I219" s="30" t="n">
        <f aca="false">IF(G219=0,1,0)</f>
        <v>1</v>
      </c>
    </row>
    <row r="220" customFormat="false" ht="15" hidden="false" customHeight="false" outlineLevel="0" collapsed="false">
      <c r="A220" s="30" t="str">
        <f aca="false">Responses!A220</f>
        <v>S0021</v>
      </c>
      <c r="B220" s="30" t="n">
        <f aca="false">IF(COUNTIF(Responses!$A$2:A220,Responses!A220)&gt;1,1,0)</f>
        <v>0</v>
      </c>
      <c r="C220" s="30" t="n">
        <f aca="false">IF(OR(Responses!D220="",Responses!E220="",Responses!J220="",Responses!K220="",Responses!I220=""),1,0)</f>
        <v>0</v>
      </c>
      <c r="D220" s="30" t="n">
        <f aca="false">IF(Responses!I220="",0,IF(OR(Responses!I220&lt;Assumptions!$B$4,Responses!I220&gt;Assumptions!$B$5),1,0))</f>
        <v>0</v>
      </c>
      <c r="E220" s="30" t="n">
        <f aca="false">IF(Responses!Q220&lt;Assumptions!$B$6,1,0)</f>
        <v>0</v>
      </c>
      <c r="F220" s="30" t="n">
        <f aca="false">IF(OR(AND(Responses!K220="No",Responses!L220&lt;&gt;""),AND(Responses!K220="Yes",Responses!L220="")),1,0)</f>
        <v>0</v>
      </c>
      <c r="G220" s="30" t="n">
        <f aca="false">SUM(B220:F220)</f>
        <v>0</v>
      </c>
      <c r="H220" s="30" t="str">
        <f aca="false">IF(G220=0,"Valid","Review")</f>
        <v>Valid</v>
      </c>
      <c r="I220" s="30" t="n">
        <f aca="false">IF(G220=0,1,0)</f>
        <v>1</v>
      </c>
    </row>
    <row r="221" customFormat="false" ht="15" hidden="false" customHeight="false" outlineLevel="0" collapsed="false">
      <c r="A221" s="30" t="str">
        <f aca="false">Responses!A221</f>
        <v>S0044</v>
      </c>
      <c r="B221" s="30" t="n">
        <f aca="false">IF(COUNTIF(Responses!$A$2:A221,Responses!A221)&gt;1,1,0)</f>
        <v>0</v>
      </c>
      <c r="C221" s="30" t="n">
        <f aca="false">IF(OR(Responses!D221="",Responses!E221="",Responses!J221="",Responses!K221="",Responses!I221=""),1,0)</f>
        <v>0</v>
      </c>
      <c r="D221" s="30" t="n">
        <f aca="false">IF(Responses!I221="",0,IF(OR(Responses!I221&lt;Assumptions!$B$4,Responses!I221&gt;Assumptions!$B$5),1,0))</f>
        <v>0</v>
      </c>
      <c r="E221" s="30" t="n">
        <f aca="false">IF(Responses!Q221&lt;Assumptions!$B$6,1,0)</f>
        <v>0</v>
      </c>
      <c r="F221" s="30" t="n">
        <f aca="false">IF(OR(AND(Responses!K221="No",Responses!L221&lt;&gt;""),AND(Responses!K221="Yes",Responses!L221="")),1,0)</f>
        <v>0</v>
      </c>
      <c r="G221" s="30" t="n">
        <f aca="false">SUM(B221:F221)</f>
        <v>0</v>
      </c>
      <c r="H221" s="30" t="str">
        <f aca="false">IF(G221=0,"Valid","Review")</f>
        <v>Valid</v>
      </c>
      <c r="I221" s="30" t="n">
        <f aca="false">IF(G221=0,1,0)</f>
        <v>1</v>
      </c>
    </row>
    <row r="222" customFormat="false" ht="15" hidden="false" customHeight="false" outlineLevel="0" collapsed="false">
      <c r="A222" s="30" t="str">
        <f aca="false">Responses!A222</f>
        <v>S0061</v>
      </c>
      <c r="B222" s="30" t="n">
        <f aca="false">IF(COUNTIF(Responses!$A$2:A222,Responses!A222)&gt;1,1,0)</f>
        <v>0</v>
      </c>
      <c r="C222" s="30" t="n">
        <f aca="false">IF(OR(Responses!D222="",Responses!E222="",Responses!J222="",Responses!K222="",Responses!I222=""),1,0)</f>
        <v>0</v>
      </c>
      <c r="D222" s="30" t="n">
        <f aca="false">IF(Responses!I222="",0,IF(OR(Responses!I222&lt;Assumptions!$B$4,Responses!I222&gt;Assumptions!$B$5),1,0))</f>
        <v>0</v>
      </c>
      <c r="E222" s="30" t="n">
        <f aca="false">IF(Responses!Q222&lt;Assumptions!$B$6,1,0)</f>
        <v>0</v>
      </c>
      <c r="F222" s="30" t="n">
        <f aca="false">IF(OR(AND(Responses!K222="No",Responses!L222&lt;&gt;""),AND(Responses!K222="Yes",Responses!L222="")),1,0)</f>
        <v>0</v>
      </c>
      <c r="G222" s="30" t="n">
        <f aca="false">SUM(B222:F222)</f>
        <v>0</v>
      </c>
      <c r="H222" s="30" t="str">
        <f aca="false">IF(G222=0,"Valid","Review")</f>
        <v>Valid</v>
      </c>
      <c r="I222" s="30" t="n">
        <f aca="false">IF(G222=0,1,0)</f>
        <v>1</v>
      </c>
    </row>
    <row r="223" customFormat="false" ht="15" hidden="false" customHeight="false" outlineLevel="0" collapsed="false">
      <c r="A223" s="30" t="str">
        <f aca="false">Responses!A223</f>
        <v>S0080</v>
      </c>
      <c r="B223" s="30" t="n">
        <f aca="false">IF(COUNTIF(Responses!$A$2:A223,Responses!A223)&gt;1,1,0)</f>
        <v>0</v>
      </c>
      <c r="C223" s="30" t="n">
        <f aca="false">IF(OR(Responses!D223="",Responses!E223="",Responses!J223="",Responses!K223="",Responses!I223=""),1,0)</f>
        <v>0</v>
      </c>
      <c r="D223" s="30" t="n">
        <f aca="false">IF(Responses!I223="",0,IF(OR(Responses!I223&lt;Assumptions!$B$4,Responses!I223&gt;Assumptions!$B$5),1,0))</f>
        <v>0</v>
      </c>
      <c r="E223" s="30" t="n">
        <f aca="false">IF(Responses!Q223&lt;Assumptions!$B$6,1,0)</f>
        <v>0</v>
      </c>
      <c r="F223" s="30" t="n">
        <f aca="false">IF(OR(AND(Responses!K223="No",Responses!L223&lt;&gt;""),AND(Responses!K223="Yes",Responses!L223="")),1,0)</f>
        <v>0</v>
      </c>
      <c r="G223" s="30" t="n">
        <f aca="false">SUM(B223:F223)</f>
        <v>0</v>
      </c>
      <c r="H223" s="30" t="str">
        <f aca="false">IF(G223=0,"Valid","Review")</f>
        <v>Valid</v>
      </c>
      <c r="I223" s="30" t="n">
        <f aca="false">IF(G223=0,1,0)</f>
        <v>1</v>
      </c>
    </row>
    <row r="224" customFormat="false" ht="15" hidden="false" customHeight="false" outlineLevel="0" collapsed="false">
      <c r="A224" s="30" t="str">
        <f aca="false">Responses!A224</f>
        <v>S0105</v>
      </c>
      <c r="B224" s="30" t="n">
        <f aca="false">IF(COUNTIF(Responses!$A$2:A224,Responses!A224)&gt;1,1,0)</f>
        <v>0</v>
      </c>
      <c r="C224" s="30" t="n">
        <f aca="false">IF(OR(Responses!D224="",Responses!E224="",Responses!J224="",Responses!K224="",Responses!I224=""),1,0)</f>
        <v>0</v>
      </c>
      <c r="D224" s="30" t="n">
        <f aca="false">IF(Responses!I224="",0,IF(OR(Responses!I224&lt;Assumptions!$B$4,Responses!I224&gt;Assumptions!$B$5),1,0))</f>
        <v>0</v>
      </c>
      <c r="E224" s="30" t="n">
        <f aca="false">IF(Responses!Q224&lt;Assumptions!$B$6,1,0)</f>
        <v>0</v>
      </c>
      <c r="F224" s="30" t="n">
        <f aca="false">IF(OR(AND(Responses!K224="No",Responses!L224&lt;&gt;""),AND(Responses!K224="Yes",Responses!L224="")),1,0)</f>
        <v>0</v>
      </c>
      <c r="G224" s="30" t="n">
        <f aca="false">SUM(B224:F224)</f>
        <v>0</v>
      </c>
      <c r="H224" s="30" t="str">
        <f aca="false">IF(G224=0,"Valid","Review")</f>
        <v>Valid</v>
      </c>
      <c r="I224" s="30" t="n">
        <f aca="false">IF(G224=0,1,0)</f>
        <v>1</v>
      </c>
    </row>
    <row r="225" customFormat="false" ht="15" hidden="false" customHeight="false" outlineLevel="0" collapsed="false">
      <c r="A225" s="30" t="str">
        <f aca="false">Responses!A225</f>
        <v>S0108</v>
      </c>
      <c r="B225" s="30" t="n">
        <f aca="false">IF(COUNTIF(Responses!$A$2:A225,Responses!A225)&gt;1,1,0)</f>
        <v>0</v>
      </c>
      <c r="C225" s="30" t="n">
        <f aca="false">IF(OR(Responses!D225="",Responses!E225="",Responses!J225="",Responses!K225="",Responses!I225=""),1,0)</f>
        <v>0</v>
      </c>
      <c r="D225" s="30" t="n">
        <f aca="false">IF(Responses!I225="",0,IF(OR(Responses!I225&lt;Assumptions!$B$4,Responses!I225&gt;Assumptions!$B$5),1,0))</f>
        <v>0</v>
      </c>
      <c r="E225" s="30" t="n">
        <f aca="false">IF(Responses!Q225&lt;Assumptions!$B$6,1,0)</f>
        <v>0</v>
      </c>
      <c r="F225" s="30" t="n">
        <f aca="false">IF(OR(AND(Responses!K225="No",Responses!L225&lt;&gt;""),AND(Responses!K225="Yes",Responses!L225="")),1,0)</f>
        <v>0</v>
      </c>
      <c r="G225" s="30" t="n">
        <f aca="false">SUM(B225:F225)</f>
        <v>0</v>
      </c>
      <c r="H225" s="30" t="str">
        <f aca="false">IF(G225=0,"Valid","Review")</f>
        <v>Valid</v>
      </c>
      <c r="I225" s="30" t="n">
        <f aca="false">IF(G225=0,1,0)</f>
        <v>1</v>
      </c>
    </row>
    <row r="226" customFormat="false" ht="15" hidden="false" customHeight="false" outlineLevel="0" collapsed="false">
      <c r="A226" s="30" t="str">
        <f aca="false">Responses!A226</f>
        <v>S0186</v>
      </c>
      <c r="B226" s="30" t="n">
        <f aca="false">IF(COUNTIF(Responses!$A$2:A226,Responses!A226)&gt;1,1,0)</f>
        <v>0</v>
      </c>
      <c r="C226" s="30" t="n">
        <f aca="false">IF(OR(Responses!D226="",Responses!E226="",Responses!J226="",Responses!K226="",Responses!I226=""),1,0)</f>
        <v>0</v>
      </c>
      <c r="D226" s="30" t="n">
        <f aca="false">IF(Responses!I226="",0,IF(OR(Responses!I226&lt;Assumptions!$B$4,Responses!I226&gt;Assumptions!$B$5),1,0))</f>
        <v>0</v>
      </c>
      <c r="E226" s="30" t="n">
        <f aca="false">IF(Responses!Q226&lt;Assumptions!$B$6,1,0)</f>
        <v>0</v>
      </c>
      <c r="F226" s="30" t="n">
        <f aca="false">IF(OR(AND(Responses!K226="No",Responses!L226&lt;&gt;""),AND(Responses!K226="Yes",Responses!L226="")),1,0)</f>
        <v>0</v>
      </c>
      <c r="G226" s="30" t="n">
        <f aca="false">SUM(B226:F226)</f>
        <v>0</v>
      </c>
      <c r="H226" s="30" t="str">
        <f aca="false">IF(G226=0,"Valid","Review")</f>
        <v>Valid</v>
      </c>
      <c r="I226" s="30" t="n">
        <f aca="false">IF(G226=0,1,0)</f>
        <v>1</v>
      </c>
    </row>
    <row r="227" customFormat="false" ht="15" hidden="false" customHeight="false" outlineLevel="0" collapsed="false">
      <c r="A227" s="30" t="str">
        <f aca="false">Responses!A227</f>
        <v>S0193</v>
      </c>
      <c r="B227" s="30" t="n">
        <f aca="false">IF(COUNTIF(Responses!$A$2:A227,Responses!A227)&gt;1,1,0)</f>
        <v>0</v>
      </c>
      <c r="C227" s="30" t="n">
        <f aca="false">IF(OR(Responses!D227="",Responses!E227="",Responses!J227="",Responses!K227="",Responses!I227=""),1,0)</f>
        <v>0</v>
      </c>
      <c r="D227" s="30" t="n">
        <f aca="false">IF(Responses!I227="",0,IF(OR(Responses!I227&lt;Assumptions!$B$4,Responses!I227&gt;Assumptions!$B$5),1,0))</f>
        <v>0</v>
      </c>
      <c r="E227" s="30" t="n">
        <f aca="false">IF(Responses!Q227&lt;Assumptions!$B$6,1,0)</f>
        <v>0</v>
      </c>
      <c r="F227" s="30" t="n">
        <f aca="false">IF(OR(AND(Responses!K227="No",Responses!L227&lt;&gt;""),AND(Responses!K227="Yes",Responses!L227="")),1,0)</f>
        <v>0</v>
      </c>
      <c r="G227" s="30" t="n">
        <f aca="false">SUM(B227:F227)</f>
        <v>0</v>
      </c>
      <c r="H227" s="30" t="str">
        <f aca="false">IF(G227=0,"Valid","Review")</f>
        <v>Valid</v>
      </c>
      <c r="I227" s="30" t="n">
        <f aca="false">IF(G227=0,1,0)</f>
        <v>1</v>
      </c>
    </row>
    <row r="228" customFormat="false" ht="15" hidden="false" customHeight="false" outlineLevel="0" collapsed="false">
      <c r="A228" s="30" t="str">
        <f aca="false">Responses!A228</f>
        <v>S0204</v>
      </c>
      <c r="B228" s="30" t="n">
        <f aca="false">IF(COUNTIF(Responses!$A$2:A228,Responses!A228)&gt;1,1,0)</f>
        <v>0</v>
      </c>
      <c r="C228" s="30" t="n">
        <f aca="false">IF(OR(Responses!D228="",Responses!E228="",Responses!J228="",Responses!K228="",Responses!I228=""),1,0)</f>
        <v>0</v>
      </c>
      <c r="D228" s="30" t="n">
        <f aca="false">IF(Responses!I228="",0,IF(OR(Responses!I228&lt;Assumptions!$B$4,Responses!I228&gt;Assumptions!$B$5),1,0))</f>
        <v>0</v>
      </c>
      <c r="E228" s="30" t="n">
        <f aca="false">IF(Responses!Q228&lt;Assumptions!$B$6,1,0)</f>
        <v>0</v>
      </c>
      <c r="F228" s="30" t="n">
        <f aca="false">IF(OR(AND(Responses!K228="No",Responses!L228&lt;&gt;""),AND(Responses!K228="Yes",Responses!L228="")),1,0)</f>
        <v>0</v>
      </c>
      <c r="G228" s="30" t="n">
        <f aca="false">SUM(B228:F228)</f>
        <v>0</v>
      </c>
      <c r="H228" s="30" t="str">
        <f aca="false">IF(G228=0,"Valid","Review")</f>
        <v>Valid</v>
      </c>
      <c r="I228" s="30" t="n">
        <f aca="false">IF(G228=0,1,0)</f>
        <v>1</v>
      </c>
    </row>
    <row r="229" customFormat="false" ht="15" hidden="false" customHeight="false" outlineLevel="0" collapsed="false">
      <c r="A229" s="30" t="str">
        <f aca="false">Responses!A229</f>
        <v>S0210</v>
      </c>
      <c r="B229" s="30" t="n">
        <f aca="false">IF(COUNTIF(Responses!$A$2:A229,Responses!A229)&gt;1,1,0)</f>
        <v>0</v>
      </c>
      <c r="C229" s="30" t="n">
        <f aca="false">IF(OR(Responses!D229="",Responses!E229="",Responses!J229="",Responses!K229="",Responses!I229=""),1,0)</f>
        <v>0</v>
      </c>
      <c r="D229" s="30" t="n">
        <f aca="false">IF(Responses!I229="",0,IF(OR(Responses!I229&lt;Assumptions!$B$4,Responses!I229&gt;Assumptions!$B$5),1,0))</f>
        <v>0</v>
      </c>
      <c r="E229" s="30" t="n">
        <f aca="false">IF(Responses!Q229&lt;Assumptions!$B$6,1,0)</f>
        <v>1</v>
      </c>
      <c r="F229" s="30" t="n">
        <f aca="false">IF(OR(AND(Responses!K229="No",Responses!L229&lt;&gt;""),AND(Responses!K229="Yes",Responses!L229="")),1,0)</f>
        <v>0</v>
      </c>
      <c r="G229" s="30" t="n">
        <f aca="false">SUM(B229:F229)</f>
        <v>1</v>
      </c>
      <c r="H229" s="30" t="str">
        <f aca="false">IF(G229=0,"Valid","Review")</f>
        <v>Review</v>
      </c>
      <c r="I229" s="30" t="n">
        <f aca="false">IF(G229=0,1,0)</f>
        <v>0</v>
      </c>
    </row>
    <row r="230" customFormat="false" ht="15" hidden="false" customHeight="false" outlineLevel="0" collapsed="false">
      <c r="A230" s="30" t="str">
        <f aca="false">Responses!A230</f>
        <v>S0214</v>
      </c>
      <c r="B230" s="30" t="n">
        <f aca="false">IF(COUNTIF(Responses!$A$2:A230,Responses!A230)&gt;1,1,0)</f>
        <v>0</v>
      </c>
      <c r="C230" s="30" t="n">
        <f aca="false">IF(OR(Responses!D230="",Responses!E230="",Responses!J230="",Responses!K230="",Responses!I230=""),1,0)</f>
        <v>0</v>
      </c>
      <c r="D230" s="30" t="n">
        <f aca="false">IF(Responses!I230="",0,IF(OR(Responses!I230&lt;Assumptions!$B$4,Responses!I230&gt;Assumptions!$B$5),1,0))</f>
        <v>0</v>
      </c>
      <c r="E230" s="30" t="n">
        <f aca="false">IF(Responses!Q230&lt;Assumptions!$B$6,1,0)</f>
        <v>0</v>
      </c>
      <c r="F230" s="30" t="n">
        <f aca="false">IF(OR(AND(Responses!K230="No",Responses!L230&lt;&gt;""),AND(Responses!K230="Yes",Responses!L230="")),1,0)</f>
        <v>0</v>
      </c>
      <c r="G230" s="30" t="n">
        <f aca="false">SUM(B230:F230)</f>
        <v>0</v>
      </c>
      <c r="H230" s="30" t="str">
        <f aca="false">IF(G230=0,"Valid","Review")</f>
        <v>Valid</v>
      </c>
      <c r="I230" s="30" t="n">
        <f aca="false">IF(G230=0,1,0)</f>
        <v>1</v>
      </c>
    </row>
    <row r="231" customFormat="false" ht="15" hidden="false" customHeight="false" outlineLevel="0" collapsed="false">
      <c r="A231" s="30" t="str">
        <f aca="false">Responses!A231</f>
        <v>S0215</v>
      </c>
      <c r="B231" s="30" t="n">
        <f aca="false">IF(COUNTIF(Responses!$A$2:A231,Responses!A231)&gt;1,1,0)</f>
        <v>0</v>
      </c>
      <c r="C231" s="30" t="n">
        <f aca="false">IF(OR(Responses!D231="",Responses!E231="",Responses!J231="",Responses!K231="",Responses!I231=""),1,0)</f>
        <v>0</v>
      </c>
      <c r="D231" s="30" t="n">
        <f aca="false">IF(Responses!I231="",0,IF(OR(Responses!I231&lt;Assumptions!$B$4,Responses!I231&gt;Assumptions!$B$5),1,0))</f>
        <v>0</v>
      </c>
      <c r="E231" s="30" t="n">
        <f aca="false">IF(Responses!Q231&lt;Assumptions!$B$6,1,0)</f>
        <v>1</v>
      </c>
      <c r="F231" s="30" t="n">
        <f aca="false">IF(OR(AND(Responses!K231="No",Responses!L231&lt;&gt;""),AND(Responses!K231="Yes",Responses!L231="")),1,0)</f>
        <v>0</v>
      </c>
      <c r="G231" s="30" t="n">
        <f aca="false">SUM(B231:F231)</f>
        <v>1</v>
      </c>
      <c r="H231" s="30" t="str">
        <f aca="false">IF(G231=0,"Valid","Review")</f>
        <v>Review</v>
      </c>
      <c r="I231" s="30" t="n">
        <f aca="false">IF(G231=0,1,0)</f>
        <v>0</v>
      </c>
    </row>
    <row r="232" customFormat="false" ht="15" hidden="false" customHeight="false" outlineLevel="0" collapsed="false">
      <c r="A232" s="30" t="str">
        <f aca="false">Responses!A232</f>
        <v>S0235</v>
      </c>
      <c r="B232" s="30" t="n">
        <f aca="false">IF(COUNTIF(Responses!$A$2:A232,Responses!A232)&gt;1,1,0)</f>
        <v>0</v>
      </c>
      <c r="C232" s="30" t="n">
        <f aca="false">IF(OR(Responses!D232="",Responses!E232="",Responses!J232="",Responses!K232="",Responses!I232=""),1,0)</f>
        <v>0</v>
      </c>
      <c r="D232" s="30" t="n">
        <f aca="false">IF(Responses!I232="",0,IF(OR(Responses!I232&lt;Assumptions!$B$4,Responses!I232&gt;Assumptions!$B$5),1,0))</f>
        <v>0</v>
      </c>
      <c r="E232" s="30" t="n">
        <f aca="false">IF(Responses!Q232&lt;Assumptions!$B$6,1,0)</f>
        <v>0</v>
      </c>
      <c r="F232" s="30" t="n">
        <f aca="false">IF(OR(AND(Responses!K232="No",Responses!L232&lt;&gt;""),AND(Responses!K232="Yes",Responses!L232="")),1,0)</f>
        <v>0</v>
      </c>
      <c r="G232" s="30" t="n">
        <f aca="false">SUM(B232:F232)</f>
        <v>0</v>
      </c>
      <c r="H232" s="30" t="str">
        <f aca="false">IF(G232=0,"Valid","Review")</f>
        <v>Valid</v>
      </c>
      <c r="I232" s="30" t="n">
        <f aca="false">IF(G232=0,1,0)</f>
        <v>1</v>
      </c>
    </row>
    <row r="233" customFormat="false" ht="15" hidden="false" customHeight="false" outlineLevel="0" collapsed="false">
      <c r="A233" s="30" t="str">
        <f aca="false">Responses!A233</f>
        <v>S0274</v>
      </c>
      <c r="B233" s="30" t="n">
        <f aca="false">IF(COUNTIF(Responses!$A$2:A233,Responses!A233)&gt;1,1,0)</f>
        <v>0</v>
      </c>
      <c r="C233" s="30" t="n">
        <f aca="false">IF(OR(Responses!D233="",Responses!E233="",Responses!J233="",Responses!K233="",Responses!I233=""),1,0)</f>
        <v>0</v>
      </c>
      <c r="D233" s="30" t="n">
        <f aca="false">IF(Responses!I233="",0,IF(OR(Responses!I233&lt;Assumptions!$B$4,Responses!I233&gt;Assumptions!$B$5),1,0))</f>
        <v>0</v>
      </c>
      <c r="E233" s="30" t="n">
        <f aca="false">IF(Responses!Q233&lt;Assumptions!$B$6,1,0)</f>
        <v>0</v>
      </c>
      <c r="F233" s="30" t="n">
        <f aca="false">IF(OR(AND(Responses!K233="No",Responses!L233&lt;&gt;""),AND(Responses!K233="Yes",Responses!L233="")),1,0)</f>
        <v>0</v>
      </c>
      <c r="G233" s="30" t="n">
        <f aca="false">SUM(B233:F233)</f>
        <v>0</v>
      </c>
      <c r="H233" s="30" t="str">
        <f aca="false">IF(G233=0,"Valid","Review")</f>
        <v>Valid</v>
      </c>
      <c r="I233" s="30" t="n">
        <f aca="false">IF(G233=0,1,0)</f>
        <v>1</v>
      </c>
    </row>
    <row r="234" customFormat="false" ht="15" hidden="false" customHeight="false" outlineLevel="0" collapsed="false">
      <c r="A234" s="30" t="str">
        <f aca="false">Responses!A234</f>
        <v>S0281</v>
      </c>
      <c r="B234" s="30" t="n">
        <f aca="false">IF(COUNTIF(Responses!$A$2:A234,Responses!A234)&gt;1,1,0)</f>
        <v>0</v>
      </c>
      <c r="C234" s="30" t="n">
        <f aca="false">IF(OR(Responses!D234="",Responses!E234="",Responses!J234="",Responses!K234="",Responses!I234=""),1,0)</f>
        <v>0</v>
      </c>
      <c r="D234" s="30" t="n">
        <f aca="false">IF(Responses!I234="",0,IF(OR(Responses!I234&lt;Assumptions!$B$4,Responses!I234&gt;Assumptions!$B$5),1,0))</f>
        <v>0</v>
      </c>
      <c r="E234" s="30" t="n">
        <f aca="false">IF(Responses!Q234&lt;Assumptions!$B$6,1,0)</f>
        <v>0</v>
      </c>
      <c r="F234" s="30" t="n">
        <f aca="false">IF(OR(AND(Responses!K234="No",Responses!L234&lt;&gt;""),AND(Responses!K234="Yes",Responses!L234="")),1,0)</f>
        <v>0</v>
      </c>
      <c r="G234" s="30" t="n">
        <f aca="false">SUM(B234:F234)</f>
        <v>0</v>
      </c>
      <c r="H234" s="30" t="str">
        <f aca="false">IF(G234=0,"Valid","Review")</f>
        <v>Valid</v>
      </c>
      <c r="I234" s="30" t="n">
        <f aca="false">IF(G234=0,1,0)</f>
        <v>1</v>
      </c>
    </row>
    <row r="235" customFormat="false" ht="15" hidden="false" customHeight="false" outlineLevel="0" collapsed="false">
      <c r="A235" s="30" t="str">
        <f aca="false">Responses!A235</f>
        <v>S0295</v>
      </c>
      <c r="B235" s="30" t="n">
        <f aca="false">IF(COUNTIF(Responses!$A$2:A235,Responses!A235)&gt;1,1,0)</f>
        <v>0</v>
      </c>
      <c r="C235" s="30" t="n">
        <f aca="false">IF(OR(Responses!D235="",Responses!E235="",Responses!J235="",Responses!K235="",Responses!I235=""),1,0)</f>
        <v>0</v>
      </c>
      <c r="D235" s="30" t="n">
        <f aca="false">IF(Responses!I235="",0,IF(OR(Responses!I235&lt;Assumptions!$B$4,Responses!I235&gt;Assumptions!$B$5),1,0))</f>
        <v>0</v>
      </c>
      <c r="E235" s="30" t="n">
        <f aca="false">IF(Responses!Q235&lt;Assumptions!$B$6,1,0)</f>
        <v>0</v>
      </c>
      <c r="F235" s="30" t="n">
        <f aca="false">IF(OR(AND(Responses!K235="No",Responses!L235&lt;&gt;""),AND(Responses!K235="Yes",Responses!L235="")),1,0)</f>
        <v>0</v>
      </c>
      <c r="G235" s="30" t="n">
        <f aca="false">SUM(B235:F235)</f>
        <v>0</v>
      </c>
      <c r="H235" s="30" t="str">
        <f aca="false">IF(G235=0,"Valid","Review")</f>
        <v>Valid</v>
      </c>
      <c r="I235" s="30" t="n">
        <f aca="false">IF(G235=0,1,0)</f>
        <v>1</v>
      </c>
    </row>
    <row r="236" customFormat="false" ht="15" hidden="false" customHeight="false" outlineLevel="0" collapsed="false">
      <c r="A236" s="30" t="str">
        <f aca="false">Responses!A236</f>
        <v>S0304</v>
      </c>
      <c r="B236" s="30" t="n">
        <f aca="false">IF(COUNTIF(Responses!$A$2:A236,Responses!A236)&gt;1,1,0)</f>
        <v>0</v>
      </c>
      <c r="C236" s="30" t="n">
        <f aca="false">IF(OR(Responses!D236="",Responses!E236="",Responses!J236="",Responses!K236="",Responses!I236=""),1,0)</f>
        <v>0</v>
      </c>
      <c r="D236" s="30" t="n">
        <f aca="false">IF(Responses!I236="",0,IF(OR(Responses!I236&lt;Assumptions!$B$4,Responses!I236&gt;Assumptions!$B$5),1,0))</f>
        <v>0</v>
      </c>
      <c r="E236" s="30" t="n">
        <f aca="false">IF(Responses!Q236&lt;Assumptions!$B$6,1,0)</f>
        <v>0</v>
      </c>
      <c r="F236" s="30" t="n">
        <f aca="false">IF(OR(AND(Responses!K236="No",Responses!L236&lt;&gt;""),AND(Responses!K236="Yes",Responses!L236="")),1,0)</f>
        <v>0</v>
      </c>
      <c r="G236" s="30" t="n">
        <f aca="false">SUM(B236:F236)</f>
        <v>0</v>
      </c>
      <c r="H236" s="30" t="str">
        <f aca="false">IF(G236=0,"Valid","Review")</f>
        <v>Valid</v>
      </c>
      <c r="I236" s="30" t="n">
        <f aca="false">IF(G236=0,1,0)</f>
        <v>1</v>
      </c>
    </row>
    <row r="237" customFormat="false" ht="15" hidden="false" customHeight="false" outlineLevel="0" collapsed="false">
      <c r="A237" s="30" t="str">
        <f aca="false">Responses!A237</f>
        <v>S0308</v>
      </c>
      <c r="B237" s="30" t="n">
        <f aca="false">IF(COUNTIF(Responses!$A$2:A237,Responses!A237)&gt;1,1,0)</f>
        <v>0</v>
      </c>
      <c r="C237" s="30" t="n">
        <f aca="false">IF(OR(Responses!D237="",Responses!E237="",Responses!J237="",Responses!K237="",Responses!I237=""),1,0)</f>
        <v>0</v>
      </c>
      <c r="D237" s="30" t="n">
        <f aca="false">IF(Responses!I237="",0,IF(OR(Responses!I237&lt;Assumptions!$B$4,Responses!I237&gt;Assumptions!$B$5),1,0))</f>
        <v>0</v>
      </c>
      <c r="E237" s="30" t="n">
        <f aca="false">IF(Responses!Q237&lt;Assumptions!$B$6,1,0)</f>
        <v>0</v>
      </c>
      <c r="F237" s="30" t="n">
        <f aca="false">IF(OR(AND(Responses!K237="No",Responses!L237&lt;&gt;""),AND(Responses!K237="Yes",Responses!L237="")),1,0)</f>
        <v>0</v>
      </c>
      <c r="G237" s="30" t="n">
        <f aca="false">SUM(B237:F237)</f>
        <v>0</v>
      </c>
      <c r="H237" s="30" t="str">
        <f aca="false">IF(G237=0,"Valid","Review")</f>
        <v>Valid</v>
      </c>
      <c r="I237" s="30" t="n">
        <f aca="false">IF(G237=0,1,0)</f>
        <v>1</v>
      </c>
    </row>
    <row r="238" customFormat="false" ht="15" hidden="false" customHeight="false" outlineLevel="0" collapsed="false">
      <c r="A238" s="30" t="str">
        <f aca="false">Responses!A238</f>
        <v>S0023</v>
      </c>
      <c r="B238" s="30" t="n">
        <f aca="false">IF(COUNTIF(Responses!$A$2:A238,Responses!A238)&gt;1,1,0)</f>
        <v>0</v>
      </c>
      <c r="C238" s="30" t="n">
        <f aca="false">IF(OR(Responses!D238="",Responses!E238="",Responses!J238="",Responses!K238="",Responses!I238=""),1,0)</f>
        <v>0</v>
      </c>
      <c r="D238" s="30" t="n">
        <f aca="false">IF(Responses!I238="",0,IF(OR(Responses!I238&lt;Assumptions!$B$4,Responses!I238&gt;Assumptions!$B$5),1,0))</f>
        <v>0</v>
      </c>
      <c r="E238" s="30" t="n">
        <f aca="false">IF(Responses!Q238&lt;Assumptions!$B$6,1,0)</f>
        <v>0</v>
      </c>
      <c r="F238" s="30" t="n">
        <f aca="false">IF(OR(AND(Responses!K238="No",Responses!L238&lt;&gt;""),AND(Responses!K238="Yes",Responses!L238="")),1,0)</f>
        <v>0</v>
      </c>
      <c r="G238" s="30" t="n">
        <f aca="false">SUM(B238:F238)</f>
        <v>0</v>
      </c>
      <c r="H238" s="30" t="str">
        <f aca="false">IF(G238=0,"Valid","Review")</f>
        <v>Valid</v>
      </c>
      <c r="I238" s="30" t="n">
        <f aca="false">IF(G238=0,1,0)</f>
        <v>1</v>
      </c>
    </row>
    <row r="239" customFormat="false" ht="15" hidden="false" customHeight="false" outlineLevel="0" collapsed="false">
      <c r="A239" s="30" t="str">
        <f aca="false">Responses!A239</f>
        <v>S0030</v>
      </c>
      <c r="B239" s="30" t="n">
        <f aca="false">IF(COUNTIF(Responses!$A$2:A239,Responses!A239)&gt;1,1,0)</f>
        <v>0</v>
      </c>
      <c r="C239" s="30" t="n">
        <f aca="false">IF(OR(Responses!D239="",Responses!E239="",Responses!J239="",Responses!K239="",Responses!I239=""),1,0)</f>
        <v>0</v>
      </c>
      <c r="D239" s="30" t="n">
        <f aca="false">IF(Responses!I239="",0,IF(OR(Responses!I239&lt;Assumptions!$B$4,Responses!I239&gt;Assumptions!$B$5),1,0))</f>
        <v>0</v>
      </c>
      <c r="E239" s="30" t="n">
        <f aca="false">IF(Responses!Q239&lt;Assumptions!$B$6,1,0)</f>
        <v>0</v>
      </c>
      <c r="F239" s="30" t="n">
        <f aca="false">IF(OR(AND(Responses!K239="No",Responses!L239&lt;&gt;""),AND(Responses!K239="Yes",Responses!L239="")),1,0)</f>
        <v>0</v>
      </c>
      <c r="G239" s="30" t="n">
        <f aca="false">SUM(B239:F239)</f>
        <v>0</v>
      </c>
      <c r="H239" s="30" t="str">
        <f aca="false">IF(G239=0,"Valid","Review")</f>
        <v>Valid</v>
      </c>
      <c r="I239" s="30" t="n">
        <f aca="false">IF(G239=0,1,0)</f>
        <v>1</v>
      </c>
    </row>
    <row r="240" customFormat="false" ht="15" hidden="false" customHeight="false" outlineLevel="0" collapsed="false">
      <c r="A240" s="30" t="str">
        <f aca="false">Responses!A240</f>
        <v>S0043</v>
      </c>
      <c r="B240" s="30" t="n">
        <f aca="false">IF(COUNTIF(Responses!$A$2:A240,Responses!A240)&gt;1,1,0)</f>
        <v>0</v>
      </c>
      <c r="C240" s="30" t="n">
        <f aca="false">IF(OR(Responses!D240="",Responses!E240="",Responses!J240="",Responses!K240="",Responses!I240=""),1,0)</f>
        <v>0</v>
      </c>
      <c r="D240" s="30" t="n">
        <f aca="false">IF(Responses!I240="",0,IF(OR(Responses!I240&lt;Assumptions!$B$4,Responses!I240&gt;Assumptions!$B$5),1,0))</f>
        <v>0</v>
      </c>
      <c r="E240" s="30" t="n">
        <f aca="false">IF(Responses!Q240&lt;Assumptions!$B$6,1,0)</f>
        <v>0</v>
      </c>
      <c r="F240" s="30" t="n">
        <f aca="false">IF(OR(AND(Responses!K240="No",Responses!L240&lt;&gt;""),AND(Responses!K240="Yes",Responses!L240="")),1,0)</f>
        <v>0</v>
      </c>
      <c r="G240" s="30" t="n">
        <f aca="false">SUM(B240:F240)</f>
        <v>0</v>
      </c>
      <c r="H240" s="30" t="str">
        <f aca="false">IF(G240=0,"Valid","Review")</f>
        <v>Valid</v>
      </c>
      <c r="I240" s="30" t="n">
        <f aca="false">IF(G240=0,1,0)</f>
        <v>1</v>
      </c>
    </row>
    <row r="241" customFormat="false" ht="15" hidden="false" customHeight="false" outlineLevel="0" collapsed="false">
      <c r="A241" s="30" t="str">
        <f aca="false">Responses!A241</f>
        <v>S0084</v>
      </c>
      <c r="B241" s="30" t="n">
        <f aca="false">IF(COUNTIF(Responses!$A$2:A241,Responses!A241)&gt;1,1,0)</f>
        <v>0</v>
      </c>
      <c r="C241" s="30" t="n">
        <f aca="false">IF(OR(Responses!D241="",Responses!E241="",Responses!J241="",Responses!K241="",Responses!I241=""),1,0)</f>
        <v>0</v>
      </c>
      <c r="D241" s="30" t="n">
        <f aca="false">IF(Responses!I241="",0,IF(OR(Responses!I241&lt;Assumptions!$B$4,Responses!I241&gt;Assumptions!$B$5),1,0))</f>
        <v>0</v>
      </c>
      <c r="E241" s="30" t="n">
        <f aca="false">IF(Responses!Q241&lt;Assumptions!$B$6,1,0)</f>
        <v>0</v>
      </c>
      <c r="F241" s="30" t="n">
        <f aca="false">IF(OR(AND(Responses!K241="No",Responses!L241&lt;&gt;""),AND(Responses!K241="Yes",Responses!L241="")),1,0)</f>
        <v>0</v>
      </c>
      <c r="G241" s="30" t="n">
        <f aca="false">SUM(B241:F241)</f>
        <v>0</v>
      </c>
      <c r="H241" s="30" t="str">
        <f aca="false">IF(G241=0,"Valid","Review")</f>
        <v>Valid</v>
      </c>
      <c r="I241" s="30" t="n">
        <f aca="false">IF(G241=0,1,0)</f>
        <v>1</v>
      </c>
    </row>
    <row r="242" customFormat="false" ht="15" hidden="false" customHeight="false" outlineLevel="0" collapsed="false">
      <c r="A242" s="30" t="str">
        <f aca="false">Responses!A242</f>
        <v>S0094</v>
      </c>
      <c r="B242" s="30" t="n">
        <f aca="false">IF(COUNTIF(Responses!$A$2:A242,Responses!A242)&gt;1,1,0)</f>
        <v>0</v>
      </c>
      <c r="C242" s="30" t="n">
        <f aca="false">IF(OR(Responses!D242="",Responses!E242="",Responses!J242="",Responses!K242="",Responses!I242=""),1,0)</f>
        <v>0</v>
      </c>
      <c r="D242" s="30" t="n">
        <f aca="false">IF(Responses!I242="",0,IF(OR(Responses!I242&lt;Assumptions!$B$4,Responses!I242&gt;Assumptions!$B$5),1,0))</f>
        <v>0</v>
      </c>
      <c r="E242" s="30" t="n">
        <f aca="false">IF(Responses!Q242&lt;Assumptions!$B$6,1,0)</f>
        <v>0</v>
      </c>
      <c r="F242" s="30" t="n">
        <f aca="false">IF(OR(AND(Responses!K242="No",Responses!L242&lt;&gt;""),AND(Responses!K242="Yes",Responses!L242="")),1,0)</f>
        <v>0</v>
      </c>
      <c r="G242" s="30" t="n">
        <f aca="false">SUM(B242:F242)</f>
        <v>0</v>
      </c>
      <c r="H242" s="30" t="str">
        <f aca="false">IF(G242=0,"Valid","Review")</f>
        <v>Valid</v>
      </c>
      <c r="I242" s="30" t="n">
        <f aca="false">IF(G242=0,1,0)</f>
        <v>1</v>
      </c>
    </row>
    <row r="243" customFormat="false" ht="15" hidden="false" customHeight="false" outlineLevel="0" collapsed="false">
      <c r="A243" s="30" t="str">
        <f aca="false">Responses!A243</f>
        <v>S0112</v>
      </c>
      <c r="B243" s="30" t="n">
        <f aca="false">IF(COUNTIF(Responses!$A$2:A243,Responses!A243)&gt;1,1,0)</f>
        <v>0</v>
      </c>
      <c r="C243" s="30" t="n">
        <f aca="false">IF(OR(Responses!D243="",Responses!E243="",Responses!J243="",Responses!K243="",Responses!I243=""),1,0)</f>
        <v>0</v>
      </c>
      <c r="D243" s="30" t="n">
        <f aca="false">IF(Responses!I243="",0,IF(OR(Responses!I243&lt;Assumptions!$B$4,Responses!I243&gt;Assumptions!$B$5),1,0))</f>
        <v>0</v>
      </c>
      <c r="E243" s="30" t="n">
        <f aca="false">IF(Responses!Q243&lt;Assumptions!$B$6,1,0)</f>
        <v>0</v>
      </c>
      <c r="F243" s="30" t="n">
        <f aca="false">IF(OR(AND(Responses!K243="No",Responses!L243&lt;&gt;""),AND(Responses!K243="Yes",Responses!L243="")),1,0)</f>
        <v>0</v>
      </c>
      <c r="G243" s="30" t="n">
        <f aca="false">SUM(B243:F243)</f>
        <v>0</v>
      </c>
      <c r="H243" s="30" t="str">
        <f aca="false">IF(G243=0,"Valid","Review")</f>
        <v>Valid</v>
      </c>
      <c r="I243" s="30" t="n">
        <f aca="false">IF(G243=0,1,0)</f>
        <v>1</v>
      </c>
    </row>
    <row r="244" customFormat="false" ht="15" hidden="false" customHeight="false" outlineLevel="0" collapsed="false">
      <c r="A244" s="30" t="str">
        <f aca="false">Responses!A244</f>
        <v>S0114</v>
      </c>
      <c r="B244" s="30" t="n">
        <f aca="false">IF(COUNTIF(Responses!$A$2:A244,Responses!A244)&gt;1,1,0)</f>
        <v>0</v>
      </c>
      <c r="C244" s="30" t="n">
        <f aca="false">IF(OR(Responses!D244="",Responses!E244="",Responses!J244="",Responses!K244="",Responses!I244=""),1,0)</f>
        <v>0</v>
      </c>
      <c r="D244" s="30" t="n">
        <f aca="false">IF(Responses!I244="",0,IF(OR(Responses!I244&lt;Assumptions!$B$4,Responses!I244&gt;Assumptions!$B$5),1,0))</f>
        <v>0</v>
      </c>
      <c r="E244" s="30" t="n">
        <f aca="false">IF(Responses!Q244&lt;Assumptions!$B$6,1,0)</f>
        <v>0</v>
      </c>
      <c r="F244" s="30" t="n">
        <f aca="false">IF(OR(AND(Responses!K244="No",Responses!L244&lt;&gt;""),AND(Responses!K244="Yes",Responses!L244="")),1,0)</f>
        <v>0</v>
      </c>
      <c r="G244" s="30" t="n">
        <f aca="false">SUM(B244:F244)</f>
        <v>0</v>
      </c>
      <c r="H244" s="30" t="str">
        <f aca="false">IF(G244=0,"Valid","Review")</f>
        <v>Valid</v>
      </c>
      <c r="I244" s="30" t="n">
        <f aca="false">IF(G244=0,1,0)</f>
        <v>1</v>
      </c>
    </row>
    <row r="245" customFormat="false" ht="15" hidden="false" customHeight="false" outlineLevel="0" collapsed="false">
      <c r="A245" s="30" t="str">
        <f aca="false">Responses!A245</f>
        <v>S0121</v>
      </c>
      <c r="B245" s="30" t="n">
        <f aca="false">IF(COUNTIF(Responses!$A$2:A245,Responses!A245)&gt;1,1,0)</f>
        <v>0</v>
      </c>
      <c r="C245" s="30" t="n">
        <f aca="false">IF(OR(Responses!D245="",Responses!E245="",Responses!J245="",Responses!K245="",Responses!I245=""),1,0)</f>
        <v>0</v>
      </c>
      <c r="D245" s="30" t="n">
        <f aca="false">IF(Responses!I245="",0,IF(OR(Responses!I245&lt;Assumptions!$B$4,Responses!I245&gt;Assumptions!$B$5),1,0))</f>
        <v>0</v>
      </c>
      <c r="E245" s="30" t="n">
        <f aca="false">IF(Responses!Q245&lt;Assumptions!$B$6,1,0)</f>
        <v>0</v>
      </c>
      <c r="F245" s="30" t="n">
        <f aca="false">IF(OR(AND(Responses!K245="No",Responses!L245&lt;&gt;""),AND(Responses!K245="Yes",Responses!L245="")),1,0)</f>
        <v>0</v>
      </c>
      <c r="G245" s="30" t="n">
        <f aca="false">SUM(B245:F245)</f>
        <v>0</v>
      </c>
      <c r="H245" s="30" t="str">
        <f aca="false">IF(G245=0,"Valid","Review")</f>
        <v>Valid</v>
      </c>
      <c r="I245" s="30" t="n">
        <f aca="false">IF(G245=0,1,0)</f>
        <v>1</v>
      </c>
    </row>
    <row r="246" customFormat="false" ht="15" hidden="false" customHeight="false" outlineLevel="0" collapsed="false">
      <c r="A246" s="30" t="str">
        <f aca="false">Responses!A246</f>
        <v>S0130</v>
      </c>
      <c r="B246" s="30" t="n">
        <f aca="false">IF(COUNTIF(Responses!$A$2:A246,Responses!A246)&gt;1,1,0)</f>
        <v>0</v>
      </c>
      <c r="C246" s="30" t="n">
        <f aca="false">IF(OR(Responses!D246="",Responses!E246="",Responses!J246="",Responses!K246="",Responses!I246=""),1,0)</f>
        <v>0</v>
      </c>
      <c r="D246" s="30" t="n">
        <f aca="false">IF(Responses!I246="",0,IF(OR(Responses!I246&lt;Assumptions!$B$4,Responses!I246&gt;Assumptions!$B$5),1,0))</f>
        <v>0</v>
      </c>
      <c r="E246" s="30" t="n">
        <f aca="false">IF(Responses!Q246&lt;Assumptions!$B$6,1,0)</f>
        <v>0</v>
      </c>
      <c r="F246" s="30" t="n">
        <f aca="false">IF(OR(AND(Responses!K246="No",Responses!L246&lt;&gt;""),AND(Responses!K246="Yes",Responses!L246="")),1,0)</f>
        <v>0</v>
      </c>
      <c r="G246" s="30" t="n">
        <f aca="false">SUM(B246:F246)</f>
        <v>0</v>
      </c>
      <c r="H246" s="30" t="str">
        <f aca="false">IF(G246=0,"Valid","Review")</f>
        <v>Valid</v>
      </c>
      <c r="I246" s="30" t="n">
        <f aca="false">IF(G246=0,1,0)</f>
        <v>1</v>
      </c>
    </row>
    <row r="247" customFormat="false" ht="15" hidden="false" customHeight="false" outlineLevel="0" collapsed="false">
      <c r="A247" s="30" t="str">
        <f aca="false">Responses!A247</f>
        <v>S0209</v>
      </c>
      <c r="B247" s="30" t="n">
        <f aca="false">IF(COUNTIF(Responses!$A$2:A247,Responses!A247)&gt;1,1,0)</f>
        <v>0</v>
      </c>
      <c r="C247" s="30" t="n">
        <f aca="false">IF(OR(Responses!D247="",Responses!E247="",Responses!J247="",Responses!K247="",Responses!I247=""),1,0)</f>
        <v>0</v>
      </c>
      <c r="D247" s="30" t="n">
        <f aca="false">IF(Responses!I247="",0,IF(OR(Responses!I247&lt;Assumptions!$B$4,Responses!I247&gt;Assumptions!$B$5),1,0))</f>
        <v>0</v>
      </c>
      <c r="E247" s="30" t="n">
        <f aca="false">IF(Responses!Q247&lt;Assumptions!$B$6,1,0)</f>
        <v>0</v>
      </c>
      <c r="F247" s="30" t="n">
        <f aca="false">IF(OR(AND(Responses!K247="No",Responses!L247&lt;&gt;""),AND(Responses!K247="Yes",Responses!L247="")),1,0)</f>
        <v>0</v>
      </c>
      <c r="G247" s="30" t="n">
        <f aca="false">SUM(B247:F247)</f>
        <v>0</v>
      </c>
      <c r="H247" s="30" t="str">
        <f aca="false">IF(G247=0,"Valid","Review")</f>
        <v>Valid</v>
      </c>
      <c r="I247" s="30" t="n">
        <f aca="false">IF(G247=0,1,0)</f>
        <v>1</v>
      </c>
    </row>
    <row r="248" customFormat="false" ht="15" hidden="false" customHeight="false" outlineLevel="0" collapsed="false">
      <c r="A248" s="30" t="str">
        <f aca="false">Responses!A248</f>
        <v>S0211</v>
      </c>
      <c r="B248" s="30" t="n">
        <f aca="false">IF(COUNTIF(Responses!$A$2:A248,Responses!A248)&gt;1,1,0)</f>
        <v>0</v>
      </c>
      <c r="C248" s="30" t="n">
        <f aca="false">IF(OR(Responses!D248="",Responses!E248="",Responses!J248="",Responses!K248="",Responses!I248=""),1,0)</f>
        <v>0</v>
      </c>
      <c r="D248" s="30" t="n">
        <f aca="false">IF(Responses!I248="",0,IF(OR(Responses!I248&lt;Assumptions!$B$4,Responses!I248&gt;Assumptions!$B$5),1,0))</f>
        <v>0</v>
      </c>
      <c r="E248" s="30" t="n">
        <f aca="false">IF(Responses!Q248&lt;Assumptions!$B$6,1,0)</f>
        <v>1</v>
      </c>
      <c r="F248" s="30" t="n">
        <f aca="false">IF(OR(AND(Responses!K248="No",Responses!L248&lt;&gt;""),AND(Responses!K248="Yes",Responses!L248="")),1,0)</f>
        <v>1</v>
      </c>
      <c r="G248" s="30" t="n">
        <f aca="false">SUM(B248:F248)</f>
        <v>2</v>
      </c>
      <c r="H248" s="30" t="str">
        <f aca="false">IF(G248=0,"Valid","Review")</f>
        <v>Review</v>
      </c>
      <c r="I248" s="30" t="n">
        <f aca="false">IF(G248=0,1,0)</f>
        <v>0</v>
      </c>
    </row>
    <row r="249" customFormat="false" ht="15" hidden="false" customHeight="false" outlineLevel="0" collapsed="false">
      <c r="A249" s="30" t="str">
        <f aca="false">Responses!A249</f>
        <v>S0230</v>
      </c>
      <c r="B249" s="30" t="n">
        <f aca="false">IF(COUNTIF(Responses!$A$2:A249,Responses!A249)&gt;1,1,0)</f>
        <v>0</v>
      </c>
      <c r="C249" s="30" t="n">
        <f aca="false">IF(OR(Responses!D249="",Responses!E249="",Responses!J249="",Responses!K249="",Responses!I249=""),1,0)</f>
        <v>0</v>
      </c>
      <c r="D249" s="30" t="n">
        <f aca="false">IF(Responses!I249="",0,IF(OR(Responses!I249&lt;Assumptions!$B$4,Responses!I249&gt;Assumptions!$B$5),1,0))</f>
        <v>0</v>
      </c>
      <c r="E249" s="30" t="n">
        <f aca="false">IF(Responses!Q249&lt;Assumptions!$B$6,1,0)</f>
        <v>0</v>
      </c>
      <c r="F249" s="30" t="n">
        <f aca="false">IF(OR(AND(Responses!K249="No",Responses!L249&lt;&gt;""),AND(Responses!K249="Yes",Responses!L249="")),1,0)</f>
        <v>0</v>
      </c>
      <c r="G249" s="30" t="n">
        <f aca="false">SUM(B249:F249)</f>
        <v>0</v>
      </c>
      <c r="H249" s="30" t="str">
        <f aca="false">IF(G249=0,"Valid","Review")</f>
        <v>Valid</v>
      </c>
      <c r="I249" s="30" t="n">
        <f aca="false">IF(G249=0,1,0)</f>
        <v>1</v>
      </c>
    </row>
    <row r="250" customFormat="false" ht="15" hidden="false" customHeight="false" outlineLevel="0" collapsed="false">
      <c r="A250" s="30" t="str">
        <f aca="false">Responses!A250</f>
        <v>S0236</v>
      </c>
      <c r="B250" s="30" t="n">
        <f aca="false">IF(COUNTIF(Responses!$A$2:A250,Responses!A250)&gt;1,1,0)</f>
        <v>0</v>
      </c>
      <c r="C250" s="30" t="n">
        <f aca="false">IF(OR(Responses!D250="",Responses!E250="",Responses!J250="",Responses!K250="",Responses!I250=""),1,0)</f>
        <v>0</v>
      </c>
      <c r="D250" s="30" t="n">
        <f aca="false">IF(Responses!I250="",0,IF(OR(Responses!I250&lt;Assumptions!$B$4,Responses!I250&gt;Assumptions!$B$5),1,0))</f>
        <v>0</v>
      </c>
      <c r="E250" s="30" t="n">
        <f aca="false">IF(Responses!Q250&lt;Assumptions!$B$6,1,0)</f>
        <v>0</v>
      </c>
      <c r="F250" s="30" t="n">
        <f aca="false">IF(OR(AND(Responses!K250="No",Responses!L250&lt;&gt;""),AND(Responses!K250="Yes",Responses!L250="")),1,0)</f>
        <v>0</v>
      </c>
      <c r="G250" s="30" t="n">
        <f aca="false">SUM(B250:F250)</f>
        <v>0</v>
      </c>
      <c r="H250" s="30" t="str">
        <f aca="false">IF(G250=0,"Valid","Review")</f>
        <v>Valid</v>
      </c>
      <c r="I250" s="30" t="n">
        <f aca="false">IF(G250=0,1,0)</f>
        <v>1</v>
      </c>
    </row>
    <row r="251" customFormat="false" ht="15" hidden="false" customHeight="false" outlineLevel="0" collapsed="false">
      <c r="A251" s="30" t="str">
        <f aca="false">Responses!A251</f>
        <v>S0247</v>
      </c>
      <c r="B251" s="30" t="n">
        <f aca="false">IF(COUNTIF(Responses!$A$2:A251,Responses!A251)&gt;1,1,0)</f>
        <v>0</v>
      </c>
      <c r="C251" s="30" t="n">
        <f aca="false">IF(OR(Responses!D251="",Responses!E251="",Responses!J251="",Responses!K251="",Responses!I251=""),1,0)</f>
        <v>0</v>
      </c>
      <c r="D251" s="30" t="n">
        <f aca="false">IF(Responses!I251="",0,IF(OR(Responses!I251&lt;Assumptions!$B$4,Responses!I251&gt;Assumptions!$B$5),1,0))</f>
        <v>0</v>
      </c>
      <c r="E251" s="30" t="n">
        <f aca="false">IF(Responses!Q251&lt;Assumptions!$B$6,1,0)</f>
        <v>0</v>
      </c>
      <c r="F251" s="30" t="n">
        <f aca="false">IF(OR(AND(Responses!K251="No",Responses!L251&lt;&gt;""),AND(Responses!K251="Yes",Responses!L251="")),1,0)</f>
        <v>0</v>
      </c>
      <c r="G251" s="30" t="n">
        <f aca="false">SUM(B251:F251)</f>
        <v>0</v>
      </c>
      <c r="H251" s="30" t="str">
        <f aca="false">IF(G251=0,"Valid","Review")</f>
        <v>Valid</v>
      </c>
      <c r="I251" s="30" t="n">
        <f aca="false">IF(G251=0,1,0)</f>
        <v>1</v>
      </c>
    </row>
    <row r="252" customFormat="false" ht="15" hidden="false" customHeight="false" outlineLevel="0" collapsed="false">
      <c r="A252" s="30" t="str">
        <f aca="false">Responses!A252</f>
        <v>S0276</v>
      </c>
      <c r="B252" s="30" t="n">
        <f aca="false">IF(COUNTIF(Responses!$A$2:A252,Responses!A252)&gt;1,1,0)</f>
        <v>0</v>
      </c>
      <c r="C252" s="30" t="n">
        <f aca="false">IF(OR(Responses!D252="",Responses!E252="",Responses!J252="",Responses!K252="",Responses!I252=""),1,0)</f>
        <v>0</v>
      </c>
      <c r="D252" s="30" t="n">
        <f aca="false">IF(Responses!I252="",0,IF(OR(Responses!I252&lt;Assumptions!$B$4,Responses!I252&gt;Assumptions!$B$5),1,0))</f>
        <v>0</v>
      </c>
      <c r="E252" s="30" t="n">
        <f aca="false">IF(Responses!Q252&lt;Assumptions!$B$6,1,0)</f>
        <v>0</v>
      </c>
      <c r="F252" s="30" t="n">
        <f aca="false">IF(OR(AND(Responses!K252="No",Responses!L252&lt;&gt;""),AND(Responses!K252="Yes",Responses!L252="")),1,0)</f>
        <v>0</v>
      </c>
      <c r="G252" s="30" t="n">
        <f aca="false">SUM(B252:F252)</f>
        <v>0</v>
      </c>
      <c r="H252" s="30" t="str">
        <f aca="false">IF(G252=0,"Valid","Review")</f>
        <v>Valid</v>
      </c>
      <c r="I252" s="30" t="n">
        <f aca="false">IF(G252=0,1,0)</f>
        <v>1</v>
      </c>
    </row>
    <row r="253" customFormat="false" ht="15" hidden="false" customHeight="false" outlineLevel="0" collapsed="false">
      <c r="A253" s="30" t="str">
        <f aca="false">Responses!A253</f>
        <v>S0285</v>
      </c>
      <c r="B253" s="30" t="n">
        <f aca="false">IF(COUNTIF(Responses!$A$2:A253,Responses!A253)&gt;1,1,0)</f>
        <v>0</v>
      </c>
      <c r="C253" s="30" t="n">
        <f aca="false">IF(OR(Responses!D253="",Responses!E253="",Responses!J253="",Responses!K253="",Responses!I253=""),1,0)</f>
        <v>0</v>
      </c>
      <c r="D253" s="30" t="n">
        <f aca="false">IF(Responses!I253="",0,IF(OR(Responses!I253&lt;Assumptions!$B$4,Responses!I253&gt;Assumptions!$B$5),1,0))</f>
        <v>0</v>
      </c>
      <c r="E253" s="30" t="n">
        <f aca="false">IF(Responses!Q253&lt;Assumptions!$B$6,1,0)</f>
        <v>0</v>
      </c>
      <c r="F253" s="30" t="n">
        <f aca="false">IF(OR(AND(Responses!K253="No",Responses!L253&lt;&gt;""),AND(Responses!K253="Yes",Responses!L253="")),1,0)</f>
        <v>0</v>
      </c>
      <c r="G253" s="30" t="n">
        <f aca="false">SUM(B253:F253)</f>
        <v>0</v>
      </c>
      <c r="H253" s="30" t="str">
        <f aca="false">IF(G253=0,"Valid","Review")</f>
        <v>Valid</v>
      </c>
      <c r="I253" s="30" t="n">
        <f aca="false">IF(G253=0,1,0)</f>
        <v>1</v>
      </c>
    </row>
    <row r="254" customFormat="false" ht="15" hidden="false" customHeight="false" outlineLevel="0" collapsed="false">
      <c r="A254" s="30" t="str">
        <f aca="false">Responses!A254</f>
        <v>S0287</v>
      </c>
      <c r="B254" s="30" t="n">
        <f aca="false">IF(COUNTIF(Responses!$A$2:A254,Responses!A254)&gt;1,1,0)</f>
        <v>0</v>
      </c>
      <c r="C254" s="30" t="n">
        <f aca="false">IF(OR(Responses!D254="",Responses!E254="",Responses!J254="",Responses!K254="",Responses!I254=""),1,0)</f>
        <v>0</v>
      </c>
      <c r="D254" s="30" t="n">
        <f aca="false">IF(Responses!I254="",0,IF(OR(Responses!I254&lt;Assumptions!$B$4,Responses!I254&gt;Assumptions!$B$5),1,0))</f>
        <v>0</v>
      </c>
      <c r="E254" s="30" t="n">
        <f aca="false">IF(Responses!Q254&lt;Assumptions!$B$6,1,0)</f>
        <v>0</v>
      </c>
      <c r="F254" s="30" t="n">
        <f aca="false">IF(OR(AND(Responses!K254="No",Responses!L254&lt;&gt;""),AND(Responses!K254="Yes",Responses!L254="")),1,0)</f>
        <v>0</v>
      </c>
      <c r="G254" s="30" t="n">
        <f aca="false">SUM(B254:F254)</f>
        <v>0</v>
      </c>
      <c r="H254" s="30" t="str">
        <f aca="false">IF(G254=0,"Valid","Review")</f>
        <v>Valid</v>
      </c>
      <c r="I254" s="30" t="n">
        <f aca="false">IF(G254=0,1,0)</f>
        <v>1</v>
      </c>
    </row>
    <row r="255" customFormat="false" ht="15" hidden="false" customHeight="false" outlineLevel="0" collapsed="false">
      <c r="A255" s="30" t="str">
        <f aca="false">Responses!A255</f>
        <v>S0287</v>
      </c>
      <c r="B255" s="30" t="n">
        <f aca="false">IF(COUNTIF(Responses!$A$2:A255,Responses!A255)&gt;1,1,0)</f>
        <v>1</v>
      </c>
      <c r="C255" s="30" t="n">
        <f aca="false">IF(OR(Responses!D255="",Responses!E255="",Responses!J255="",Responses!K255="",Responses!I255=""),1,0)</f>
        <v>0</v>
      </c>
      <c r="D255" s="30" t="n">
        <f aca="false">IF(Responses!I255="",0,IF(OR(Responses!I255&lt;Assumptions!$B$4,Responses!I255&gt;Assumptions!$B$5),1,0))</f>
        <v>0</v>
      </c>
      <c r="E255" s="30" t="n">
        <f aca="false">IF(Responses!Q255&lt;Assumptions!$B$6,1,0)</f>
        <v>0</v>
      </c>
      <c r="F255" s="30" t="n">
        <f aca="false">IF(OR(AND(Responses!K255="No",Responses!L255&lt;&gt;""),AND(Responses!K255="Yes",Responses!L255="")),1,0)</f>
        <v>0</v>
      </c>
      <c r="G255" s="30" t="n">
        <f aca="false">SUM(B255:F255)</f>
        <v>1</v>
      </c>
      <c r="H255" s="30" t="str">
        <f aca="false">IF(G255=0,"Valid","Review")</f>
        <v>Review</v>
      </c>
      <c r="I255" s="30" t="n">
        <f aca="false">IF(G255=0,1,0)</f>
        <v>0</v>
      </c>
    </row>
    <row r="256" customFormat="false" ht="15" hidden="false" customHeight="false" outlineLevel="0" collapsed="false">
      <c r="A256" s="30" t="str">
        <f aca="false">Responses!A256</f>
        <v>S0303</v>
      </c>
      <c r="B256" s="30" t="n">
        <f aca="false">IF(COUNTIF(Responses!$A$2:A256,Responses!A256)&gt;1,1,0)</f>
        <v>0</v>
      </c>
      <c r="C256" s="30" t="n">
        <f aca="false">IF(OR(Responses!D256="",Responses!E256="",Responses!J256="",Responses!K256="",Responses!I256=""),1,0)</f>
        <v>0</v>
      </c>
      <c r="D256" s="30" t="n">
        <f aca="false">IF(Responses!I256="",0,IF(OR(Responses!I256&lt;Assumptions!$B$4,Responses!I256&gt;Assumptions!$B$5),1,0))</f>
        <v>0</v>
      </c>
      <c r="E256" s="30" t="n">
        <f aca="false">IF(Responses!Q256&lt;Assumptions!$B$6,1,0)</f>
        <v>0</v>
      </c>
      <c r="F256" s="30" t="n">
        <f aca="false">IF(OR(AND(Responses!K256="No",Responses!L256&lt;&gt;""),AND(Responses!K256="Yes",Responses!L256="")),1,0)</f>
        <v>0</v>
      </c>
      <c r="G256" s="30" t="n">
        <f aca="false">SUM(B256:F256)</f>
        <v>0</v>
      </c>
      <c r="H256" s="30" t="str">
        <f aca="false">IF(G256=0,"Valid","Review")</f>
        <v>Valid</v>
      </c>
      <c r="I256" s="30" t="n">
        <f aca="false">IF(G256=0,1,0)</f>
        <v>1</v>
      </c>
    </row>
    <row r="257" customFormat="false" ht="15" hidden="false" customHeight="false" outlineLevel="0" collapsed="false">
      <c r="A257" s="30" t="str">
        <f aca="false">Responses!A257</f>
        <v>S0026</v>
      </c>
      <c r="B257" s="30" t="n">
        <f aca="false">IF(COUNTIF(Responses!$A$2:A257,Responses!A257)&gt;1,1,0)</f>
        <v>0</v>
      </c>
      <c r="C257" s="30" t="n">
        <f aca="false">IF(OR(Responses!D257="",Responses!E257="",Responses!J257="",Responses!K257="",Responses!I257=""),1,0)</f>
        <v>0</v>
      </c>
      <c r="D257" s="30" t="n">
        <f aca="false">IF(Responses!I257="",0,IF(OR(Responses!I257&lt;Assumptions!$B$4,Responses!I257&gt;Assumptions!$B$5),1,0))</f>
        <v>0</v>
      </c>
      <c r="E257" s="30" t="n">
        <f aca="false">IF(Responses!Q257&lt;Assumptions!$B$6,1,0)</f>
        <v>0</v>
      </c>
      <c r="F257" s="30" t="n">
        <f aca="false">IF(OR(AND(Responses!K257="No",Responses!L257&lt;&gt;""),AND(Responses!K257="Yes",Responses!L257="")),1,0)</f>
        <v>0</v>
      </c>
      <c r="G257" s="30" t="n">
        <f aca="false">SUM(B257:F257)</f>
        <v>0</v>
      </c>
      <c r="H257" s="30" t="str">
        <f aca="false">IF(G257=0,"Valid","Review")</f>
        <v>Valid</v>
      </c>
      <c r="I257" s="30" t="n">
        <f aca="false">IF(G257=0,1,0)</f>
        <v>1</v>
      </c>
    </row>
    <row r="258" customFormat="false" ht="15" hidden="false" customHeight="false" outlineLevel="0" collapsed="false">
      <c r="A258" s="30" t="str">
        <f aca="false">Responses!A258</f>
        <v>S0052</v>
      </c>
      <c r="B258" s="30" t="n">
        <f aca="false">IF(COUNTIF(Responses!$A$2:A258,Responses!A258)&gt;1,1,0)</f>
        <v>0</v>
      </c>
      <c r="C258" s="30" t="n">
        <f aca="false">IF(OR(Responses!D258="",Responses!E258="",Responses!J258="",Responses!K258="",Responses!I258=""),1,0)</f>
        <v>0</v>
      </c>
      <c r="D258" s="30" t="n">
        <f aca="false">IF(Responses!I258="",0,IF(OR(Responses!I258&lt;Assumptions!$B$4,Responses!I258&gt;Assumptions!$B$5),1,0))</f>
        <v>0</v>
      </c>
      <c r="E258" s="30" t="n">
        <f aca="false">IF(Responses!Q258&lt;Assumptions!$B$6,1,0)</f>
        <v>0</v>
      </c>
      <c r="F258" s="30" t="n">
        <f aca="false">IF(OR(AND(Responses!K258="No",Responses!L258&lt;&gt;""),AND(Responses!K258="Yes",Responses!L258="")),1,0)</f>
        <v>0</v>
      </c>
      <c r="G258" s="30" t="n">
        <f aca="false">SUM(B258:F258)</f>
        <v>0</v>
      </c>
      <c r="H258" s="30" t="str">
        <f aca="false">IF(G258=0,"Valid","Review")</f>
        <v>Valid</v>
      </c>
      <c r="I258" s="30" t="n">
        <f aca="false">IF(G258=0,1,0)</f>
        <v>1</v>
      </c>
    </row>
    <row r="259" customFormat="false" ht="15" hidden="false" customHeight="false" outlineLevel="0" collapsed="false">
      <c r="A259" s="30" t="str">
        <f aca="false">Responses!A259</f>
        <v>S0071</v>
      </c>
      <c r="B259" s="30" t="n">
        <f aca="false">IF(COUNTIF(Responses!$A$2:A259,Responses!A259)&gt;1,1,0)</f>
        <v>0</v>
      </c>
      <c r="C259" s="30" t="n">
        <f aca="false">IF(OR(Responses!D259="",Responses!E259="",Responses!J259="",Responses!K259="",Responses!I259=""),1,0)</f>
        <v>0</v>
      </c>
      <c r="D259" s="30" t="n">
        <f aca="false">IF(Responses!I259="",0,IF(OR(Responses!I259&lt;Assumptions!$B$4,Responses!I259&gt;Assumptions!$B$5),1,0))</f>
        <v>0</v>
      </c>
      <c r="E259" s="30" t="n">
        <f aca="false">IF(Responses!Q259&lt;Assumptions!$B$6,1,0)</f>
        <v>0</v>
      </c>
      <c r="F259" s="30" t="n">
        <f aca="false">IF(OR(AND(Responses!K259="No",Responses!L259&lt;&gt;""),AND(Responses!K259="Yes",Responses!L259="")),1,0)</f>
        <v>0</v>
      </c>
      <c r="G259" s="30" t="n">
        <f aca="false">SUM(B259:F259)</f>
        <v>0</v>
      </c>
      <c r="H259" s="30" t="str">
        <f aca="false">IF(G259=0,"Valid","Review")</f>
        <v>Valid</v>
      </c>
      <c r="I259" s="30" t="n">
        <f aca="false">IF(G259=0,1,0)</f>
        <v>1</v>
      </c>
    </row>
    <row r="260" customFormat="false" ht="15" hidden="false" customHeight="false" outlineLevel="0" collapsed="false">
      <c r="A260" s="30" t="str">
        <f aca="false">Responses!A260</f>
        <v>S0081</v>
      </c>
      <c r="B260" s="30" t="n">
        <f aca="false">IF(COUNTIF(Responses!$A$2:A260,Responses!A260)&gt;1,1,0)</f>
        <v>0</v>
      </c>
      <c r="C260" s="30" t="n">
        <f aca="false">IF(OR(Responses!D260="",Responses!E260="",Responses!J260="",Responses!K260="",Responses!I260=""),1,0)</f>
        <v>0</v>
      </c>
      <c r="D260" s="30" t="n">
        <f aca="false">IF(Responses!I260="",0,IF(OR(Responses!I260&lt;Assumptions!$B$4,Responses!I260&gt;Assumptions!$B$5),1,0))</f>
        <v>0</v>
      </c>
      <c r="E260" s="30" t="n">
        <f aca="false">IF(Responses!Q260&lt;Assumptions!$B$6,1,0)</f>
        <v>0</v>
      </c>
      <c r="F260" s="30" t="n">
        <f aca="false">IF(OR(AND(Responses!K260="No",Responses!L260&lt;&gt;""),AND(Responses!K260="Yes",Responses!L260="")),1,0)</f>
        <v>0</v>
      </c>
      <c r="G260" s="30" t="n">
        <f aca="false">SUM(B260:F260)</f>
        <v>0</v>
      </c>
      <c r="H260" s="30" t="str">
        <f aca="false">IF(G260=0,"Valid","Review")</f>
        <v>Valid</v>
      </c>
      <c r="I260" s="30" t="n">
        <f aca="false">IF(G260=0,1,0)</f>
        <v>1</v>
      </c>
    </row>
    <row r="261" customFormat="false" ht="15" hidden="false" customHeight="false" outlineLevel="0" collapsed="false">
      <c r="A261" s="30" t="str">
        <f aca="false">Responses!A261</f>
        <v>S0095</v>
      </c>
      <c r="B261" s="30" t="n">
        <f aca="false">IF(COUNTIF(Responses!$A$2:A261,Responses!A261)&gt;1,1,0)</f>
        <v>0</v>
      </c>
      <c r="C261" s="30" t="n">
        <f aca="false">IF(OR(Responses!D261="",Responses!E261="",Responses!J261="",Responses!K261="",Responses!I261=""),1,0)</f>
        <v>0</v>
      </c>
      <c r="D261" s="30" t="n">
        <f aca="false">IF(Responses!I261="",0,IF(OR(Responses!I261&lt;Assumptions!$B$4,Responses!I261&gt;Assumptions!$B$5),1,0))</f>
        <v>0</v>
      </c>
      <c r="E261" s="30" t="n">
        <f aca="false">IF(Responses!Q261&lt;Assumptions!$B$6,1,0)</f>
        <v>0</v>
      </c>
      <c r="F261" s="30" t="n">
        <f aca="false">IF(OR(AND(Responses!K261="No",Responses!L261&lt;&gt;""),AND(Responses!K261="Yes",Responses!L261="")),1,0)</f>
        <v>0</v>
      </c>
      <c r="G261" s="30" t="n">
        <f aca="false">SUM(B261:F261)</f>
        <v>0</v>
      </c>
      <c r="H261" s="30" t="str">
        <f aca="false">IF(G261=0,"Valid","Review")</f>
        <v>Valid</v>
      </c>
      <c r="I261" s="30" t="n">
        <f aca="false">IF(G261=0,1,0)</f>
        <v>1</v>
      </c>
    </row>
    <row r="262" customFormat="false" ht="15" hidden="false" customHeight="false" outlineLevel="0" collapsed="false">
      <c r="A262" s="30" t="str">
        <f aca="false">Responses!A262</f>
        <v>S0151</v>
      </c>
      <c r="B262" s="30" t="n">
        <f aca="false">IF(COUNTIF(Responses!$A$2:A262,Responses!A262)&gt;1,1,0)</f>
        <v>0</v>
      </c>
      <c r="C262" s="30" t="n">
        <f aca="false">IF(OR(Responses!D262="",Responses!E262="",Responses!J262="",Responses!K262="",Responses!I262=""),1,0)</f>
        <v>0</v>
      </c>
      <c r="D262" s="30" t="n">
        <f aca="false">IF(Responses!I262="",0,IF(OR(Responses!I262&lt;Assumptions!$B$4,Responses!I262&gt;Assumptions!$B$5),1,0))</f>
        <v>0</v>
      </c>
      <c r="E262" s="30" t="n">
        <f aca="false">IF(Responses!Q262&lt;Assumptions!$B$6,1,0)</f>
        <v>0</v>
      </c>
      <c r="F262" s="30" t="n">
        <f aca="false">IF(OR(AND(Responses!K262="No",Responses!L262&lt;&gt;""),AND(Responses!K262="Yes",Responses!L262="")),1,0)</f>
        <v>0</v>
      </c>
      <c r="G262" s="30" t="n">
        <f aca="false">SUM(B262:F262)</f>
        <v>0</v>
      </c>
      <c r="H262" s="30" t="str">
        <f aca="false">IF(G262=0,"Valid","Review")</f>
        <v>Valid</v>
      </c>
      <c r="I262" s="30" t="n">
        <f aca="false">IF(G262=0,1,0)</f>
        <v>1</v>
      </c>
    </row>
    <row r="263" customFormat="false" ht="15" hidden="false" customHeight="false" outlineLevel="0" collapsed="false">
      <c r="A263" s="30" t="str">
        <f aca="false">Responses!A263</f>
        <v>S0160</v>
      </c>
      <c r="B263" s="30" t="n">
        <f aca="false">IF(COUNTIF(Responses!$A$2:A263,Responses!A263)&gt;1,1,0)</f>
        <v>0</v>
      </c>
      <c r="C263" s="30" t="n">
        <f aca="false">IF(OR(Responses!D263="",Responses!E263="",Responses!J263="",Responses!K263="",Responses!I263=""),1,0)</f>
        <v>0</v>
      </c>
      <c r="D263" s="30" t="n">
        <f aca="false">IF(Responses!I263="",0,IF(OR(Responses!I263&lt;Assumptions!$B$4,Responses!I263&gt;Assumptions!$B$5),1,0))</f>
        <v>0</v>
      </c>
      <c r="E263" s="30" t="n">
        <f aca="false">IF(Responses!Q263&lt;Assumptions!$B$6,1,0)</f>
        <v>0</v>
      </c>
      <c r="F263" s="30" t="n">
        <f aca="false">IF(OR(AND(Responses!K263="No",Responses!L263&lt;&gt;""),AND(Responses!K263="Yes",Responses!L263="")),1,0)</f>
        <v>0</v>
      </c>
      <c r="G263" s="30" t="n">
        <f aca="false">SUM(B263:F263)</f>
        <v>0</v>
      </c>
      <c r="H263" s="30" t="str">
        <f aca="false">IF(G263=0,"Valid","Review")</f>
        <v>Valid</v>
      </c>
      <c r="I263" s="30" t="n">
        <f aca="false">IF(G263=0,1,0)</f>
        <v>1</v>
      </c>
    </row>
    <row r="264" customFormat="false" ht="15" hidden="false" customHeight="false" outlineLevel="0" collapsed="false">
      <c r="A264" s="30" t="str">
        <f aca="false">Responses!A264</f>
        <v>S0160</v>
      </c>
      <c r="B264" s="30" t="n">
        <f aca="false">IF(COUNTIF(Responses!$A$2:A264,Responses!A264)&gt;1,1,0)</f>
        <v>1</v>
      </c>
      <c r="C264" s="30" t="n">
        <f aca="false">IF(OR(Responses!D264="",Responses!E264="",Responses!J264="",Responses!K264="",Responses!I264=""),1,0)</f>
        <v>0</v>
      </c>
      <c r="D264" s="30" t="n">
        <f aca="false">IF(Responses!I264="",0,IF(OR(Responses!I264&lt;Assumptions!$B$4,Responses!I264&gt;Assumptions!$B$5),1,0))</f>
        <v>0</v>
      </c>
      <c r="E264" s="30" t="n">
        <f aca="false">IF(Responses!Q264&lt;Assumptions!$B$6,1,0)</f>
        <v>0</v>
      </c>
      <c r="F264" s="30" t="n">
        <f aca="false">IF(OR(AND(Responses!K264="No",Responses!L264&lt;&gt;""),AND(Responses!K264="Yes",Responses!L264="")),1,0)</f>
        <v>0</v>
      </c>
      <c r="G264" s="30" t="n">
        <f aca="false">SUM(B264:F264)</f>
        <v>1</v>
      </c>
      <c r="H264" s="30" t="str">
        <f aca="false">IF(G264=0,"Valid","Review")</f>
        <v>Review</v>
      </c>
      <c r="I264" s="30" t="n">
        <f aca="false">IF(G264=0,1,0)</f>
        <v>0</v>
      </c>
    </row>
    <row r="265" customFormat="false" ht="15" hidden="false" customHeight="false" outlineLevel="0" collapsed="false">
      <c r="A265" s="30" t="str">
        <f aca="false">Responses!A265</f>
        <v>S0161</v>
      </c>
      <c r="B265" s="30" t="n">
        <f aca="false">IF(COUNTIF(Responses!$A$2:A265,Responses!A265)&gt;1,1,0)</f>
        <v>0</v>
      </c>
      <c r="C265" s="30" t="n">
        <f aca="false">IF(OR(Responses!D265="",Responses!E265="",Responses!J265="",Responses!K265="",Responses!I265=""),1,0)</f>
        <v>0</v>
      </c>
      <c r="D265" s="30" t="n">
        <f aca="false">IF(Responses!I265="",0,IF(OR(Responses!I265&lt;Assumptions!$B$4,Responses!I265&gt;Assumptions!$B$5),1,0))</f>
        <v>0</v>
      </c>
      <c r="E265" s="30" t="n">
        <f aca="false">IF(Responses!Q265&lt;Assumptions!$B$6,1,0)</f>
        <v>1</v>
      </c>
      <c r="F265" s="30" t="n">
        <f aca="false">IF(OR(AND(Responses!K265="No",Responses!L265&lt;&gt;""),AND(Responses!K265="Yes",Responses!L265="")),1,0)</f>
        <v>0</v>
      </c>
      <c r="G265" s="30" t="n">
        <f aca="false">SUM(B265:F265)</f>
        <v>1</v>
      </c>
      <c r="H265" s="30" t="str">
        <f aca="false">IF(G265=0,"Valid","Review")</f>
        <v>Review</v>
      </c>
      <c r="I265" s="30" t="n">
        <f aca="false">IF(G265=0,1,0)</f>
        <v>0</v>
      </c>
    </row>
    <row r="266" customFormat="false" ht="15" hidden="false" customHeight="false" outlineLevel="0" collapsed="false">
      <c r="A266" s="30" t="str">
        <f aca="false">Responses!A266</f>
        <v>S0174</v>
      </c>
      <c r="B266" s="30" t="n">
        <f aca="false">IF(COUNTIF(Responses!$A$2:A266,Responses!A266)&gt;1,1,0)</f>
        <v>0</v>
      </c>
      <c r="C266" s="30" t="n">
        <f aca="false">IF(OR(Responses!D266="",Responses!E266="",Responses!J266="",Responses!K266="",Responses!I266=""),1,0)</f>
        <v>0</v>
      </c>
      <c r="D266" s="30" t="n">
        <f aca="false">IF(Responses!I266="",0,IF(OR(Responses!I266&lt;Assumptions!$B$4,Responses!I266&gt;Assumptions!$B$5),1,0))</f>
        <v>0</v>
      </c>
      <c r="E266" s="30" t="n">
        <f aca="false">IF(Responses!Q266&lt;Assumptions!$B$6,1,0)</f>
        <v>1</v>
      </c>
      <c r="F266" s="30" t="n">
        <f aca="false">IF(OR(AND(Responses!K266="No",Responses!L266&lt;&gt;""),AND(Responses!K266="Yes",Responses!L266="")),1,0)</f>
        <v>0</v>
      </c>
      <c r="G266" s="30" t="n">
        <f aca="false">SUM(B266:F266)</f>
        <v>1</v>
      </c>
      <c r="H266" s="30" t="str">
        <f aca="false">IF(G266=0,"Valid","Review")</f>
        <v>Review</v>
      </c>
      <c r="I266" s="30" t="n">
        <f aca="false">IF(G266=0,1,0)</f>
        <v>0</v>
      </c>
    </row>
    <row r="267" customFormat="false" ht="15" hidden="false" customHeight="false" outlineLevel="0" collapsed="false">
      <c r="A267" s="30" t="str">
        <f aca="false">Responses!A267</f>
        <v>S0190</v>
      </c>
      <c r="B267" s="30" t="n">
        <f aca="false">IF(COUNTIF(Responses!$A$2:A267,Responses!A267)&gt;1,1,0)</f>
        <v>0</v>
      </c>
      <c r="C267" s="30" t="n">
        <f aca="false">IF(OR(Responses!D267="",Responses!E267="",Responses!J267="",Responses!K267="",Responses!I267=""),1,0)</f>
        <v>0</v>
      </c>
      <c r="D267" s="30" t="n">
        <f aca="false">IF(Responses!I267="",0,IF(OR(Responses!I267&lt;Assumptions!$B$4,Responses!I267&gt;Assumptions!$B$5),1,0))</f>
        <v>0</v>
      </c>
      <c r="E267" s="30" t="n">
        <f aca="false">IF(Responses!Q267&lt;Assumptions!$B$6,1,0)</f>
        <v>1</v>
      </c>
      <c r="F267" s="30" t="n">
        <f aca="false">IF(OR(AND(Responses!K267="No",Responses!L267&lt;&gt;""),AND(Responses!K267="Yes",Responses!L267="")),1,0)</f>
        <v>0</v>
      </c>
      <c r="G267" s="30" t="n">
        <f aca="false">SUM(B267:F267)</f>
        <v>1</v>
      </c>
      <c r="H267" s="30" t="str">
        <f aca="false">IF(G267=0,"Valid","Review")</f>
        <v>Review</v>
      </c>
      <c r="I267" s="30" t="n">
        <f aca="false">IF(G267=0,1,0)</f>
        <v>0</v>
      </c>
    </row>
    <row r="268" customFormat="false" ht="15" hidden="false" customHeight="false" outlineLevel="0" collapsed="false">
      <c r="A268" s="30" t="str">
        <f aca="false">Responses!A268</f>
        <v>S0192</v>
      </c>
      <c r="B268" s="30" t="n">
        <f aca="false">IF(COUNTIF(Responses!$A$2:A268,Responses!A268)&gt;1,1,0)</f>
        <v>0</v>
      </c>
      <c r="C268" s="30" t="n">
        <f aca="false">IF(OR(Responses!D268="",Responses!E268="",Responses!J268="",Responses!K268="",Responses!I268=""),1,0)</f>
        <v>0</v>
      </c>
      <c r="D268" s="30" t="n">
        <f aca="false">IF(Responses!I268="",0,IF(OR(Responses!I268&lt;Assumptions!$B$4,Responses!I268&gt;Assumptions!$B$5),1,0))</f>
        <v>0</v>
      </c>
      <c r="E268" s="30" t="n">
        <f aca="false">IF(Responses!Q268&lt;Assumptions!$B$6,1,0)</f>
        <v>1</v>
      </c>
      <c r="F268" s="30" t="n">
        <f aca="false">IF(OR(AND(Responses!K268="No",Responses!L268&lt;&gt;""),AND(Responses!K268="Yes",Responses!L268="")),1,0)</f>
        <v>0</v>
      </c>
      <c r="G268" s="30" t="n">
        <f aca="false">SUM(B268:F268)</f>
        <v>1</v>
      </c>
      <c r="H268" s="30" t="str">
        <f aca="false">IF(G268=0,"Valid","Review")</f>
        <v>Review</v>
      </c>
      <c r="I268" s="30" t="n">
        <f aca="false">IF(G268=0,1,0)</f>
        <v>0</v>
      </c>
    </row>
    <row r="269" customFormat="false" ht="15" hidden="false" customHeight="false" outlineLevel="0" collapsed="false">
      <c r="A269" s="30" t="str">
        <f aca="false">Responses!A269</f>
        <v>S0200</v>
      </c>
      <c r="B269" s="30" t="n">
        <f aca="false">IF(COUNTIF(Responses!$A$2:A269,Responses!A269)&gt;1,1,0)</f>
        <v>0</v>
      </c>
      <c r="C269" s="30" t="n">
        <f aca="false">IF(OR(Responses!D269="",Responses!E269="",Responses!J269="",Responses!K269="",Responses!I269=""),1,0)</f>
        <v>0</v>
      </c>
      <c r="D269" s="30" t="n">
        <f aca="false">IF(Responses!I269="",0,IF(OR(Responses!I269&lt;Assumptions!$B$4,Responses!I269&gt;Assumptions!$B$5),1,0))</f>
        <v>0</v>
      </c>
      <c r="E269" s="30" t="n">
        <f aca="false">IF(Responses!Q269&lt;Assumptions!$B$6,1,0)</f>
        <v>0</v>
      </c>
      <c r="F269" s="30" t="n">
        <f aca="false">IF(OR(AND(Responses!K269="No",Responses!L269&lt;&gt;""),AND(Responses!K269="Yes",Responses!L269="")),1,0)</f>
        <v>0</v>
      </c>
      <c r="G269" s="30" t="n">
        <f aca="false">SUM(B269:F269)</f>
        <v>0</v>
      </c>
      <c r="H269" s="30" t="str">
        <f aca="false">IF(G269=0,"Valid","Review")</f>
        <v>Valid</v>
      </c>
      <c r="I269" s="30" t="n">
        <f aca="false">IF(G269=0,1,0)</f>
        <v>1</v>
      </c>
    </row>
    <row r="270" customFormat="false" ht="15" hidden="false" customHeight="false" outlineLevel="0" collapsed="false">
      <c r="A270" s="30" t="str">
        <f aca="false">Responses!A270</f>
        <v>S0208</v>
      </c>
      <c r="B270" s="30" t="n">
        <f aca="false">IF(COUNTIF(Responses!$A$2:A270,Responses!A270)&gt;1,1,0)</f>
        <v>0</v>
      </c>
      <c r="C270" s="30" t="n">
        <f aca="false">IF(OR(Responses!D270="",Responses!E270="",Responses!J270="",Responses!K270="",Responses!I270=""),1,0)</f>
        <v>0</v>
      </c>
      <c r="D270" s="30" t="n">
        <f aca="false">IF(Responses!I270="",0,IF(OR(Responses!I270&lt;Assumptions!$B$4,Responses!I270&gt;Assumptions!$B$5),1,0))</f>
        <v>0</v>
      </c>
      <c r="E270" s="30" t="n">
        <f aca="false">IF(Responses!Q270&lt;Assumptions!$B$6,1,0)</f>
        <v>0</v>
      </c>
      <c r="F270" s="30" t="n">
        <f aca="false">IF(OR(AND(Responses!K270="No",Responses!L270&lt;&gt;""),AND(Responses!K270="Yes",Responses!L270="")),1,0)</f>
        <v>0</v>
      </c>
      <c r="G270" s="30" t="n">
        <f aca="false">SUM(B270:F270)</f>
        <v>0</v>
      </c>
      <c r="H270" s="30" t="str">
        <f aca="false">IF(G270=0,"Valid","Review")</f>
        <v>Valid</v>
      </c>
      <c r="I270" s="30" t="n">
        <f aca="false">IF(G270=0,1,0)</f>
        <v>1</v>
      </c>
    </row>
    <row r="271" customFormat="false" ht="15" hidden="false" customHeight="false" outlineLevel="0" collapsed="false">
      <c r="A271" s="30" t="str">
        <f aca="false">Responses!A271</f>
        <v>S0243</v>
      </c>
      <c r="B271" s="30" t="n">
        <f aca="false">IF(COUNTIF(Responses!$A$2:A271,Responses!A271)&gt;1,1,0)</f>
        <v>0</v>
      </c>
      <c r="C271" s="30" t="n">
        <f aca="false">IF(OR(Responses!D271="",Responses!E271="",Responses!J271="",Responses!K271="",Responses!I271=""),1,0)</f>
        <v>0</v>
      </c>
      <c r="D271" s="30" t="n">
        <f aca="false">IF(Responses!I271="",0,IF(OR(Responses!I271&lt;Assumptions!$B$4,Responses!I271&gt;Assumptions!$B$5),1,0))</f>
        <v>0</v>
      </c>
      <c r="E271" s="30" t="n">
        <f aca="false">IF(Responses!Q271&lt;Assumptions!$B$6,1,0)</f>
        <v>0</v>
      </c>
      <c r="F271" s="30" t="n">
        <f aca="false">IF(OR(AND(Responses!K271="No",Responses!L271&lt;&gt;""),AND(Responses!K271="Yes",Responses!L271="")),1,0)</f>
        <v>0</v>
      </c>
      <c r="G271" s="30" t="n">
        <f aca="false">SUM(B271:F271)</f>
        <v>0</v>
      </c>
      <c r="H271" s="30" t="str">
        <f aca="false">IF(G271=0,"Valid","Review")</f>
        <v>Valid</v>
      </c>
      <c r="I271" s="30" t="n">
        <f aca="false">IF(G271=0,1,0)</f>
        <v>1</v>
      </c>
    </row>
    <row r="272" customFormat="false" ht="15" hidden="false" customHeight="false" outlineLevel="0" collapsed="false">
      <c r="A272" s="30" t="str">
        <f aca="false">Responses!A272</f>
        <v>S0013</v>
      </c>
      <c r="B272" s="30" t="n">
        <f aca="false">IF(COUNTIF(Responses!$A$2:A272,Responses!A272)&gt;1,1,0)</f>
        <v>0</v>
      </c>
      <c r="C272" s="30" t="n">
        <f aca="false">IF(OR(Responses!D272="",Responses!E272="",Responses!J272="",Responses!K272="",Responses!I272=""),1,0)</f>
        <v>0</v>
      </c>
      <c r="D272" s="30" t="n">
        <f aca="false">IF(Responses!I272="",0,IF(OR(Responses!I272&lt;Assumptions!$B$4,Responses!I272&gt;Assumptions!$B$5),1,0))</f>
        <v>0</v>
      </c>
      <c r="E272" s="30" t="n">
        <f aca="false">IF(Responses!Q272&lt;Assumptions!$B$6,1,0)</f>
        <v>0</v>
      </c>
      <c r="F272" s="30" t="n">
        <f aca="false">IF(OR(AND(Responses!K272="No",Responses!L272&lt;&gt;""),AND(Responses!K272="Yes",Responses!L272="")),1,0)</f>
        <v>0</v>
      </c>
      <c r="G272" s="30" t="n">
        <f aca="false">SUM(B272:F272)</f>
        <v>0</v>
      </c>
      <c r="H272" s="30" t="str">
        <f aca="false">IF(G272=0,"Valid","Review")</f>
        <v>Valid</v>
      </c>
      <c r="I272" s="30" t="n">
        <f aca="false">IF(G272=0,1,0)</f>
        <v>1</v>
      </c>
    </row>
    <row r="273" customFormat="false" ht="15" hidden="false" customHeight="false" outlineLevel="0" collapsed="false">
      <c r="A273" s="30" t="str">
        <f aca="false">Responses!A273</f>
        <v>S0016</v>
      </c>
      <c r="B273" s="30" t="n">
        <f aca="false">IF(COUNTIF(Responses!$A$2:A273,Responses!A273)&gt;1,1,0)</f>
        <v>0</v>
      </c>
      <c r="C273" s="30" t="n">
        <f aca="false">IF(OR(Responses!D273="",Responses!E273="",Responses!J273="",Responses!K273="",Responses!I273=""),1,0)</f>
        <v>0</v>
      </c>
      <c r="D273" s="30" t="n">
        <f aca="false">IF(Responses!I273="",0,IF(OR(Responses!I273&lt;Assumptions!$B$4,Responses!I273&gt;Assumptions!$B$5),1,0))</f>
        <v>0</v>
      </c>
      <c r="E273" s="30" t="n">
        <f aca="false">IF(Responses!Q273&lt;Assumptions!$B$6,1,0)</f>
        <v>0</v>
      </c>
      <c r="F273" s="30" t="n">
        <f aca="false">IF(OR(AND(Responses!K273="No",Responses!L273&lt;&gt;""),AND(Responses!K273="Yes",Responses!L273="")),1,0)</f>
        <v>0</v>
      </c>
      <c r="G273" s="30" t="n">
        <f aca="false">SUM(B273:F273)</f>
        <v>0</v>
      </c>
      <c r="H273" s="30" t="str">
        <f aca="false">IF(G273=0,"Valid","Review")</f>
        <v>Valid</v>
      </c>
      <c r="I273" s="30" t="n">
        <f aca="false">IF(G273=0,1,0)</f>
        <v>1</v>
      </c>
    </row>
    <row r="274" customFormat="false" ht="15" hidden="false" customHeight="false" outlineLevel="0" collapsed="false">
      <c r="A274" s="30" t="str">
        <f aca="false">Responses!A274</f>
        <v>S0018</v>
      </c>
      <c r="B274" s="30" t="n">
        <f aca="false">IF(COUNTIF(Responses!$A$2:A274,Responses!A274)&gt;1,1,0)</f>
        <v>0</v>
      </c>
      <c r="C274" s="30" t="n">
        <f aca="false">IF(OR(Responses!D274="",Responses!E274="",Responses!J274="",Responses!K274="",Responses!I274=""),1,0)</f>
        <v>0</v>
      </c>
      <c r="D274" s="30" t="n">
        <f aca="false">IF(Responses!I274="",0,IF(OR(Responses!I274&lt;Assumptions!$B$4,Responses!I274&gt;Assumptions!$B$5),1,0))</f>
        <v>0</v>
      </c>
      <c r="E274" s="30" t="n">
        <f aca="false">IF(Responses!Q274&lt;Assumptions!$B$6,1,0)</f>
        <v>0</v>
      </c>
      <c r="F274" s="30" t="n">
        <f aca="false">IF(OR(AND(Responses!K274="No",Responses!L274&lt;&gt;""),AND(Responses!K274="Yes",Responses!L274="")),1,0)</f>
        <v>0</v>
      </c>
      <c r="G274" s="30" t="n">
        <f aca="false">SUM(B274:F274)</f>
        <v>0</v>
      </c>
      <c r="H274" s="30" t="str">
        <f aca="false">IF(G274=0,"Valid","Review")</f>
        <v>Valid</v>
      </c>
      <c r="I274" s="30" t="n">
        <f aca="false">IF(G274=0,1,0)</f>
        <v>1</v>
      </c>
    </row>
    <row r="275" customFormat="false" ht="15" hidden="false" customHeight="false" outlineLevel="0" collapsed="false">
      <c r="A275" s="30" t="str">
        <f aca="false">Responses!A275</f>
        <v>S0034</v>
      </c>
      <c r="B275" s="30" t="n">
        <f aca="false">IF(COUNTIF(Responses!$A$2:A275,Responses!A275)&gt;1,1,0)</f>
        <v>0</v>
      </c>
      <c r="C275" s="30" t="n">
        <f aca="false">IF(OR(Responses!D275="",Responses!E275="",Responses!J275="",Responses!K275="",Responses!I275=""),1,0)</f>
        <v>0</v>
      </c>
      <c r="D275" s="30" t="n">
        <f aca="false">IF(Responses!I275="",0,IF(OR(Responses!I275&lt;Assumptions!$B$4,Responses!I275&gt;Assumptions!$B$5),1,0))</f>
        <v>0</v>
      </c>
      <c r="E275" s="30" t="n">
        <f aca="false">IF(Responses!Q275&lt;Assumptions!$B$6,1,0)</f>
        <v>0</v>
      </c>
      <c r="F275" s="30" t="n">
        <f aca="false">IF(OR(AND(Responses!K275="No",Responses!L275&lt;&gt;""),AND(Responses!K275="Yes",Responses!L275="")),1,0)</f>
        <v>0</v>
      </c>
      <c r="G275" s="30" t="n">
        <f aca="false">SUM(B275:F275)</f>
        <v>0</v>
      </c>
      <c r="H275" s="30" t="str">
        <f aca="false">IF(G275=0,"Valid","Review")</f>
        <v>Valid</v>
      </c>
      <c r="I275" s="30" t="n">
        <f aca="false">IF(G275=0,1,0)</f>
        <v>1</v>
      </c>
    </row>
    <row r="276" customFormat="false" ht="15" hidden="false" customHeight="false" outlineLevel="0" collapsed="false">
      <c r="A276" s="30" t="str">
        <f aca="false">Responses!A276</f>
        <v>S0037</v>
      </c>
      <c r="B276" s="30" t="n">
        <f aca="false">IF(COUNTIF(Responses!$A$2:A276,Responses!A276)&gt;1,1,0)</f>
        <v>0</v>
      </c>
      <c r="C276" s="30" t="n">
        <f aca="false">IF(OR(Responses!D276="",Responses!E276="",Responses!J276="",Responses!K276="",Responses!I276=""),1,0)</f>
        <v>0</v>
      </c>
      <c r="D276" s="30" t="n">
        <f aca="false">IF(Responses!I276="",0,IF(OR(Responses!I276&lt;Assumptions!$B$4,Responses!I276&gt;Assumptions!$B$5),1,0))</f>
        <v>0</v>
      </c>
      <c r="E276" s="30" t="n">
        <f aca="false">IF(Responses!Q276&lt;Assumptions!$B$6,1,0)</f>
        <v>0</v>
      </c>
      <c r="F276" s="30" t="n">
        <f aca="false">IF(OR(AND(Responses!K276="No",Responses!L276&lt;&gt;""),AND(Responses!K276="Yes",Responses!L276="")),1,0)</f>
        <v>0</v>
      </c>
      <c r="G276" s="30" t="n">
        <f aca="false">SUM(B276:F276)</f>
        <v>0</v>
      </c>
      <c r="H276" s="30" t="str">
        <f aca="false">IF(G276=0,"Valid","Review")</f>
        <v>Valid</v>
      </c>
      <c r="I276" s="30" t="n">
        <f aca="false">IF(G276=0,1,0)</f>
        <v>1</v>
      </c>
    </row>
    <row r="277" customFormat="false" ht="15" hidden="false" customHeight="false" outlineLevel="0" collapsed="false">
      <c r="A277" s="30" t="str">
        <f aca="false">Responses!A277</f>
        <v>S0053</v>
      </c>
      <c r="B277" s="30" t="n">
        <f aca="false">IF(COUNTIF(Responses!$A$2:A277,Responses!A277)&gt;1,1,0)</f>
        <v>0</v>
      </c>
      <c r="C277" s="30" t="n">
        <f aca="false">IF(OR(Responses!D277="",Responses!E277="",Responses!J277="",Responses!K277="",Responses!I277=""),1,0)</f>
        <v>0</v>
      </c>
      <c r="D277" s="30" t="n">
        <f aca="false">IF(Responses!I277="",0,IF(OR(Responses!I277&lt;Assumptions!$B$4,Responses!I277&gt;Assumptions!$B$5),1,0))</f>
        <v>0</v>
      </c>
      <c r="E277" s="30" t="n">
        <f aca="false">IF(Responses!Q277&lt;Assumptions!$B$6,1,0)</f>
        <v>0</v>
      </c>
      <c r="F277" s="30" t="n">
        <f aca="false">IF(OR(AND(Responses!K277="No",Responses!L277&lt;&gt;""),AND(Responses!K277="Yes",Responses!L277="")),1,0)</f>
        <v>0</v>
      </c>
      <c r="G277" s="30" t="n">
        <f aca="false">SUM(B277:F277)</f>
        <v>0</v>
      </c>
      <c r="H277" s="30" t="str">
        <f aca="false">IF(G277=0,"Valid","Review")</f>
        <v>Valid</v>
      </c>
      <c r="I277" s="30" t="n">
        <f aca="false">IF(G277=0,1,0)</f>
        <v>1</v>
      </c>
    </row>
    <row r="278" customFormat="false" ht="15" hidden="false" customHeight="false" outlineLevel="0" collapsed="false">
      <c r="A278" s="30" t="str">
        <f aca="false">Responses!A278</f>
        <v>S0055</v>
      </c>
      <c r="B278" s="30" t="n">
        <f aca="false">IF(COUNTIF(Responses!$A$2:A278,Responses!A278)&gt;1,1,0)</f>
        <v>0</v>
      </c>
      <c r="C278" s="30" t="n">
        <f aca="false">IF(OR(Responses!D278="",Responses!E278="",Responses!J278="",Responses!K278="",Responses!I278=""),1,0)</f>
        <v>0</v>
      </c>
      <c r="D278" s="30" t="n">
        <f aca="false">IF(Responses!I278="",0,IF(OR(Responses!I278&lt;Assumptions!$B$4,Responses!I278&gt;Assumptions!$B$5),1,0))</f>
        <v>0</v>
      </c>
      <c r="E278" s="30" t="n">
        <f aca="false">IF(Responses!Q278&lt;Assumptions!$B$6,1,0)</f>
        <v>0</v>
      </c>
      <c r="F278" s="30" t="n">
        <f aca="false">IF(OR(AND(Responses!K278="No",Responses!L278&lt;&gt;""),AND(Responses!K278="Yes",Responses!L278="")),1,0)</f>
        <v>0</v>
      </c>
      <c r="G278" s="30" t="n">
        <f aca="false">SUM(B278:F278)</f>
        <v>0</v>
      </c>
      <c r="H278" s="30" t="str">
        <f aca="false">IF(G278=0,"Valid","Review")</f>
        <v>Valid</v>
      </c>
      <c r="I278" s="30" t="n">
        <f aca="false">IF(G278=0,1,0)</f>
        <v>1</v>
      </c>
    </row>
    <row r="279" customFormat="false" ht="15" hidden="false" customHeight="false" outlineLevel="0" collapsed="false">
      <c r="A279" s="30" t="str">
        <f aca="false">Responses!A279</f>
        <v>S0064</v>
      </c>
      <c r="B279" s="30" t="n">
        <f aca="false">IF(COUNTIF(Responses!$A$2:A279,Responses!A279)&gt;1,1,0)</f>
        <v>0</v>
      </c>
      <c r="C279" s="30" t="n">
        <f aca="false">IF(OR(Responses!D279="",Responses!E279="",Responses!J279="",Responses!K279="",Responses!I279=""),1,0)</f>
        <v>0</v>
      </c>
      <c r="D279" s="30" t="n">
        <f aca="false">IF(Responses!I279="",0,IF(OR(Responses!I279&lt;Assumptions!$B$4,Responses!I279&gt;Assumptions!$B$5),1,0))</f>
        <v>0</v>
      </c>
      <c r="E279" s="30" t="n">
        <f aca="false">IF(Responses!Q279&lt;Assumptions!$B$6,1,0)</f>
        <v>0</v>
      </c>
      <c r="F279" s="30" t="n">
        <f aca="false">IF(OR(AND(Responses!K279="No",Responses!L279&lt;&gt;""),AND(Responses!K279="Yes",Responses!L279="")),1,0)</f>
        <v>0</v>
      </c>
      <c r="G279" s="30" t="n">
        <f aca="false">SUM(B279:F279)</f>
        <v>0</v>
      </c>
      <c r="H279" s="30" t="str">
        <f aca="false">IF(G279=0,"Valid","Review")</f>
        <v>Valid</v>
      </c>
      <c r="I279" s="30" t="n">
        <f aca="false">IF(G279=0,1,0)</f>
        <v>1</v>
      </c>
    </row>
    <row r="280" customFormat="false" ht="15" hidden="false" customHeight="false" outlineLevel="0" collapsed="false">
      <c r="A280" s="30" t="str">
        <f aca="false">Responses!A280</f>
        <v>S0082</v>
      </c>
      <c r="B280" s="30" t="n">
        <f aca="false">IF(COUNTIF(Responses!$A$2:A280,Responses!A280)&gt;1,1,0)</f>
        <v>0</v>
      </c>
      <c r="C280" s="30" t="n">
        <f aca="false">IF(OR(Responses!D280="",Responses!E280="",Responses!J280="",Responses!K280="",Responses!I280=""),1,0)</f>
        <v>0</v>
      </c>
      <c r="D280" s="30" t="n">
        <f aca="false">IF(Responses!I280="",0,IF(OR(Responses!I280&lt;Assumptions!$B$4,Responses!I280&gt;Assumptions!$B$5),1,0))</f>
        <v>0</v>
      </c>
      <c r="E280" s="30" t="n">
        <f aca="false">IF(Responses!Q280&lt;Assumptions!$B$6,1,0)</f>
        <v>0</v>
      </c>
      <c r="F280" s="30" t="n">
        <f aca="false">IF(OR(AND(Responses!K280="No",Responses!L280&lt;&gt;""),AND(Responses!K280="Yes",Responses!L280="")),1,0)</f>
        <v>0</v>
      </c>
      <c r="G280" s="30" t="n">
        <f aca="false">SUM(B280:F280)</f>
        <v>0</v>
      </c>
      <c r="H280" s="30" t="str">
        <f aca="false">IF(G280=0,"Valid","Review")</f>
        <v>Valid</v>
      </c>
      <c r="I280" s="30" t="n">
        <f aca="false">IF(G280=0,1,0)</f>
        <v>1</v>
      </c>
    </row>
    <row r="281" customFormat="false" ht="15" hidden="false" customHeight="false" outlineLevel="0" collapsed="false">
      <c r="A281" s="30" t="str">
        <f aca="false">Responses!A281</f>
        <v>S0088</v>
      </c>
      <c r="B281" s="30" t="n">
        <f aca="false">IF(COUNTIF(Responses!$A$2:A281,Responses!A281)&gt;1,1,0)</f>
        <v>0</v>
      </c>
      <c r="C281" s="30" t="n">
        <f aca="false">IF(OR(Responses!D281="",Responses!E281="",Responses!J281="",Responses!K281="",Responses!I281=""),1,0)</f>
        <v>0</v>
      </c>
      <c r="D281" s="30" t="n">
        <f aca="false">IF(Responses!I281="",0,IF(OR(Responses!I281&lt;Assumptions!$B$4,Responses!I281&gt;Assumptions!$B$5),1,0))</f>
        <v>0</v>
      </c>
      <c r="E281" s="30" t="n">
        <f aca="false">IF(Responses!Q281&lt;Assumptions!$B$6,1,0)</f>
        <v>0</v>
      </c>
      <c r="F281" s="30" t="n">
        <f aca="false">IF(OR(AND(Responses!K281="No",Responses!L281&lt;&gt;""),AND(Responses!K281="Yes",Responses!L281="")),1,0)</f>
        <v>0</v>
      </c>
      <c r="G281" s="30" t="n">
        <f aca="false">SUM(B281:F281)</f>
        <v>0</v>
      </c>
      <c r="H281" s="30" t="str">
        <f aca="false">IF(G281=0,"Valid","Review")</f>
        <v>Valid</v>
      </c>
      <c r="I281" s="30" t="n">
        <f aca="false">IF(G281=0,1,0)</f>
        <v>1</v>
      </c>
    </row>
    <row r="282" customFormat="false" ht="15" hidden="false" customHeight="false" outlineLevel="0" collapsed="false">
      <c r="A282" s="30" t="str">
        <f aca="false">Responses!A282</f>
        <v>S0118</v>
      </c>
      <c r="B282" s="30" t="n">
        <f aca="false">IF(COUNTIF(Responses!$A$2:A282,Responses!A282)&gt;1,1,0)</f>
        <v>0</v>
      </c>
      <c r="C282" s="30" t="n">
        <f aca="false">IF(OR(Responses!D282="",Responses!E282="",Responses!J282="",Responses!K282="",Responses!I282=""),1,0)</f>
        <v>0</v>
      </c>
      <c r="D282" s="30" t="n">
        <f aca="false">IF(Responses!I282="",0,IF(OR(Responses!I282&lt;Assumptions!$B$4,Responses!I282&gt;Assumptions!$B$5),1,0))</f>
        <v>0</v>
      </c>
      <c r="E282" s="30" t="n">
        <f aca="false">IF(Responses!Q282&lt;Assumptions!$B$6,1,0)</f>
        <v>0</v>
      </c>
      <c r="F282" s="30" t="n">
        <f aca="false">IF(OR(AND(Responses!K282="No",Responses!L282&lt;&gt;""),AND(Responses!K282="Yes",Responses!L282="")),1,0)</f>
        <v>0</v>
      </c>
      <c r="G282" s="30" t="n">
        <f aca="false">SUM(B282:F282)</f>
        <v>0</v>
      </c>
      <c r="H282" s="30" t="str">
        <f aca="false">IF(G282=0,"Valid","Review")</f>
        <v>Valid</v>
      </c>
      <c r="I282" s="30" t="n">
        <f aca="false">IF(G282=0,1,0)</f>
        <v>1</v>
      </c>
    </row>
    <row r="283" customFormat="false" ht="15" hidden="false" customHeight="false" outlineLevel="0" collapsed="false">
      <c r="A283" s="30" t="str">
        <f aca="false">Responses!A283</f>
        <v>S0120</v>
      </c>
      <c r="B283" s="30" t="n">
        <f aca="false">IF(COUNTIF(Responses!$A$2:A283,Responses!A283)&gt;1,1,0)</f>
        <v>0</v>
      </c>
      <c r="C283" s="30" t="n">
        <f aca="false">IF(OR(Responses!D283="",Responses!E283="",Responses!J283="",Responses!K283="",Responses!I283=""),1,0)</f>
        <v>0</v>
      </c>
      <c r="D283" s="30" t="n">
        <f aca="false">IF(Responses!I283="",0,IF(OR(Responses!I283&lt;Assumptions!$B$4,Responses!I283&gt;Assumptions!$B$5),1,0))</f>
        <v>0</v>
      </c>
      <c r="E283" s="30" t="n">
        <f aca="false">IF(Responses!Q283&lt;Assumptions!$B$6,1,0)</f>
        <v>0</v>
      </c>
      <c r="F283" s="30" t="n">
        <f aca="false">IF(OR(AND(Responses!K283="No",Responses!L283&lt;&gt;""),AND(Responses!K283="Yes",Responses!L283="")),1,0)</f>
        <v>0</v>
      </c>
      <c r="G283" s="30" t="n">
        <f aca="false">SUM(B283:F283)</f>
        <v>0</v>
      </c>
      <c r="H283" s="30" t="str">
        <f aca="false">IF(G283=0,"Valid","Review")</f>
        <v>Valid</v>
      </c>
      <c r="I283" s="30" t="n">
        <f aca="false">IF(G283=0,1,0)</f>
        <v>1</v>
      </c>
    </row>
    <row r="284" customFormat="false" ht="15" hidden="false" customHeight="false" outlineLevel="0" collapsed="false">
      <c r="A284" s="30" t="str">
        <f aca="false">Responses!A284</f>
        <v>S0158</v>
      </c>
      <c r="B284" s="30" t="n">
        <f aca="false">IF(COUNTIF(Responses!$A$2:A284,Responses!A284)&gt;1,1,0)</f>
        <v>0</v>
      </c>
      <c r="C284" s="30" t="n">
        <f aca="false">IF(OR(Responses!D284="",Responses!E284="",Responses!J284="",Responses!K284="",Responses!I284=""),1,0)</f>
        <v>1</v>
      </c>
      <c r="D284" s="30" t="n">
        <f aca="false">IF(Responses!I284="",0,IF(OR(Responses!I284&lt;Assumptions!$B$4,Responses!I284&gt;Assumptions!$B$5),1,0))</f>
        <v>0</v>
      </c>
      <c r="E284" s="30" t="n">
        <f aca="false">IF(Responses!Q284&lt;Assumptions!$B$6,1,0)</f>
        <v>1</v>
      </c>
      <c r="F284" s="30" t="n">
        <f aca="false">IF(OR(AND(Responses!K284="No",Responses!L284&lt;&gt;""),AND(Responses!K284="Yes",Responses!L284="")),1,0)</f>
        <v>0</v>
      </c>
      <c r="G284" s="30" t="n">
        <f aca="false">SUM(B284:F284)</f>
        <v>2</v>
      </c>
      <c r="H284" s="30" t="str">
        <f aca="false">IF(G284=0,"Valid","Review")</f>
        <v>Review</v>
      </c>
      <c r="I284" s="30" t="n">
        <f aca="false">IF(G284=0,1,0)</f>
        <v>0</v>
      </c>
    </row>
    <row r="285" customFormat="false" ht="15" hidden="false" customHeight="false" outlineLevel="0" collapsed="false">
      <c r="A285" s="30" t="str">
        <f aca="false">Responses!A285</f>
        <v>S0159</v>
      </c>
      <c r="B285" s="30" t="n">
        <f aca="false">IF(COUNTIF(Responses!$A$2:A285,Responses!A285)&gt;1,1,0)</f>
        <v>0</v>
      </c>
      <c r="C285" s="30" t="n">
        <f aca="false">IF(OR(Responses!D285="",Responses!E285="",Responses!J285="",Responses!K285="",Responses!I285=""),1,0)</f>
        <v>0</v>
      </c>
      <c r="D285" s="30" t="n">
        <f aca="false">IF(Responses!I285="",0,IF(OR(Responses!I285&lt;Assumptions!$B$4,Responses!I285&gt;Assumptions!$B$5),1,0))</f>
        <v>0</v>
      </c>
      <c r="E285" s="30" t="n">
        <f aca="false">IF(Responses!Q285&lt;Assumptions!$B$6,1,0)</f>
        <v>0</v>
      </c>
      <c r="F285" s="30" t="n">
        <f aca="false">IF(OR(AND(Responses!K285="No",Responses!L285&lt;&gt;""),AND(Responses!K285="Yes",Responses!L285="")),1,0)</f>
        <v>0</v>
      </c>
      <c r="G285" s="30" t="n">
        <f aca="false">SUM(B285:F285)</f>
        <v>0</v>
      </c>
      <c r="H285" s="30" t="str">
        <f aca="false">IF(G285=0,"Valid","Review")</f>
        <v>Valid</v>
      </c>
      <c r="I285" s="30" t="n">
        <f aca="false">IF(G285=0,1,0)</f>
        <v>1</v>
      </c>
    </row>
    <row r="286" customFormat="false" ht="15" hidden="false" customHeight="false" outlineLevel="0" collapsed="false">
      <c r="A286" s="30" t="str">
        <f aca="false">Responses!A286</f>
        <v>S0206</v>
      </c>
      <c r="B286" s="30" t="n">
        <f aca="false">IF(COUNTIF(Responses!$A$2:A286,Responses!A286)&gt;1,1,0)</f>
        <v>0</v>
      </c>
      <c r="C286" s="30" t="n">
        <f aca="false">IF(OR(Responses!D286="",Responses!E286="",Responses!J286="",Responses!K286="",Responses!I286=""),1,0)</f>
        <v>0</v>
      </c>
      <c r="D286" s="30" t="n">
        <f aca="false">IF(Responses!I286="",0,IF(OR(Responses!I286&lt;Assumptions!$B$4,Responses!I286&gt;Assumptions!$B$5),1,0))</f>
        <v>0</v>
      </c>
      <c r="E286" s="30" t="n">
        <f aca="false">IF(Responses!Q286&lt;Assumptions!$B$6,1,0)</f>
        <v>0</v>
      </c>
      <c r="F286" s="30" t="n">
        <f aca="false">IF(OR(AND(Responses!K286="No",Responses!L286&lt;&gt;""),AND(Responses!K286="Yes",Responses!L286="")),1,0)</f>
        <v>0</v>
      </c>
      <c r="G286" s="30" t="n">
        <f aca="false">SUM(B286:F286)</f>
        <v>0</v>
      </c>
      <c r="H286" s="30" t="str">
        <f aca="false">IF(G286=0,"Valid","Review")</f>
        <v>Valid</v>
      </c>
      <c r="I286" s="30" t="n">
        <f aca="false">IF(G286=0,1,0)</f>
        <v>1</v>
      </c>
    </row>
    <row r="287" customFormat="false" ht="15" hidden="false" customHeight="false" outlineLevel="0" collapsed="false">
      <c r="A287" s="30" t="str">
        <f aca="false">Responses!A287</f>
        <v>S0233</v>
      </c>
      <c r="B287" s="30" t="n">
        <f aca="false">IF(COUNTIF(Responses!$A$2:A287,Responses!A287)&gt;1,1,0)</f>
        <v>0</v>
      </c>
      <c r="C287" s="30" t="n">
        <f aca="false">IF(OR(Responses!D287="",Responses!E287="",Responses!J287="",Responses!K287="",Responses!I287=""),1,0)</f>
        <v>0</v>
      </c>
      <c r="D287" s="30" t="n">
        <f aca="false">IF(Responses!I287="",0,IF(OR(Responses!I287&lt;Assumptions!$B$4,Responses!I287&gt;Assumptions!$B$5),1,0))</f>
        <v>0</v>
      </c>
      <c r="E287" s="30" t="n">
        <f aca="false">IF(Responses!Q287&lt;Assumptions!$B$6,1,0)</f>
        <v>0</v>
      </c>
      <c r="F287" s="30" t="n">
        <f aca="false">IF(OR(AND(Responses!K287="No",Responses!L287&lt;&gt;""),AND(Responses!K287="Yes",Responses!L287="")),1,0)</f>
        <v>0</v>
      </c>
      <c r="G287" s="30" t="n">
        <f aca="false">SUM(B287:F287)</f>
        <v>0</v>
      </c>
      <c r="H287" s="30" t="str">
        <f aca="false">IF(G287=0,"Valid","Review")</f>
        <v>Valid</v>
      </c>
      <c r="I287" s="30" t="n">
        <f aca="false">IF(G287=0,1,0)</f>
        <v>1</v>
      </c>
    </row>
    <row r="288" customFormat="false" ht="15" hidden="false" customHeight="false" outlineLevel="0" collapsed="false">
      <c r="A288" s="30" t="str">
        <f aca="false">Responses!A288</f>
        <v>S0256</v>
      </c>
      <c r="B288" s="30" t="n">
        <f aca="false">IF(COUNTIF(Responses!$A$2:A288,Responses!A288)&gt;1,1,0)</f>
        <v>0</v>
      </c>
      <c r="C288" s="30" t="n">
        <f aca="false">IF(OR(Responses!D288="",Responses!E288="",Responses!J288="",Responses!K288="",Responses!I288=""),1,0)</f>
        <v>0</v>
      </c>
      <c r="D288" s="30" t="n">
        <f aca="false">IF(Responses!I288="",0,IF(OR(Responses!I288&lt;Assumptions!$B$4,Responses!I288&gt;Assumptions!$B$5),1,0))</f>
        <v>0</v>
      </c>
      <c r="E288" s="30" t="n">
        <f aca="false">IF(Responses!Q288&lt;Assumptions!$B$6,1,0)</f>
        <v>0</v>
      </c>
      <c r="F288" s="30" t="n">
        <f aca="false">IF(OR(AND(Responses!K288="No",Responses!L288&lt;&gt;""),AND(Responses!K288="Yes",Responses!L288="")),1,0)</f>
        <v>0</v>
      </c>
      <c r="G288" s="30" t="n">
        <f aca="false">SUM(B288:F288)</f>
        <v>0</v>
      </c>
      <c r="H288" s="30" t="str">
        <f aca="false">IF(G288=0,"Valid","Review")</f>
        <v>Valid</v>
      </c>
      <c r="I288" s="30" t="n">
        <f aca="false">IF(G288=0,1,0)</f>
        <v>1</v>
      </c>
    </row>
    <row r="289" customFormat="false" ht="15" hidden="false" customHeight="false" outlineLevel="0" collapsed="false">
      <c r="A289" s="30" t="str">
        <f aca="false">Responses!A289</f>
        <v>S0284</v>
      </c>
      <c r="B289" s="30" t="n">
        <f aca="false">IF(COUNTIF(Responses!$A$2:A289,Responses!A289)&gt;1,1,0)</f>
        <v>0</v>
      </c>
      <c r="C289" s="30" t="n">
        <f aca="false">IF(OR(Responses!D289="",Responses!E289="",Responses!J289="",Responses!K289="",Responses!I289=""),1,0)</f>
        <v>0</v>
      </c>
      <c r="D289" s="30" t="n">
        <f aca="false">IF(Responses!I289="",0,IF(OR(Responses!I289&lt;Assumptions!$B$4,Responses!I289&gt;Assumptions!$B$5),1,0))</f>
        <v>0</v>
      </c>
      <c r="E289" s="30" t="n">
        <f aca="false">IF(Responses!Q289&lt;Assumptions!$B$6,1,0)</f>
        <v>0</v>
      </c>
      <c r="F289" s="30" t="n">
        <f aca="false">IF(OR(AND(Responses!K289="No",Responses!L289&lt;&gt;""),AND(Responses!K289="Yes",Responses!L289="")),1,0)</f>
        <v>0</v>
      </c>
      <c r="G289" s="30" t="n">
        <f aca="false">SUM(B289:F289)</f>
        <v>0</v>
      </c>
      <c r="H289" s="30" t="str">
        <f aca="false">IF(G289=0,"Valid","Review")</f>
        <v>Valid</v>
      </c>
      <c r="I289" s="30" t="n">
        <f aca="false">IF(G289=0,1,0)</f>
        <v>1</v>
      </c>
    </row>
    <row r="290" customFormat="false" ht="15" hidden="false" customHeight="false" outlineLevel="0" collapsed="false">
      <c r="A290" s="30" t="str">
        <f aca="false">Responses!A290</f>
        <v>S0302</v>
      </c>
      <c r="B290" s="30" t="n">
        <f aca="false">IF(COUNTIF(Responses!$A$2:A290,Responses!A290)&gt;1,1,0)</f>
        <v>0</v>
      </c>
      <c r="C290" s="30" t="n">
        <f aca="false">IF(OR(Responses!D290="",Responses!E290="",Responses!J290="",Responses!K290="",Responses!I290=""),1,0)</f>
        <v>0</v>
      </c>
      <c r="D290" s="30" t="n">
        <f aca="false">IF(Responses!I290="",0,IF(OR(Responses!I290&lt;Assumptions!$B$4,Responses!I290&gt;Assumptions!$B$5),1,0))</f>
        <v>0</v>
      </c>
      <c r="E290" s="30" t="n">
        <f aca="false">IF(Responses!Q290&lt;Assumptions!$B$6,1,0)</f>
        <v>0</v>
      </c>
      <c r="F290" s="30" t="n">
        <f aca="false">IF(OR(AND(Responses!K290="No",Responses!L290&lt;&gt;""),AND(Responses!K290="Yes",Responses!L290="")),1,0)</f>
        <v>0</v>
      </c>
      <c r="G290" s="30" t="n">
        <f aca="false">SUM(B290:F290)</f>
        <v>0</v>
      </c>
      <c r="H290" s="30" t="str">
        <f aca="false">IF(G290=0,"Valid","Review")</f>
        <v>Valid</v>
      </c>
      <c r="I290" s="30" t="n">
        <f aca="false">IF(G290=0,1,0)</f>
        <v>1</v>
      </c>
    </row>
    <row r="291" customFormat="false" ht="15" hidden="false" customHeight="false" outlineLevel="0" collapsed="false">
      <c r="A291" s="30" t="str">
        <f aca="false">Responses!A291</f>
        <v>S0036</v>
      </c>
      <c r="B291" s="30" t="n">
        <f aca="false">IF(COUNTIF(Responses!$A$2:A291,Responses!A291)&gt;1,1,0)</f>
        <v>0</v>
      </c>
      <c r="C291" s="30" t="n">
        <f aca="false">IF(OR(Responses!D291="",Responses!E291="",Responses!J291="",Responses!K291="",Responses!I291=""),1,0)</f>
        <v>0</v>
      </c>
      <c r="D291" s="30" t="n">
        <f aca="false">IF(Responses!I291="",0,IF(OR(Responses!I291&lt;Assumptions!$B$4,Responses!I291&gt;Assumptions!$B$5),1,0))</f>
        <v>0</v>
      </c>
      <c r="E291" s="30" t="n">
        <f aca="false">IF(Responses!Q291&lt;Assumptions!$B$6,1,0)</f>
        <v>0</v>
      </c>
      <c r="F291" s="30" t="n">
        <f aca="false">IF(OR(AND(Responses!K291="No",Responses!L291&lt;&gt;""),AND(Responses!K291="Yes",Responses!L291="")),1,0)</f>
        <v>0</v>
      </c>
      <c r="G291" s="30" t="n">
        <f aca="false">SUM(B291:F291)</f>
        <v>0</v>
      </c>
      <c r="H291" s="30" t="str">
        <f aca="false">IF(G291=0,"Valid","Review")</f>
        <v>Valid</v>
      </c>
      <c r="I291" s="30" t="n">
        <f aca="false">IF(G291=0,1,0)</f>
        <v>1</v>
      </c>
    </row>
    <row r="292" customFormat="false" ht="15" hidden="false" customHeight="false" outlineLevel="0" collapsed="false">
      <c r="A292" s="30" t="str">
        <f aca="false">Responses!A292</f>
        <v>S0045</v>
      </c>
      <c r="B292" s="30" t="n">
        <f aca="false">IF(COUNTIF(Responses!$A$2:A292,Responses!A292)&gt;1,1,0)</f>
        <v>0</v>
      </c>
      <c r="C292" s="30" t="n">
        <f aca="false">IF(OR(Responses!D292="",Responses!E292="",Responses!J292="",Responses!K292="",Responses!I292=""),1,0)</f>
        <v>0</v>
      </c>
      <c r="D292" s="30" t="n">
        <f aca="false">IF(Responses!I292="",0,IF(OR(Responses!I292&lt;Assumptions!$B$4,Responses!I292&gt;Assumptions!$B$5),1,0))</f>
        <v>0</v>
      </c>
      <c r="E292" s="30" t="n">
        <f aca="false">IF(Responses!Q292&lt;Assumptions!$B$6,1,0)</f>
        <v>0</v>
      </c>
      <c r="F292" s="30" t="n">
        <f aca="false">IF(OR(AND(Responses!K292="No",Responses!L292&lt;&gt;""),AND(Responses!K292="Yes",Responses!L292="")),1,0)</f>
        <v>0</v>
      </c>
      <c r="G292" s="30" t="n">
        <f aca="false">SUM(B292:F292)</f>
        <v>0</v>
      </c>
      <c r="H292" s="30" t="str">
        <f aca="false">IF(G292=0,"Valid","Review")</f>
        <v>Valid</v>
      </c>
      <c r="I292" s="30" t="n">
        <f aca="false">IF(G292=0,1,0)</f>
        <v>1</v>
      </c>
    </row>
    <row r="293" customFormat="false" ht="15" hidden="false" customHeight="false" outlineLevel="0" collapsed="false">
      <c r="A293" s="30" t="str">
        <f aca="false">Responses!A293</f>
        <v>S0079</v>
      </c>
      <c r="B293" s="30" t="n">
        <f aca="false">IF(COUNTIF(Responses!$A$2:A293,Responses!A293)&gt;1,1,0)</f>
        <v>0</v>
      </c>
      <c r="C293" s="30" t="n">
        <f aca="false">IF(OR(Responses!D293="",Responses!E293="",Responses!J293="",Responses!K293="",Responses!I293=""),1,0)</f>
        <v>0</v>
      </c>
      <c r="D293" s="30" t="n">
        <f aca="false">IF(Responses!I293="",0,IF(OR(Responses!I293&lt;Assumptions!$B$4,Responses!I293&gt;Assumptions!$B$5),1,0))</f>
        <v>0</v>
      </c>
      <c r="E293" s="30" t="n">
        <f aca="false">IF(Responses!Q293&lt;Assumptions!$B$6,1,0)</f>
        <v>0</v>
      </c>
      <c r="F293" s="30" t="n">
        <f aca="false">IF(OR(AND(Responses!K293="No",Responses!L293&lt;&gt;""),AND(Responses!K293="Yes",Responses!L293="")),1,0)</f>
        <v>0</v>
      </c>
      <c r="G293" s="30" t="n">
        <f aca="false">SUM(B293:F293)</f>
        <v>0</v>
      </c>
      <c r="H293" s="30" t="str">
        <f aca="false">IF(G293=0,"Valid","Review")</f>
        <v>Valid</v>
      </c>
      <c r="I293" s="30" t="n">
        <f aca="false">IF(G293=0,1,0)</f>
        <v>1</v>
      </c>
    </row>
    <row r="294" customFormat="false" ht="15" hidden="false" customHeight="false" outlineLevel="0" collapsed="false">
      <c r="A294" s="30" t="str">
        <f aca="false">Responses!A294</f>
        <v>S0086</v>
      </c>
      <c r="B294" s="30" t="n">
        <f aca="false">IF(COUNTIF(Responses!$A$2:A294,Responses!A294)&gt;1,1,0)</f>
        <v>0</v>
      </c>
      <c r="C294" s="30" t="n">
        <f aca="false">IF(OR(Responses!D294="",Responses!E294="",Responses!J294="",Responses!K294="",Responses!I294=""),1,0)</f>
        <v>0</v>
      </c>
      <c r="D294" s="30" t="n">
        <f aca="false">IF(Responses!I294="",0,IF(OR(Responses!I294&lt;Assumptions!$B$4,Responses!I294&gt;Assumptions!$B$5),1,0))</f>
        <v>0</v>
      </c>
      <c r="E294" s="30" t="n">
        <f aca="false">IF(Responses!Q294&lt;Assumptions!$B$6,1,0)</f>
        <v>0</v>
      </c>
      <c r="F294" s="30" t="n">
        <f aca="false">IF(OR(AND(Responses!K294="No",Responses!L294&lt;&gt;""),AND(Responses!K294="Yes",Responses!L294="")),1,0)</f>
        <v>0</v>
      </c>
      <c r="G294" s="30" t="n">
        <f aca="false">SUM(B294:F294)</f>
        <v>0</v>
      </c>
      <c r="H294" s="30" t="str">
        <f aca="false">IF(G294=0,"Valid","Review")</f>
        <v>Valid</v>
      </c>
      <c r="I294" s="30" t="n">
        <f aca="false">IF(G294=0,1,0)</f>
        <v>1</v>
      </c>
    </row>
    <row r="295" customFormat="false" ht="15" hidden="false" customHeight="false" outlineLevel="0" collapsed="false">
      <c r="A295" s="30" t="str">
        <f aca="false">Responses!A295</f>
        <v>S0100</v>
      </c>
      <c r="B295" s="30" t="n">
        <f aca="false">IF(COUNTIF(Responses!$A$2:A295,Responses!A295)&gt;1,1,0)</f>
        <v>0</v>
      </c>
      <c r="C295" s="30" t="n">
        <f aca="false">IF(OR(Responses!D295="",Responses!E295="",Responses!J295="",Responses!K295="",Responses!I295=""),1,0)</f>
        <v>0</v>
      </c>
      <c r="D295" s="30" t="n">
        <f aca="false">IF(Responses!I295="",0,IF(OR(Responses!I295&lt;Assumptions!$B$4,Responses!I295&gt;Assumptions!$B$5),1,0))</f>
        <v>0</v>
      </c>
      <c r="E295" s="30" t="n">
        <f aca="false">IF(Responses!Q295&lt;Assumptions!$B$6,1,0)</f>
        <v>0</v>
      </c>
      <c r="F295" s="30" t="n">
        <f aca="false">IF(OR(AND(Responses!K295="No",Responses!L295&lt;&gt;""),AND(Responses!K295="Yes",Responses!L295="")),1,0)</f>
        <v>0</v>
      </c>
      <c r="G295" s="30" t="n">
        <f aca="false">SUM(B295:F295)</f>
        <v>0</v>
      </c>
      <c r="H295" s="30" t="str">
        <f aca="false">IF(G295=0,"Valid","Review")</f>
        <v>Valid</v>
      </c>
      <c r="I295" s="30" t="n">
        <f aca="false">IF(G295=0,1,0)</f>
        <v>1</v>
      </c>
    </row>
    <row r="296" customFormat="false" ht="15" hidden="false" customHeight="false" outlineLevel="0" collapsed="false">
      <c r="A296" s="30" t="str">
        <f aca="false">Responses!A296</f>
        <v>S0100</v>
      </c>
      <c r="B296" s="30" t="n">
        <f aca="false">IF(COUNTIF(Responses!$A$2:A296,Responses!A296)&gt;1,1,0)</f>
        <v>1</v>
      </c>
      <c r="C296" s="30" t="n">
        <f aca="false">IF(OR(Responses!D296="",Responses!E296="",Responses!J296="",Responses!K296="",Responses!I296=""),1,0)</f>
        <v>0</v>
      </c>
      <c r="D296" s="30" t="n">
        <f aca="false">IF(Responses!I296="",0,IF(OR(Responses!I296&lt;Assumptions!$B$4,Responses!I296&gt;Assumptions!$B$5),1,0))</f>
        <v>0</v>
      </c>
      <c r="E296" s="30" t="n">
        <f aca="false">IF(Responses!Q296&lt;Assumptions!$B$6,1,0)</f>
        <v>0</v>
      </c>
      <c r="F296" s="30" t="n">
        <f aca="false">IF(OR(AND(Responses!K296="No",Responses!L296&lt;&gt;""),AND(Responses!K296="Yes",Responses!L296="")),1,0)</f>
        <v>0</v>
      </c>
      <c r="G296" s="30" t="n">
        <f aca="false">SUM(B296:F296)</f>
        <v>1</v>
      </c>
      <c r="H296" s="30" t="str">
        <f aca="false">IF(G296=0,"Valid","Review")</f>
        <v>Review</v>
      </c>
      <c r="I296" s="30" t="n">
        <f aca="false">IF(G296=0,1,0)</f>
        <v>0</v>
      </c>
    </row>
    <row r="297" customFormat="false" ht="15" hidden="false" customHeight="false" outlineLevel="0" collapsed="false">
      <c r="A297" s="30" t="str">
        <f aca="false">Responses!A297</f>
        <v>S0154</v>
      </c>
      <c r="B297" s="30" t="n">
        <f aca="false">IF(COUNTIF(Responses!$A$2:A297,Responses!A297)&gt;1,1,0)</f>
        <v>0</v>
      </c>
      <c r="C297" s="30" t="n">
        <f aca="false">IF(OR(Responses!D297="",Responses!E297="",Responses!J297="",Responses!K297="",Responses!I297=""),1,0)</f>
        <v>0</v>
      </c>
      <c r="D297" s="30" t="n">
        <f aca="false">IF(Responses!I297="",0,IF(OR(Responses!I297&lt;Assumptions!$B$4,Responses!I297&gt;Assumptions!$B$5),1,0))</f>
        <v>0</v>
      </c>
      <c r="E297" s="30" t="n">
        <f aca="false">IF(Responses!Q297&lt;Assumptions!$B$6,1,0)</f>
        <v>0</v>
      </c>
      <c r="F297" s="30" t="n">
        <f aca="false">IF(OR(AND(Responses!K297="No",Responses!L297&lt;&gt;""),AND(Responses!K297="Yes",Responses!L297="")),1,0)</f>
        <v>0</v>
      </c>
      <c r="G297" s="30" t="n">
        <f aca="false">SUM(B297:F297)</f>
        <v>0</v>
      </c>
      <c r="H297" s="30" t="str">
        <f aca="false">IF(G297=0,"Valid","Review")</f>
        <v>Valid</v>
      </c>
      <c r="I297" s="30" t="n">
        <f aca="false">IF(G297=0,1,0)</f>
        <v>1</v>
      </c>
    </row>
    <row r="298" customFormat="false" ht="15" hidden="false" customHeight="false" outlineLevel="0" collapsed="false">
      <c r="A298" s="30" t="str">
        <f aca="false">Responses!A298</f>
        <v>S0166</v>
      </c>
      <c r="B298" s="30" t="n">
        <f aca="false">IF(COUNTIF(Responses!$A$2:A298,Responses!A298)&gt;1,1,0)</f>
        <v>0</v>
      </c>
      <c r="C298" s="30" t="n">
        <f aca="false">IF(OR(Responses!D298="",Responses!E298="",Responses!J298="",Responses!K298="",Responses!I298=""),1,0)</f>
        <v>0</v>
      </c>
      <c r="D298" s="30" t="n">
        <f aca="false">IF(Responses!I298="",0,IF(OR(Responses!I298&lt;Assumptions!$B$4,Responses!I298&gt;Assumptions!$B$5),1,0))</f>
        <v>0</v>
      </c>
      <c r="E298" s="30" t="n">
        <f aca="false">IF(Responses!Q298&lt;Assumptions!$B$6,1,0)</f>
        <v>0</v>
      </c>
      <c r="F298" s="30" t="n">
        <f aca="false">IF(OR(AND(Responses!K298="No",Responses!L298&lt;&gt;""),AND(Responses!K298="Yes",Responses!L298="")),1,0)</f>
        <v>0</v>
      </c>
      <c r="G298" s="30" t="n">
        <f aca="false">SUM(B298:F298)</f>
        <v>0</v>
      </c>
      <c r="H298" s="30" t="str">
        <f aca="false">IF(G298=0,"Valid","Review")</f>
        <v>Valid</v>
      </c>
      <c r="I298" s="30" t="n">
        <f aca="false">IF(G298=0,1,0)</f>
        <v>1</v>
      </c>
    </row>
    <row r="299" customFormat="false" ht="15" hidden="false" customHeight="false" outlineLevel="0" collapsed="false">
      <c r="A299" s="30" t="str">
        <f aca="false">Responses!A299</f>
        <v>S0172</v>
      </c>
      <c r="B299" s="30" t="n">
        <f aca="false">IF(COUNTIF(Responses!$A$2:A299,Responses!A299)&gt;1,1,0)</f>
        <v>0</v>
      </c>
      <c r="C299" s="30" t="n">
        <f aca="false">IF(OR(Responses!D299="",Responses!E299="",Responses!J299="",Responses!K299="",Responses!I299=""),1,0)</f>
        <v>0</v>
      </c>
      <c r="D299" s="30" t="n">
        <f aca="false">IF(Responses!I299="",0,IF(OR(Responses!I299&lt;Assumptions!$B$4,Responses!I299&gt;Assumptions!$B$5),1,0))</f>
        <v>0</v>
      </c>
      <c r="E299" s="30" t="n">
        <f aca="false">IF(Responses!Q299&lt;Assumptions!$B$6,1,0)</f>
        <v>0</v>
      </c>
      <c r="F299" s="30" t="n">
        <f aca="false">IF(OR(AND(Responses!K299="No",Responses!L299&lt;&gt;""),AND(Responses!K299="Yes",Responses!L299="")),1,0)</f>
        <v>0</v>
      </c>
      <c r="G299" s="30" t="n">
        <f aca="false">SUM(B299:F299)</f>
        <v>0</v>
      </c>
      <c r="H299" s="30" t="str">
        <f aca="false">IF(G299=0,"Valid","Review")</f>
        <v>Valid</v>
      </c>
      <c r="I299" s="30" t="n">
        <f aca="false">IF(G299=0,1,0)</f>
        <v>1</v>
      </c>
    </row>
    <row r="300" customFormat="false" ht="15" hidden="false" customHeight="false" outlineLevel="0" collapsed="false">
      <c r="A300" s="30" t="str">
        <f aca="false">Responses!A300</f>
        <v>S0220</v>
      </c>
      <c r="B300" s="30" t="n">
        <f aca="false">IF(COUNTIF(Responses!$A$2:A300,Responses!A300)&gt;1,1,0)</f>
        <v>0</v>
      </c>
      <c r="C300" s="30" t="n">
        <f aca="false">IF(OR(Responses!D300="",Responses!E300="",Responses!J300="",Responses!K300="",Responses!I300=""),1,0)</f>
        <v>0</v>
      </c>
      <c r="D300" s="30" t="n">
        <f aca="false">IF(Responses!I300="",0,IF(OR(Responses!I300&lt;Assumptions!$B$4,Responses!I300&gt;Assumptions!$B$5),1,0))</f>
        <v>0</v>
      </c>
      <c r="E300" s="30" t="n">
        <f aca="false">IF(Responses!Q300&lt;Assumptions!$B$6,1,0)</f>
        <v>0</v>
      </c>
      <c r="F300" s="30" t="n">
        <f aca="false">IF(OR(AND(Responses!K300="No",Responses!L300&lt;&gt;""),AND(Responses!K300="Yes",Responses!L300="")),1,0)</f>
        <v>0</v>
      </c>
      <c r="G300" s="30" t="n">
        <f aca="false">SUM(B300:F300)</f>
        <v>0</v>
      </c>
      <c r="H300" s="30" t="str">
        <f aca="false">IF(G300=0,"Valid","Review")</f>
        <v>Valid</v>
      </c>
      <c r="I300" s="30" t="n">
        <f aca="false">IF(G300=0,1,0)</f>
        <v>1</v>
      </c>
    </row>
    <row r="301" customFormat="false" ht="15" hidden="false" customHeight="false" outlineLevel="0" collapsed="false">
      <c r="A301" s="30" t="str">
        <f aca="false">Responses!A301</f>
        <v>S0221</v>
      </c>
      <c r="B301" s="30" t="n">
        <f aca="false">IF(COUNTIF(Responses!$A$2:A301,Responses!A301)&gt;1,1,0)</f>
        <v>0</v>
      </c>
      <c r="C301" s="30" t="n">
        <f aca="false">IF(OR(Responses!D301="",Responses!E301="",Responses!J301="",Responses!K301="",Responses!I301=""),1,0)</f>
        <v>0</v>
      </c>
      <c r="D301" s="30" t="n">
        <f aca="false">IF(Responses!I301="",0,IF(OR(Responses!I301&lt;Assumptions!$B$4,Responses!I301&gt;Assumptions!$B$5),1,0))</f>
        <v>0</v>
      </c>
      <c r="E301" s="30" t="n">
        <f aca="false">IF(Responses!Q301&lt;Assumptions!$B$6,1,0)</f>
        <v>1</v>
      </c>
      <c r="F301" s="30" t="n">
        <f aca="false">IF(OR(AND(Responses!K301="No",Responses!L301&lt;&gt;""),AND(Responses!K301="Yes",Responses!L301="")),1,0)</f>
        <v>0</v>
      </c>
      <c r="G301" s="30" t="n">
        <f aca="false">SUM(B301:F301)</f>
        <v>1</v>
      </c>
      <c r="H301" s="30" t="str">
        <f aca="false">IF(G301=0,"Valid","Review")</f>
        <v>Review</v>
      </c>
      <c r="I301" s="30" t="n">
        <f aca="false">IF(G301=0,1,0)</f>
        <v>0</v>
      </c>
    </row>
    <row r="302" customFormat="false" ht="15" hidden="false" customHeight="false" outlineLevel="0" collapsed="false">
      <c r="A302" s="30" t="str">
        <f aca="false">Responses!A302</f>
        <v>S0257</v>
      </c>
      <c r="B302" s="30" t="n">
        <f aca="false">IF(COUNTIF(Responses!$A$2:A302,Responses!A302)&gt;1,1,0)</f>
        <v>0</v>
      </c>
      <c r="C302" s="30" t="n">
        <f aca="false">IF(OR(Responses!D302="",Responses!E302="",Responses!J302="",Responses!K302="",Responses!I302=""),1,0)</f>
        <v>0</v>
      </c>
      <c r="D302" s="30" t="n">
        <f aca="false">IF(Responses!I302="",0,IF(OR(Responses!I302&lt;Assumptions!$B$4,Responses!I302&gt;Assumptions!$B$5),1,0))</f>
        <v>0</v>
      </c>
      <c r="E302" s="30" t="n">
        <f aca="false">IF(Responses!Q302&lt;Assumptions!$B$6,1,0)</f>
        <v>0</v>
      </c>
      <c r="F302" s="30" t="n">
        <f aca="false">IF(OR(AND(Responses!K302="No",Responses!L302&lt;&gt;""),AND(Responses!K302="Yes",Responses!L302="")),1,0)</f>
        <v>0</v>
      </c>
      <c r="G302" s="30" t="n">
        <f aca="false">SUM(B302:F302)</f>
        <v>0</v>
      </c>
      <c r="H302" s="30" t="str">
        <f aca="false">IF(G302=0,"Valid","Review")</f>
        <v>Valid</v>
      </c>
      <c r="I302" s="30" t="n">
        <f aca="false">IF(G302=0,1,0)</f>
        <v>1</v>
      </c>
    </row>
    <row r="303" customFormat="false" ht="15" hidden="false" customHeight="false" outlineLevel="0" collapsed="false">
      <c r="A303" s="30" t="str">
        <f aca="false">Responses!A303</f>
        <v>S0264</v>
      </c>
      <c r="B303" s="30" t="n">
        <f aca="false">IF(COUNTIF(Responses!$A$2:A303,Responses!A303)&gt;1,1,0)</f>
        <v>0</v>
      </c>
      <c r="C303" s="30" t="n">
        <f aca="false">IF(OR(Responses!D303="",Responses!E303="",Responses!J303="",Responses!K303="",Responses!I303=""),1,0)</f>
        <v>0</v>
      </c>
      <c r="D303" s="30" t="n">
        <f aca="false">IF(Responses!I303="",0,IF(OR(Responses!I303&lt;Assumptions!$B$4,Responses!I303&gt;Assumptions!$B$5),1,0))</f>
        <v>0</v>
      </c>
      <c r="E303" s="30" t="n">
        <f aca="false">IF(Responses!Q303&lt;Assumptions!$B$6,1,0)</f>
        <v>0</v>
      </c>
      <c r="F303" s="30" t="n">
        <f aca="false">IF(OR(AND(Responses!K303="No",Responses!L303&lt;&gt;""),AND(Responses!K303="Yes",Responses!L303="")),1,0)</f>
        <v>0</v>
      </c>
      <c r="G303" s="30" t="n">
        <f aca="false">SUM(B303:F303)</f>
        <v>0</v>
      </c>
      <c r="H303" s="30" t="str">
        <f aca="false">IF(G303=0,"Valid","Review")</f>
        <v>Valid</v>
      </c>
      <c r="I303" s="30" t="n">
        <f aca="false">IF(G303=0,1,0)</f>
        <v>1</v>
      </c>
    </row>
    <row r="304" customFormat="false" ht="15" hidden="false" customHeight="false" outlineLevel="0" collapsed="false">
      <c r="A304" s="30" t="str">
        <f aca="false">Responses!A304</f>
        <v>S0275</v>
      </c>
      <c r="B304" s="30" t="n">
        <f aca="false">IF(COUNTIF(Responses!$A$2:A304,Responses!A304)&gt;1,1,0)</f>
        <v>0</v>
      </c>
      <c r="C304" s="30" t="n">
        <f aca="false">IF(OR(Responses!D304="",Responses!E304="",Responses!J304="",Responses!K304="",Responses!I304=""),1,0)</f>
        <v>0</v>
      </c>
      <c r="D304" s="30" t="n">
        <f aca="false">IF(Responses!I304="",0,IF(OR(Responses!I304&lt;Assumptions!$B$4,Responses!I304&gt;Assumptions!$B$5),1,0))</f>
        <v>0</v>
      </c>
      <c r="E304" s="30" t="n">
        <f aca="false">IF(Responses!Q304&lt;Assumptions!$B$6,1,0)</f>
        <v>0</v>
      </c>
      <c r="F304" s="30" t="n">
        <f aca="false">IF(OR(AND(Responses!K304="No",Responses!L304&lt;&gt;""),AND(Responses!K304="Yes",Responses!L304="")),1,0)</f>
        <v>0</v>
      </c>
      <c r="G304" s="30" t="n">
        <f aca="false">SUM(B304:F304)</f>
        <v>0</v>
      </c>
      <c r="H304" s="30" t="str">
        <f aca="false">IF(G304=0,"Valid","Review")</f>
        <v>Valid</v>
      </c>
      <c r="I304" s="30" t="n">
        <f aca="false">IF(G304=0,1,0)</f>
        <v>1</v>
      </c>
    </row>
    <row r="305" customFormat="false" ht="15" hidden="false" customHeight="false" outlineLevel="0" collapsed="false">
      <c r="A305" s="30" t="str">
        <f aca="false">Responses!A305</f>
        <v>S0294</v>
      </c>
      <c r="B305" s="30" t="n">
        <f aca="false">IF(COUNTIF(Responses!$A$2:A305,Responses!A305)&gt;1,1,0)</f>
        <v>0</v>
      </c>
      <c r="C305" s="30" t="n">
        <f aca="false">IF(OR(Responses!D305="",Responses!E305="",Responses!J305="",Responses!K305="",Responses!I305=""),1,0)</f>
        <v>0</v>
      </c>
      <c r="D305" s="30" t="n">
        <f aca="false">IF(Responses!I305="",0,IF(OR(Responses!I305&lt;Assumptions!$B$4,Responses!I305&gt;Assumptions!$B$5),1,0))</f>
        <v>0</v>
      </c>
      <c r="E305" s="30" t="n">
        <f aca="false">IF(Responses!Q305&lt;Assumptions!$B$6,1,0)</f>
        <v>0</v>
      </c>
      <c r="F305" s="30" t="n">
        <f aca="false">IF(OR(AND(Responses!K305="No",Responses!L305&lt;&gt;""),AND(Responses!K305="Yes",Responses!L305="")),1,0)</f>
        <v>0</v>
      </c>
      <c r="G305" s="30" t="n">
        <f aca="false">SUM(B305:F305)</f>
        <v>0</v>
      </c>
      <c r="H305" s="30" t="str">
        <f aca="false">IF(G305=0,"Valid","Review")</f>
        <v>Valid</v>
      </c>
      <c r="I305" s="30" t="n">
        <f aca="false">IF(G305=0,1,0)</f>
        <v>1</v>
      </c>
    </row>
    <row r="306" customFormat="false" ht="15" hidden="false" customHeight="false" outlineLevel="0" collapsed="false">
      <c r="A306" s="30" t="str">
        <f aca="false">Responses!A306</f>
        <v>S0032</v>
      </c>
      <c r="B306" s="30" t="n">
        <f aca="false">IF(COUNTIF(Responses!$A$2:A306,Responses!A306)&gt;1,1,0)</f>
        <v>0</v>
      </c>
      <c r="C306" s="30" t="n">
        <f aca="false">IF(OR(Responses!D306="",Responses!E306="",Responses!J306="",Responses!K306="",Responses!I306=""),1,0)</f>
        <v>0</v>
      </c>
      <c r="D306" s="30" t="n">
        <f aca="false">IF(Responses!I306="",0,IF(OR(Responses!I306&lt;Assumptions!$B$4,Responses!I306&gt;Assumptions!$B$5),1,0))</f>
        <v>0</v>
      </c>
      <c r="E306" s="30" t="n">
        <f aca="false">IF(Responses!Q306&lt;Assumptions!$B$6,1,0)</f>
        <v>0</v>
      </c>
      <c r="F306" s="30" t="n">
        <f aca="false">IF(OR(AND(Responses!K306="No",Responses!L306&lt;&gt;""),AND(Responses!K306="Yes",Responses!L306="")),1,0)</f>
        <v>0</v>
      </c>
      <c r="G306" s="30" t="n">
        <f aca="false">SUM(B306:F306)</f>
        <v>0</v>
      </c>
      <c r="H306" s="30" t="str">
        <f aca="false">IF(G306=0,"Valid","Review")</f>
        <v>Valid</v>
      </c>
      <c r="I306" s="30" t="n">
        <f aca="false">IF(G306=0,1,0)</f>
        <v>1</v>
      </c>
    </row>
    <row r="307" customFormat="false" ht="15" hidden="false" customHeight="false" outlineLevel="0" collapsed="false">
      <c r="A307" s="30" t="str">
        <f aca="false">Responses!A307</f>
        <v>S0056</v>
      </c>
      <c r="B307" s="30" t="n">
        <f aca="false">IF(COUNTIF(Responses!$A$2:A307,Responses!A307)&gt;1,1,0)</f>
        <v>0</v>
      </c>
      <c r="C307" s="30" t="n">
        <f aca="false">IF(OR(Responses!D307="",Responses!E307="",Responses!J307="",Responses!K307="",Responses!I307=""),1,0)</f>
        <v>0</v>
      </c>
      <c r="D307" s="30" t="n">
        <f aca="false">IF(Responses!I307="",0,IF(OR(Responses!I307&lt;Assumptions!$B$4,Responses!I307&gt;Assumptions!$B$5),1,0))</f>
        <v>0</v>
      </c>
      <c r="E307" s="30" t="n">
        <f aca="false">IF(Responses!Q307&lt;Assumptions!$B$6,1,0)</f>
        <v>0</v>
      </c>
      <c r="F307" s="30" t="n">
        <f aca="false">IF(OR(AND(Responses!K307="No",Responses!L307&lt;&gt;""),AND(Responses!K307="Yes",Responses!L307="")),1,0)</f>
        <v>0</v>
      </c>
      <c r="G307" s="30" t="n">
        <f aca="false">SUM(B307:F307)</f>
        <v>0</v>
      </c>
      <c r="H307" s="30" t="str">
        <f aca="false">IF(G307=0,"Valid","Review")</f>
        <v>Valid</v>
      </c>
      <c r="I307" s="30" t="n">
        <f aca="false">IF(G307=0,1,0)</f>
        <v>1</v>
      </c>
    </row>
    <row r="308" customFormat="false" ht="15" hidden="false" customHeight="false" outlineLevel="0" collapsed="false">
      <c r="A308" s="30" t="str">
        <f aca="false">Responses!A308</f>
        <v>S0067</v>
      </c>
      <c r="B308" s="30" t="n">
        <f aca="false">IF(COUNTIF(Responses!$A$2:A308,Responses!A308)&gt;1,1,0)</f>
        <v>0</v>
      </c>
      <c r="C308" s="30" t="n">
        <f aca="false">IF(OR(Responses!D308="",Responses!E308="",Responses!J308="",Responses!K308="",Responses!I308=""),1,0)</f>
        <v>0</v>
      </c>
      <c r="D308" s="30" t="n">
        <f aca="false">IF(Responses!I308="",0,IF(OR(Responses!I308&lt;Assumptions!$B$4,Responses!I308&gt;Assumptions!$B$5),1,0))</f>
        <v>0</v>
      </c>
      <c r="E308" s="30" t="n">
        <f aca="false">IF(Responses!Q308&lt;Assumptions!$B$6,1,0)</f>
        <v>0</v>
      </c>
      <c r="F308" s="30" t="n">
        <f aca="false">IF(OR(AND(Responses!K308="No",Responses!L308&lt;&gt;""),AND(Responses!K308="Yes",Responses!L308="")),1,0)</f>
        <v>0</v>
      </c>
      <c r="G308" s="30" t="n">
        <f aca="false">SUM(B308:F308)</f>
        <v>0</v>
      </c>
      <c r="H308" s="30" t="str">
        <f aca="false">IF(G308=0,"Valid","Review")</f>
        <v>Valid</v>
      </c>
      <c r="I308" s="30" t="n">
        <f aca="false">IF(G308=0,1,0)</f>
        <v>1</v>
      </c>
    </row>
    <row r="309" customFormat="false" ht="15" hidden="false" customHeight="false" outlineLevel="0" collapsed="false">
      <c r="A309" s="30" t="str">
        <f aca="false">Responses!A309</f>
        <v>S0076</v>
      </c>
      <c r="B309" s="30" t="n">
        <f aca="false">IF(COUNTIF(Responses!$A$2:A309,Responses!A309)&gt;1,1,0)</f>
        <v>0</v>
      </c>
      <c r="C309" s="30" t="n">
        <f aca="false">IF(OR(Responses!D309="",Responses!E309="",Responses!J309="",Responses!K309="",Responses!I309=""),1,0)</f>
        <v>0</v>
      </c>
      <c r="D309" s="30" t="n">
        <f aca="false">IF(Responses!I309="",0,IF(OR(Responses!I309&lt;Assumptions!$B$4,Responses!I309&gt;Assumptions!$B$5),1,0))</f>
        <v>0</v>
      </c>
      <c r="E309" s="30" t="n">
        <f aca="false">IF(Responses!Q309&lt;Assumptions!$B$6,1,0)</f>
        <v>0</v>
      </c>
      <c r="F309" s="30" t="n">
        <f aca="false">IF(OR(AND(Responses!K309="No",Responses!L309&lt;&gt;""),AND(Responses!K309="Yes",Responses!L309="")),1,0)</f>
        <v>0</v>
      </c>
      <c r="G309" s="30" t="n">
        <f aca="false">SUM(B309:F309)</f>
        <v>0</v>
      </c>
      <c r="H309" s="30" t="str">
        <f aca="false">IF(G309=0,"Valid","Review")</f>
        <v>Valid</v>
      </c>
      <c r="I309" s="30" t="n">
        <f aca="false">IF(G309=0,1,0)</f>
        <v>1</v>
      </c>
    </row>
    <row r="310" customFormat="false" ht="15" hidden="false" customHeight="false" outlineLevel="0" collapsed="false">
      <c r="A310" s="30" t="str">
        <f aca="false">Responses!A310</f>
        <v>S0119</v>
      </c>
      <c r="B310" s="30" t="n">
        <f aca="false">IF(COUNTIF(Responses!$A$2:A310,Responses!A310)&gt;1,1,0)</f>
        <v>0</v>
      </c>
      <c r="C310" s="30" t="n">
        <f aca="false">IF(OR(Responses!D310="",Responses!E310="",Responses!J310="",Responses!K310="",Responses!I310=""),1,0)</f>
        <v>0</v>
      </c>
      <c r="D310" s="30" t="n">
        <f aca="false">IF(Responses!I310="",0,IF(OR(Responses!I310&lt;Assumptions!$B$4,Responses!I310&gt;Assumptions!$B$5),1,0))</f>
        <v>0</v>
      </c>
      <c r="E310" s="30" t="n">
        <f aca="false">IF(Responses!Q310&lt;Assumptions!$B$6,1,0)</f>
        <v>0</v>
      </c>
      <c r="F310" s="30" t="n">
        <f aca="false">IF(OR(AND(Responses!K310="No",Responses!L310&lt;&gt;""),AND(Responses!K310="Yes",Responses!L310="")),1,0)</f>
        <v>0</v>
      </c>
      <c r="G310" s="30" t="n">
        <f aca="false">SUM(B310:F310)</f>
        <v>0</v>
      </c>
      <c r="H310" s="30" t="str">
        <f aca="false">IF(G310=0,"Valid","Review")</f>
        <v>Valid</v>
      </c>
      <c r="I310" s="30" t="n">
        <f aca="false">IF(G310=0,1,0)</f>
        <v>1</v>
      </c>
    </row>
    <row r="311" customFormat="false" ht="15" hidden="false" customHeight="false" outlineLevel="0" collapsed="false">
      <c r="A311" s="30" t="str">
        <f aca="false">Responses!A311</f>
        <v>S0173</v>
      </c>
      <c r="B311" s="30" t="n">
        <f aca="false">IF(COUNTIF(Responses!$A$2:A311,Responses!A311)&gt;1,1,0)</f>
        <v>0</v>
      </c>
      <c r="C311" s="30" t="n">
        <f aca="false">IF(OR(Responses!D311="",Responses!E311="",Responses!J311="",Responses!K311="",Responses!I311=""),1,0)</f>
        <v>0</v>
      </c>
      <c r="D311" s="30" t="n">
        <f aca="false">IF(Responses!I311="",0,IF(OR(Responses!I311&lt;Assumptions!$B$4,Responses!I311&gt;Assumptions!$B$5),1,0))</f>
        <v>0</v>
      </c>
      <c r="E311" s="30" t="n">
        <f aca="false">IF(Responses!Q311&lt;Assumptions!$B$6,1,0)</f>
        <v>0</v>
      </c>
      <c r="F311" s="30" t="n">
        <f aca="false">IF(OR(AND(Responses!K311="No",Responses!L311&lt;&gt;""),AND(Responses!K311="Yes",Responses!L311="")),1,0)</f>
        <v>0</v>
      </c>
      <c r="G311" s="30" t="n">
        <f aca="false">SUM(B311:F311)</f>
        <v>0</v>
      </c>
      <c r="H311" s="30" t="str">
        <f aca="false">IF(G311=0,"Valid","Review")</f>
        <v>Valid</v>
      </c>
      <c r="I311" s="30" t="n">
        <f aca="false">IF(G311=0,1,0)</f>
        <v>1</v>
      </c>
    </row>
    <row r="312" customFormat="false" ht="15" hidden="false" customHeight="false" outlineLevel="0" collapsed="false">
      <c r="A312" s="30" t="str">
        <f aca="false">Responses!A312</f>
        <v>S0258</v>
      </c>
      <c r="B312" s="30" t="n">
        <f aca="false">IF(COUNTIF(Responses!$A$2:A312,Responses!A312)&gt;1,1,0)</f>
        <v>0</v>
      </c>
      <c r="C312" s="30" t="n">
        <f aca="false">IF(OR(Responses!D312="",Responses!E312="",Responses!J312="",Responses!K312="",Responses!I312=""),1,0)</f>
        <v>0</v>
      </c>
      <c r="D312" s="30" t="n">
        <f aca="false">IF(Responses!I312="",0,IF(OR(Responses!I312&lt;Assumptions!$B$4,Responses!I312&gt;Assumptions!$B$5),1,0))</f>
        <v>0</v>
      </c>
      <c r="E312" s="30" t="n">
        <f aca="false">IF(Responses!Q312&lt;Assumptions!$B$6,1,0)</f>
        <v>0</v>
      </c>
      <c r="F312" s="30" t="n">
        <f aca="false">IF(OR(AND(Responses!K312="No",Responses!L312&lt;&gt;""),AND(Responses!K312="Yes",Responses!L312="")),1,0)</f>
        <v>0</v>
      </c>
      <c r="G312" s="30" t="n">
        <f aca="false">SUM(B312:F312)</f>
        <v>0</v>
      </c>
      <c r="H312" s="30" t="str">
        <f aca="false">IF(G312=0,"Valid","Review")</f>
        <v>Valid</v>
      </c>
      <c r="I312" s="30" t="n">
        <f aca="false">IF(G312=0,1,0)</f>
        <v>1</v>
      </c>
    </row>
    <row r="313" customFormat="false" ht="15" hidden="false" customHeight="false" outlineLevel="0" collapsed="false">
      <c r="A313" s="30" t="str">
        <f aca="false">Responses!A313</f>
        <v>S0263</v>
      </c>
      <c r="B313" s="30" t="n">
        <f aca="false">IF(COUNTIF(Responses!$A$2:A313,Responses!A313)&gt;1,1,0)</f>
        <v>0</v>
      </c>
      <c r="C313" s="30" t="n">
        <f aca="false">IF(OR(Responses!D313="",Responses!E313="",Responses!J313="",Responses!K313="",Responses!I313=""),1,0)</f>
        <v>0</v>
      </c>
      <c r="D313" s="30" t="n">
        <f aca="false">IF(Responses!I313="",0,IF(OR(Responses!I313&lt;Assumptions!$B$4,Responses!I313&gt;Assumptions!$B$5),1,0))</f>
        <v>0</v>
      </c>
      <c r="E313" s="30" t="n">
        <f aca="false">IF(Responses!Q313&lt;Assumptions!$B$6,1,0)</f>
        <v>0</v>
      </c>
      <c r="F313" s="30" t="n">
        <f aca="false">IF(OR(AND(Responses!K313="No",Responses!L313&lt;&gt;""),AND(Responses!K313="Yes",Responses!L313="")),1,0)</f>
        <v>0</v>
      </c>
      <c r="G313" s="30" t="n">
        <f aca="false">SUM(B313:F313)</f>
        <v>0</v>
      </c>
      <c r="H313" s="30" t="str">
        <f aca="false">IF(G313=0,"Valid","Review")</f>
        <v>Valid</v>
      </c>
      <c r="I313" s="30" t="n">
        <f aca="false">IF(G313=0,1,0)</f>
        <v>1</v>
      </c>
    </row>
    <row r="314" customFormat="false" ht="15" hidden="false" customHeight="false" outlineLevel="0" collapsed="false">
      <c r="A314" s="30" t="str">
        <f aca="false">Responses!A314</f>
        <v>S0288</v>
      </c>
      <c r="B314" s="30" t="n">
        <f aca="false">IF(COUNTIF(Responses!$A$2:A314,Responses!A314)&gt;1,1,0)</f>
        <v>0</v>
      </c>
      <c r="C314" s="30" t="n">
        <f aca="false">IF(OR(Responses!D314="",Responses!E314="",Responses!J314="",Responses!K314="",Responses!I314=""),1,0)</f>
        <v>0</v>
      </c>
      <c r="D314" s="30" t="n">
        <f aca="false">IF(Responses!I314="",0,IF(OR(Responses!I314&lt;Assumptions!$B$4,Responses!I314&gt;Assumptions!$B$5),1,0))</f>
        <v>0</v>
      </c>
      <c r="E314" s="30" t="n">
        <f aca="false">IF(Responses!Q314&lt;Assumptions!$B$6,1,0)</f>
        <v>0</v>
      </c>
      <c r="F314" s="30" t="n">
        <f aca="false">IF(OR(AND(Responses!K314="No",Responses!L314&lt;&gt;""),AND(Responses!K314="Yes",Responses!L314="")),1,0)</f>
        <v>0</v>
      </c>
      <c r="G314" s="30" t="n">
        <f aca="false">SUM(B314:F314)</f>
        <v>0</v>
      </c>
      <c r="H314" s="30" t="str">
        <f aca="false">IF(G314=0,"Valid","Review")</f>
        <v>Valid</v>
      </c>
      <c r="I314" s="30" t="n">
        <f aca="false">IF(G314=0,1,0)</f>
        <v>1</v>
      </c>
    </row>
    <row r="315" customFormat="false" ht="15" hidden="false" customHeight="false" outlineLevel="0" collapsed="false">
      <c r="A315" s="30" t="str">
        <f aca="false">Responses!A315</f>
        <v>S0292</v>
      </c>
      <c r="B315" s="30" t="n">
        <f aca="false">IF(COUNTIF(Responses!$A$2:A315,Responses!A315)&gt;1,1,0)</f>
        <v>0</v>
      </c>
      <c r="C315" s="30" t="n">
        <f aca="false">IF(OR(Responses!D315="",Responses!E315="",Responses!J315="",Responses!K315="",Responses!I315=""),1,0)</f>
        <v>0</v>
      </c>
      <c r="D315" s="30" t="n">
        <f aca="false">IF(Responses!I315="",0,IF(OR(Responses!I315&lt;Assumptions!$B$4,Responses!I315&gt;Assumptions!$B$5),1,0))</f>
        <v>0</v>
      </c>
      <c r="E315" s="30" t="n">
        <f aca="false">IF(Responses!Q315&lt;Assumptions!$B$6,1,0)</f>
        <v>0</v>
      </c>
      <c r="F315" s="30" t="n">
        <f aca="false">IF(OR(AND(Responses!K315="No",Responses!L315&lt;&gt;""),AND(Responses!K315="Yes",Responses!L315="")),1,0)</f>
        <v>0</v>
      </c>
      <c r="G315" s="30" t="n">
        <f aca="false">SUM(B315:F315)</f>
        <v>0</v>
      </c>
      <c r="H315" s="30" t="str">
        <f aca="false">IF(G315=0,"Valid","Review")</f>
        <v>Valid</v>
      </c>
      <c r="I315" s="30" t="n">
        <f aca="false">IF(G315=0,1,0)</f>
        <v>1</v>
      </c>
    </row>
  </sheetData>
  <conditionalFormatting sqref="H2:H315">
    <cfRule type="expression" priority="2" aboveAverage="0" equalAverage="0" bottom="0" percent="0" rank="0" text="" dxfId="1">
      <formula>H2="Review"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1"/>
    <col collapsed="false" customWidth="true" hidden="false" outlineLevel="0" max="4" min="4" style="0" width="12"/>
    <col collapsed="false" customWidth="true" hidden="false" outlineLevel="0" max="5" min="5" style="0" width="22"/>
    <col collapsed="false" customWidth="true" hidden="false" outlineLevel="0" max="7" min="6" style="0" width="10"/>
    <col collapsed="false" customWidth="true" hidden="false" outlineLevel="0" max="8" min="8" style="0" width="9"/>
    <col collapsed="false" customWidth="true" hidden="false" outlineLevel="0" max="9" min="9" style="0" width="7"/>
    <col collapsed="false" customWidth="true" hidden="false" outlineLevel="0" max="10" min="10" style="0" width="18"/>
    <col collapsed="false" customWidth="true" hidden="false" outlineLevel="0" max="11" min="11" style="0" width="11"/>
    <col collapsed="false" customWidth="true" hidden="false" outlineLevel="0" max="13" min="12" style="0" width="12"/>
    <col collapsed="false" customWidth="true" hidden="false" outlineLevel="0" max="14" min="14" style="0" width="28"/>
    <col collapsed="false" customWidth="true" hidden="false" outlineLevel="0" max="15" min="15" style="0" width="11"/>
    <col collapsed="false" customWidth="true" hidden="false" outlineLevel="0" max="16" min="16" style="0" width="12"/>
    <col collapsed="false" customWidth="true" hidden="false" outlineLevel="0" max="17" min="17" style="0" width="11"/>
  </cols>
  <sheetData>
    <row r="1" customFormat="false" ht="27.75" hidden="false" customHeight="true" outlineLevel="0" collapsed="false">
      <c r="A1" s="29" t="s">
        <v>135</v>
      </c>
      <c r="B1" s="29" t="s">
        <v>141</v>
      </c>
      <c r="C1" s="29" t="s">
        <v>89</v>
      </c>
      <c r="D1" s="29" t="s">
        <v>142</v>
      </c>
      <c r="E1" s="29" t="s">
        <v>51</v>
      </c>
      <c r="F1" s="29" t="s">
        <v>143</v>
      </c>
      <c r="G1" s="29" t="s">
        <v>144</v>
      </c>
      <c r="H1" s="29" t="s">
        <v>145</v>
      </c>
      <c r="I1" s="29" t="s">
        <v>146</v>
      </c>
      <c r="J1" s="29" t="s">
        <v>147</v>
      </c>
      <c r="K1" s="29" t="s">
        <v>148</v>
      </c>
      <c r="L1" s="29" t="s">
        <v>149</v>
      </c>
      <c r="M1" s="29" t="s">
        <v>150</v>
      </c>
      <c r="N1" s="29" t="s">
        <v>151</v>
      </c>
      <c r="O1" s="29" t="s">
        <v>152</v>
      </c>
      <c r="P1" s="29" t="s">
        <v>55</v>
      </c>
      <c r="Q1" s="29" t="s">
        <v>153</v>
      </c>
    </row>
    <row r="2" customFormat="false" ht="15" hidden="false" customHeight="false" outlineLevel="0" collapsed="false">
      <c r="A2" s="30" t="s">
        <v>154</v>
      </c>
      <c r="B2" s="31" t="n">
        <v>46251</v>
      </c>
      <c r="C2" s="30" t="s">
        <v>95</v>
      </c>
      <c r="D2" s="30" t="s">
        <v>44</v>
      </c>
      <c r="E2" s="30" t="s">
        <v>56</v>
      </c>
      <c r="F2" s="30" t="n">
        <v>3</v>
      </c>
      <c r="G2" s="30" t="n">
        <v>1</v>
      </c>
      <c r="H2" s="30" t="s">
        <v>71</v>
      </c>
      <c r="I2" s="30" t="n">
        <v>45</v>
      </c>
      <c r="J2" s="30" t="s">
        <v>155</v>
      </c>
      <c r="K2" s="30" t="s">
        <v>156</v>
      </c>
      <c r="L2" s="30" t="n">
        <v>46</v>
      </c>
      <c r="M2" s="30" t="s">
        <v>157</v>
      </c>
      <c r="N2" s="30"/>
      <c r="O2" s="30" t="n">
        <v>5</v>
      </c>
      <c r="P2" s="30" t="s">
        <v>156</v>
      </c>
      <c r="Q2" s="30" t="n">
        <v>9.4</v>
      </c>
    </row>
    <row r="3" customFormat="false" ht="15" hidden="false" customHeight="false" outlineLevel="0" collapsed="false">
      <c r="A3" s="30" t="s">
        <v>158</v>
      </c>
      <c r="B3" s="31" t="n">
        <v>46251</v>
      </c>
      <c r="C3" s="30" t="s">
        <v>95</v>
      </c>
      <c r="D3" s="30" t="s">
        <v>44</v>
      </c>
      <c r="E3" s="30" t="s">
        <v>58</v>
      </c>
      <c r="F3" s="30" t="n">
        <v>4</v>
      </c>
      <c r="G3" s="30" t="n">
        <v>2</v>
      </c>
      <c r="H3" s="30" t="s">
        <v>71</v>
      </c>
      <c r="I3" s="30" t="n">
        <v>35</v>
      </c>
      <c r="J3" s="30" t="s">
        <v>159</v>
      </c>
      <c r="K3" s="30" t="s">
        <v>156</v>
      </c>
      <c r="L3" s="30" t="n">
        <v>90</v>
      </c>
      <c r="M3" s="30" t="s">
        <v>156</v>
      </c>
      <c r="N3" s="30"/>
      <c r="O3" s="30" t="n">
        <v>2</v>
      </c>
      <c r="P3" s="30" t="s">
        <v>157</v>
      </c>
      <c r="Q3" s="30" t="n">
        <v>17</v>
      </c>
    </row>
    <row r="4" customFormat="false" ht="15" hidden="false" customHeight="false" outlineLevel="0" collapsed="false">
      <c r="A4" s="30" t="s">
        <v>160</v>
      </c>
      <c r="B4" s="31" t="n">
        <v>46251</v>
      </c>
      <c r="C4" s="30" t="s">
        <v>94</v>
      </c>
      <c r="D4" s="30" t="s">
        <v>44</v>
      </c>
      <c r="E4" s="30" t="s">
        <v>56</v>
      </c>
      <c r="F4" s="30" t="n">
        <v>3</v>
      </c>
      <c r="G4" s="30" t="n">
        <v>2</v>
      </c>
      <c r="H4" s="30" t="s">
        <v>70</v>
      </c>
      <c r="I4" s="30" t="n">
        <v>37</v>
      </c>
      <c r="J4" s="30" t="s">
        <v>155</v>
      </c>
      <c r="K4" s="30" t="s">
        <v>156</v>
      </c>
      <c r="L4" s="30" t="n">
        <v>57</v>
      </c>
      <c r="M4" s="30" t="s">
        <v>156</v>
      </c>
      <c r="N4" s="30"/>
      <c r="O4" s="30" t="n">
        <v>4</v>
      </c>
      <c r="P4" s="30" t="s">
        <v>157</v>
      </c>
      <c r="Q4" s="30" t="n">
        <v>12.2</v>
      </c>
    </row>
    <row r="5" customFormat="false" ht="15" hidden="false" customHeight="false" outlineLevel="0" collapsed="false">
      <c r="A5" s="30" t="s">
        <v>161</v>
      </c>
      <c r="B5" s="31" t="n">
        <v>46251</v>
      </c>
      <c r="C5" s="30" t="s">
        <v>94</v>
      </c>
      <c r="D5" s="30" t="s">
        <v>44</v>
      </c>
      <c r="E5" s="30" t="s">
        <v>57</v>
      </c>
      <c r="F5" s="30" t="n">
        <v>4</v>
      </c>
      <c r="G5" s="30" t="n">
        <v>2</v>
      </c>
      <c r="H5" s="30" t="s">
        <v>70</v>
      </c>
      <c r="I5" s="30" t="n">
        <v>35</v>
      </c>
      <c r="J5" s="30" t="s">
        <v>159</v>
      </c>
      <c r="K5" s="30" t="s">
        <v>156</v>
      </c>
      <c r="L5" s="30" t="n">
        <v>70</v>
      </c>
      <c r="M5" s="30" t="s">
        <v>156</v>
      </c>
      <c r="N5" s="30"/>
      <c r="O5" s="30" t="n">
        <v>5</v>
      </c>
      <c r="P5" s="30" t="s">
        <v>157</v>
      </c>
      <c r="Q5" s="30" t="n">
        <v>17</v>
      </c>
    </row>
    <row r="6" customFormat="false" ht="15" hidden="false" customHeight="false" outlineLevel="0" collapsed="false">
      <c r="A6" s="30" t="s">
        <v>162</v>
      </c>
      <c r="B6" s="31" t="n">
        <v>46251</v>
      </c>
      <c r="C6" s="30" t="s">
        <v>94</v>
      </c>
      <c r="D6" s="30" t="s">
        <v>44</v>
      </c>
      <c r="E6" s="30" t="s">
        <v>61</v>
      </c>
      <c r="F6" s="30" t="n">
        <v>0</v>
      </c>
      <c r="G6" s="30" t="n">
        <v>0</v>
      </c>
      <c r="H6" s="30" t="s">
        <v>71</v>
      </c>
      <c r="I6" s="30" t="n">
        <v>27</v>
      </c>
      <c r="J6" s="30" t="s">
        <v>159</v>
      </c>
      <c r="K6" s="30" t="s">
        <v>156</v>
      </c>
      <c r="L6" s="30" t="n">
        <v>70</v>
      </c>
      <c r="M6" s="30" t="s">
        <v>157</v>
      </c>
      <c r="N6" s="30"/>
      <c r="O6" s="30" t="n">
        <v>4</v>
      </c>
      <c r="P6" s="30" t="s">
        <v>157</v>
      </c>
      <c r="Q6" s="30" t="n">
        <v>18.7</v>
      </c>
    </row>
    <row r="7" customFormat="false" ht="15" hidden="false" customHeight="false" outlineLevel="0" collapsed="false">
      <c r="A7" s="30" t="s">
        <v>163</v>
      </c>
      <c r="B7" s="31" t="n">
        <v>46251</v>
      </c>
      <c r="C7" s="30" t="s">
        <v>95</v>
      </c>
      <c r="D7" s="30" t="s">
        <v>44</v>
      </c>
      <c r="E7" s="30" t="s">
        <v>58</v>
      </c>
      <c r="F7" s="30" t="n">
        <v>11</v>
      </c>
      <c r="G7" s="30" t="n">
        <v>2</v>
      </c>
      <c r="H7" s="30" t="s">
        <v>70</v>
      </c>
      <c r="I7" s="30" t="n">
        <v>40</v>
      </c>
      <c r="J7" s="30" t="s">
        <v>164</v>
      </c>
      <c r="K7" s="30" t="s">
        <v>156</v>
      </c>
      <c r="L7" s="30" t="n">
        <v>69</v>
      </c>
      <c r="M7" s="30" t="s">
        <v>156</v>
      </c>
      <c r="N7" s="30"/>
      <c r="O7" s="30" t="n">
        <v>5</v>
      </c>
      <c r="P7" s="30" t="s">
        <v>157</v>
      </c>
      <c r="Q7" s="30" t="n">
        <v>12.4</v>
      </c>
    </row>
    <row r="8" customFormat="false" ht="15" hidden="false" customHeight="false" outlineLevel="0" collapsed="false">
      <c r="A8" s="30" t="s">
        <v>165</v>
      </c>
      <c r="B8" s="31" t="n">
        <v>46251</v>
      </c>
      <c r="C8" s="30" t="s">
        <v>95</v>
      </c>
      <c r="D8" s="30" t="s">
        <v>44</v>
      </c>
      <c r="E8" s="30" t="s">
        <v>56</v>
      </c>
      <c r="F8" s="30" t="n">
        <v>12</v>
      </c>
      <c r="G8" s="30" t="n">
        <v>1</v>
      </c>
      <c r="H8" s="30" t="s">
        <v>70</v>
      </c>
      <c r="I8" s="30" t="n">
        <v>38</v>
      </c>
      <c r="J8" s="30" t="s">
        <v>159</v>
      </c>
      <c r="K8" s="30" t="s">
        <v>156</v>
      </c>
      <c r="L8" s="30" t="n">
        <v>64</v>
      </c>
      <c r="M8" s="30" t="s">
        <v>157</v>
      </c>
      <c r="N8" s="30"/>
      <c r="O8" s="30" t="n">
        <v>4</v>
      </c>
      <c r="P8" s="30" t="s">
        <v>157</v>
      </c>
      <c r="Q8" s="30" t="n">
        <v>13.1</v>
      </c>
    </row>
    <row r="9" customFormat="false" ht="15" hidden="false" customHeight="false" outlineLevel="0" collapsed="false">
      <c r="A9" s="30" t="s">
        <v>166</v>
      </c>
      <c r="B9" s="31" t="n">
        <v>46251</v>
      </c>
      <c r="C9" s="30" t="s">
        <v>96</v>
      </c>
      <c r="D9" s="30" t="s">
        <v>45</v>
      </c>
      <c r="E9" s="30" t="s">
        <v>56</v>
      </c>
      <c r="F9" s="30" t="n">
        <v>6</v>
      </c>
      <c r="G9" s="30" t="n">
        <v>3</v>
      </c>
      <c r="H9" s="30" t="s">
        <v>70</v>
      </c>
      <c r="I9" s="30" t="n">
        <v>33</v>
      </c>
      <c r="J9" s="30" t="s">
        <v>159</v>
      </c>
      <c r="K9" s="30" t="s">
        <v>156</v>
      </c>
      <c r="L9" s="30" t="n">
        <v>5</v>
      </c>
      <c r="M9" s="30" t="s">
        <v>157</v>
      </c>
      <c r="N9" s="30"/>
      <c r="O9" s="30" t="n">
        <v>4</v>
      </c>
      <c r="P9" s="30" t="s">
        <v>157</v>
      </c>
      <c r="Q9" s="30" t="n">
        <v>13.1</v>
      </c>
    </row>
    <row r="10" customFormat="false" ht="15" hidden="false" customHeight="false" outlineLevel="0" collapsed="false">
      <c r="A10" s="30" t="s">
        <v>167</v>
      </c>
      <c r="B10" s="31" t="n">
        <v>46251</v>
      </c>
      <c r="C10" s="30" t="s">
        <v>96</v>
      </c>
      <c r="D10" s="30" t="s">
        <v>45</v>
      </c>
      <c r="E10" s="30" t="s">
        <v>56</v>
      </c>
      <c r="F10" s="30" t="n">
        <v>8</v>
      </c>
      <c r="G10" s="30" t="n">
        <v>1</v>
      </c>
      <c r="H10" s="30" t="s">
        <v>70</v>
      </c>
      <c r="I10" s="30" t="n">
        <v>32</v>
      </c>
      <c r="J10" s="30" t="s">
        <v>164</v>
      </c>
      <c r="K10" s="30" t="s">
        <v>156</v>
      </c>
      <c r="L10" s="30" t="n">
        <v>5</v>
      </c>
      <c r="M10" s="30" t="s">
        <v>156</v>
      </c>
      <c r="N10" s="30"/>
      <c r="O10" s="30" t="n">
        <v>2</v>
      </c>
      <c r="P10" s="30" t="s">
        <v>157</v>
      </c>
      <c r="Q10" s="30" t="n">
        <v>11.4</v>
      </c>
    </row>
    <row r="11" customFormat="false" ht="15" hidden="false" customHeight="false" outlineLevel="0" collapsed="false">
      <c r="A11" s="30" t="s">
        <v>168</v>
      </c>
      <c r="B11" s="31" t="n">
        <v>46251</v>
      </c>
      <c r="C11" s="30" t="s">
        <v>96</v>
      </c>
      <c r="D11" s="30" t="s">
        <v>45</v>
      </c>
      <c r="E11" s="30" t="s">
        <v>60</v>
      </c>
      <c r="F11" s="30" t="n">
        <v>2</v>
      </c>
      <c r="G11" s="30" t="n">
        <v>0</v>
      </c>
      <c r="H11" s="30" t="s">
        <v>71</v>
      </c>
      <c r="I11" s="30" t="n">
        <v>19</v>
      </c>
      <c r="J11" s="30" t="s">
        <v>159</v>
      </c>
      <c r="K11" s="30" t="s">
        <v>156</v>
      </c>
      <c r="L11" s="30" t="n">
        <v>66</v>
      </c>
      <c r="M11" s="30" t="s">
        <v>157</v>
      </c>
      <c r="N11" s="30"/>
      <c r="O11" s="30" t="n">
        <v>4</v>
      </c>
      <c r="P11" s="30" t="s">
        <v>157</v>
      </c>
      <c r="Q11" s="30" t="n">
        <v>13.6</v>
      </c>
    </row>
    <row r="12" customFormat="false" ht="15" hidden="false" customHeight="false" outlineLevel="0" collapsed="false">
      <c r="A12" s="30" t="s">
        <v>169</v>
      </c>
      <c r="B12" s="31" t="n">
        <v>46251</v>
      </c>
      <c r="C12" s="30" t="s">
        <v>98</v>
      </c>
      <c r="D12" s="30" t="s">
        <v>46</v>
      </c>
      <c r="E12" s="30" t="s">
        <v>62</v>
      </c>
      <c r="F12" s="30" t="n">
        <v>15</v>
      </c>
      <c r="G12" s="30" t="n">
        <v>4</v>
      </c>
      <c r="H12" s="30" t="s">
        <v>71</v>
      </c>
      <c r="I12" s="30" t="n">
        <v>26</v>
      </c>
      <c r="J12" s="30" t="s">
        <v>155</v>
      </c>
      <c r="K12" s="30" t="s">
        <v>156</v>
      </c>
      <c r="L12" s="30" t="n">
        <v>43</v>
      </c>
      <c r="M12" s="30" t="s">
        <v>156</v>
      </c>
      <c r="N12" s="30"/>
      <c r="O12" s="30" t="n">
        <v>3</v>
      </c>
      <c r="P12" s="30" t="s">
        <v>157</v>
      </c>
      <c r="Q12" s="30" t="n">
        <v>3</v>
      </c>
    </row>
    <row r="13" customFormat="false" ht="15" hidden="false" customHeight="false" outlineLevel="0" collapsed="false">
      <c r="A13" s="30" t="s">
        <v>170</v>
      </c>
      <c r="B13" s="31" t="n">
        <v>46251</v>
      </c>
      <c r="C13" s="30" t="s">
        <v>100</v>
      </c>
      <c r="D13" s="30" t="s">
        <v>47</v>
      </c>
      <c r="E13" s="30" t="s">
        <v>62</v>
      </c>
      <c r="F13" s="30" t="n">
        <v>9</v>
      </c>
      <c r="G13" s="30" t="n">
        <v>0</v>
      </c>
      <c r="H13" s="30" t="s">
        <v>70</v>
      </c>
      <c r="I13" s="30" t="n">
        <v>21</v>
      </c>
      <c r="J13" s="30" t="s">
        <v>155</v>
      </c>
      <c r="K13" s="30" t="s">
        <v>157</v>
      </c>
      <c r="L13" s="30"/>
      <c r="M13" s="30" t="s">
        <v>156</v>
      </c>
      <c r="N13" s="30" t="s">
        <v>81</v>
      </c>
      <c r="O13" s="30"/>
      <c r="P13" s="30" t="s">
        <v>157</v>
      </c>
      <c r="Q13" s="30" t="n">
        <v>12.8</v>
      </c>
    </row>
    <row r="14" customFormat="false" ht="15" hidden="false" customHeight="false" outlineLevel="0" collapsed="false">
      <c r="A14" s="30" t="s">
        <v>171</v>
      </c>
      <c r="B14" s="31" t="n">
        <v>46251</v>
      </c>
      <c r="C14" s="30" t="s">
        <v>99</v>
      </c>
      <c r="D14" s="30" t="s">
        <v>47</v>
      </c>
      <c r="E14" s="30" t="s">
        <v>60</v>
      </c>
      <c r="F14" s="30" t="n">
        <v>2</v>
      </c>
      <c r="G14" s="30" t="n">
        <v>1</v>
      </c>
      <c r="H14" s="30" t="s">
        <v>71</v>
      </c>
      <c r="I14" s="30" t="n">
        <v>27</v>
      </c>
      <c r="J14" s="30" t="s">
        <v>155</v>
      </c>
      <c r="K14" s="30" t="s">
        <v>156</v>
      </c>
      <c r="L14" s="30" t="n">
        <v>47</v>
      </c>
      <c r="M14" s="30" t="s">
        <v>157</v>
      </c>
      <c r="N14" s="30"/>
      <c r="O14" s="30" t="n">
        <v>3</v>
      </c>
      <c r="P14" s="30" t="s">
        <v>156</v>
      </c>
      <c r="Q14" s="30" t="n">
        <v>18.2</v>
      </c>
    </row>
    <row r="15" customFormat="false" ht="15" hidden="false" customHeight="false" outlineLevel="0" collapsed="false">
      <c r="A15" s="30" t="s">
        <v>172</v>
      </c>
      <c r="B15" s="31" t="n">
        <v>46251</v>
      </c>
      <c r="C15" s="30" t="s">
        <v>100</v>
      </c>
      <c r="D15" s="30" t="s">
        <v>47</v>
      </c>
      <c r="E15" s="30" t="s">
        <v>56</v>
      </c>
      <c r="F15" s="30" t="n">
        <v>4</v>
      </c>
      <c r="G15" s="30" t="n">
        <v>0</v>
      </c>
      <c r="H15" s="30" t="s">
        <v>70</v>
      </c>
      <c r="I15" s="30" t="n">
        <v>35</v>
      </c>
      <c r="J15" s="30" t="s">
        <v>155</v>
      </c>
      <c r="K15" s="30" t="s">
        <v>156</v>
      </c>
      <c r="L15" s="30" t="n">
        <v>37</v>
      </c>
      <c r="M15" s="30" t="s">
        <v>157</v>
      </c>
      <c r="N15" s="30"/>
      <c r="O15" s="30" t="n">
        <v>4</v>
      </c>
      <c r="P15" s="30" t="s">
        <v>157</v>
      </c>
      <c r="Q15" s="30" t="n">
        <v>15.9</v>
      </c>
    </row>
    <row r="16" customFormat="false" ht="15" hidden="false" customHeight="false" outlineLevel="0" collapsed="false">
      <c r="A16" s="30" t="s">
        <v>173</v>
      </c>
      <c r="B16" s="31" t="n">
        <v>46252</v>
      </c>
      <c r="C16" s="30" t="s">
        <v>94</v>
      </c>
      <c r="D16" s="30" t="s">
        <v>44</v>
      </c>
      <c r="E16" s="30" t="s">
        <v>57</v>
      </c>
      <c r="F16" s="30" t="n">
        <v>12</v>
      </c>
      <c r="G16" s="30" t="n">
        <v>1</v>
      </c>
      <c r="H16" s="30" t="s">
        <v>71</v>
      </c>
      <c r="I16" s="30" t="n">
        <v>20</v>
      </c>
      <c r="J16" s="30" t="s">
        <v>155</v>
      </c>
      <c r="K16" s="30" t="s">
        <v>156</v>
      </c>
      <c r="L16" s="30" t="n">
        <v>86</v>
      </c>
      <c r="M16" s="30" t="s">
        <v>156</v>
      </c>
      <c r="N16" s="30"/>
      <c r="O16" s="30" t="n">
        <v>5</v>
      </c>
      <c r="P16" s="30" t="s">
        <v>157</v>
      </c>
      <c r="Q16" s="30" t="n">
        <v>12.8</v>
      </c>
    </row>
    <row r="17" customFormat="false" ht="15" hidden="false" customHeight="false" outlineLevel="0" collapsed="false">
      <c r="A17" s="30" t="s">
        <v>174</v>
      </c>
      <c r="B17" s="31" t="n">
        <v>46252</v>
      </c>
      <c r="C17" s="30" t="s">
        <v>95</v>
      </c>
      <c r="D17" s="30" t="s">
        <v>44</v>
      </c>
      <c r="E17" s="30" t="s">
        <v>56</v>
      </c>
      <c r="F17" s="30" t="n">
        <v>5</v>
      </c>
      <c r="G17" s="30" t="n">
        <v>1</v>
      </c>
      <c r="H17" s="30" t="s">
        <v>70</v>
      </c>
      <c r="I17" s="30" t="n">
        <v>46</v>
      </c>
      <c r="J17" s="30" t="s">
        <v>159</v>
      </c>
      <c r="K17" s="30" t="s">
        <v>157</v>
      </c>
      <c r="L17" s="30"/>
      <c r="M17" s="30" t="s">
        <v>157</v>
      </c>
      <c r="N17" s="30" t="s">
        <v>77</v>
      </c>
      <c r="O17" s="30"/>
      <c r="P17" s="30" t="s">
        <v>156</v>
      </c>
      <c r="Q17" s="30" t="n">
        <v>10.1</v>
      </c>
    </row>
    <row r="18" customFormat="false" ht="15" hidden="false" customHeight="false" outlineLevel="0" collapsed="false">
      <c r="A18" s="30" t="s">
        <v>175</v>
      </c>
      <c r="B18" s="31" t="n">
        <v>46252</v>
      </c>
      <c r="C18" s="30" t="s">
        <v>94</v>
      </c>
      <c r="D18" s="30" t="s">
        <v>44</v>
      </c>
      <c r="E18" s="30" t="s">
        <v>62</v>
      </c>
      <c r="F18" s="30" t="n">
        <v>5</v>
      </c>
      <c r="G18" s="30" t="n">
        <v>1</v>
      </c>
      <c r="H18" s="30" t="s">
        <v>70</v>
      </c>
      <c r="I18" s="30" t="n">
        <v>31</v>
      </c>
      <c r="J18" s="30" t="s">
        <v>176</v>
      </c>
      <c r="K18" s="30" t="s">
        <v>156</v>
      </c>
      <c r="L18" s="30" t="n">
        <v>57</v>
      </c>
      <c r="M18" s="30" t="s">
        <v>157</v>
      </c>
      <c r="N18" s="30"/>
      <c r="O18" s="30" t="n">
        <v>3</v>
      </c>
      <c r="P18" s="30" t="s">
        <v>157</v>
      </c>
      <c r="Q18" s="30" t="n">
        <v>10</v>
      </c>
    </row>
    <row r="19" customFormat="false" ht="15" hidden="false" customHeight="false" outlineLevel="0" collapsed="false">
      <c r="A19" s="30" t="s">
        <v>177</v>
      </c>
      <c r="B19" s="31" t="n">
        <v>46252</v>
      </c>
      <c r="C19" s="30" t="s">
        <v>94</v>
      </c>
      <c r="D19" s="30" t="s">
        <v>44</v>
      </c>
      <c r="E19" s="30" t="s">
        <v>56</v>
      </c>
      <c r="F19" s="30" t="n">
        <v>1</v>
      </c>
      <c r="G19" s="30" t="n">
        <v>1</v>
      </c>
      <c r="H19" s="30" t="s">
        <v>70</v>
      </c>
      <c r="I19" s="30" t="n">
        <v>41</v>
      </c>
      <c r="J19" s="30" t="s">
        <v>176</v>
      </c>
      <c r="K19" s="30" t="s">
        <v>156</v>
      </c>
      <c r="L19" s="30" t="n">
        <v>46</v>
      </c>
      <c r="M19" s="30" t="s">
        <v>156</v>
      </c>
      <c r="N19" s="30"/>
      <c r="O19" s="30" t="n">
        <v>3</v>
      </c>
      <c r="P19" s="30" t="s">
        <v>157</v>
      </c>
      <c r="Q19" s="30" t="n">
        <v>11.4</v>
      </c>
    </row>
    <row r="20" customFormat="false" ht="15" hidden="false" customHeight="false" outlineLevel="0" collapsed="false">
      <c r="A20" s="30" t="s">
        <v>178</v>
      </c>
      <c r="B20" s="31" t="n">
        <v>46252</v>
      </c>
      <c r="C20" s="30" t="s">
        <v>94</v>
      </c>
      <c r="D20" s="30" t="s">
        <v>44</v>
      </c>
      <c r="E20" s="30" t="s">
        <v>56</v>
      </c>
      <c r="F20" s="30" t="n">
        <v>7</v>
      </c>
      <c r="G20" s="30" t="n">
        <v>4</v>
      </c>
      <c r="H20" s="30" t="s">
        <v>71</v>
      </c>
      <c r="I20" s="30" t="n">
        <v>23</v>
      </c>
      <c r="J20" s="30" t="s">
        <v>176</v>
      </c>
      <c r="K20" s="30" t="s">
        <v>156</v>
      </c>
      <c r="L20" s="30" t="n">
        <v>24</v>
      </c>
      <c r="M20" s="30" t="s">
        <v>157</v>
      </c>
      <c r="N20" s="30"/>
      <c r="O20" s="30" t="n">
        <v>4</v>
      </c>
      <c r="P20" s="30" t="s">
        <v>157</v>
      </c>
      <c r="Q20" s="30" t="n">
        <v>17.8</v>
      </c>
    </row>
    <row r="21" customFormat="false" ht="15" hidden="false" customHeight="false" outlineLevel="0" collapsed="false">
      <c r="A21" s="30" t="s">
        <v>179</v>
      </c>
      <c r="B21" s="31" t="n">
        <v>46252</v>
      </c>
      <c r="C21" s="30" t="s">
        <v>96</v>
      </c>
      <c r="D21" s="30" t="s">
        <v>45</v>
      </c>
      <c r="E21" s="30" t="s">
        <v>57</v>
      </c>
      <c r="F21" s="30" t="n">
        <v>9</v>
      </c>
      <c r="G21" s="30" t="n">
        <v>0</v>
      </c>
      <c r="H21" s="30" t="s">
        <v>70</v>
      </c>
      <c r="I21" s="30" t="n">
        <v>40</v>
      </c>
      <c r="J21" s="30" t="s">
        <v>164</v>
      </c>
      <c r="K21" s="30" t="s">
        <v>157</v>
      </c>
      <c r="L21" s="30"/>
      <c r="M21" s="30" t="s">
        <v>157</v>
      </c>
      <c r="N21" s="30" t="s">
        <v>85</v>
      </c>
      <c r="O21" s="30"/>
      <c r="P21" s="30" t="s">
        <v>156</v>
      </c>
      <c r="Q21" s="30" t="n">
        <v>14.6</v>
      </c>
    </row>
    <row r="22" customFormat="false" ht="15" hidden="false" customHeight="false" outlineLevel="0" collapsed="false">
      <c r="A22" s="30" t="s">
        <v>180</v>
      </c>
      <c r="B22" s="31" t="n">
        <v>46252</v>
      </c>
      <c r="C22" s="30" t="s">
        <v>96</v>
      </c>
      <c r="D22" s="30" t="s">
        <v>45</v>
      </c>
      <c r="E22" s="30" t="s">
        <v>62</v>
      </c>
      <c r="F22" s="30" t="n">
        <v>6</v>
      </c>
      <c r="G22" s="30" t="n">
        <v>1</v>
      </c>
      <c r="H22" s="30" t="s">
        <v>70</v>
      </c>
      <c r="I22" s="30" t="n">
        <v>42</v>
      </c>
      <c r="J22" s="30" t="s">
        <v>155</v>
      </c>
      <c r="K22" s="30" t="s">
        <v>156</v>
      </c>
      <c r="L22" s="30" t="n">
        <v>18</v>
      </c>
      <c r="M22" s="30" t="s">
        <v>157</v>
      </c>
      <c r="N22" s="30"/>
      <c r="O22" s="30" t="n">
        <v>4</v>
      </c>
      <c r="P22" s="30" t="s">
        <v>156</v>
      </c>
      <c r="Q22" s="30" t="n">
        <v>10.4</v>
      </c>
    </row>
    <row r="23" customFormat="false" ht="15" hidden="false" customHeight="false" outlineLevel="0" collapsed="false">
      <c r="A23" s="30" t="s">
        <v>181</v>
      </c>
      <c r="B23" s="31" t="n">
        <v>46252</v>
      </c>
      <c r="C23" s="30" t="s">
        <v>96</v>
      </c>
      <c r="D23" s="30" t="s">
        <v>45</v>
      </c>
      <c r="E23" s="30" t="s">
        <v>56</v>
      </c>
      <c r="F23" s="30" t="n">
        <v>1</v>
      </c>
      <c r="G23" s="30" t="n">
        <v>1</v>
      </c>
      <c r="H23" s="30" t="s">
        <v>70</v>
      </c>
      <c r="I23" s="30" t="n">
        <v>34</v>
      </c>
      <c r="J23" s="30" t="s">
        <v>155</v>
      </c>
      <c r="K23" s="30" t="s">
        <v>156</v>
      </c>
      <c r="L23" s="30" t="n">
        <v>46</v>
      </c>
      <c r="M23" s="30" t="s">
        <v>156</v>
      </c>
      <c r="N23" s="30"/>
      <c r="O23" s="30" t="n">
        <v>5</v>
      </c>
      <c r="P23" s="30" t="s">
        <v>157</v>
      </c>
      <c r="Q23" s="30" t="n">
        <v>14.9</v>
      </c>
    </row>
    <row r="24" customFormat="false" ht="15" hidden="false" customHeight="false" outlineLevel="0" collapsed="false">
      <c r="A24" s="30" t="s">
        <v>182</v>
      </c>
      <c r="B24" s="31" t="n">
        <v>46252</v>
      </c>
      <c r="C24" s="30" t="s">
        <v>98</v>
      </c>
      <c r="D24" s="30"/>
      <c r="E24" s="30" t="s">
        <v>57</v>
      </c>
      <c r="F24" s="30" t="n">
        <v>4</v>
      </c>
      <c r="G24" s="30" t="n">
        <v>0</v>
      </c>
      <c r="H24" s="30" t="s">
        <v>70</v>
      </c>
      <c r="I24" s="30" t="n">
        <v>48</v>
      </c>
      <c r="J24" s="30" t="s">
        <v>159</v>
      </c>
      <c r="K24" s="30" t="s">
        <v>156</v>
      </c>
      <c r="L24" s="30" t="n">
        <v>28</v>
      </c>
      <c r="M24" s="30" t="s">
        <v>156</v>
      </c>
      <c r="N24" s="30"/>
      <c r="O24" s="30" t="n">
        <v>4</v>
      </c>
      <c r="P24" s="30" t="s">
        <v>157</v>
      </c>
      <c r="Q24" s="30" t="n">
        <v>5.4</v>
      </c>
    </row>
    <row r="25" customFormat="false" ht="15" hidden="false" customHeight="false" outlineLevel="0" collapsed="false">
      <c r="A25" s="30" t="s">
        <v>183</v>
      </c>
      <c r="B25" s="31" t="n">
        <v>46252</v>
      </c>
      <c r="C25" s="30" t="s">
        <v>98</v>
      </c>
      <c r="D25" s="30" t="s">
        <v>46</v>
      </c>
      <c r="E25" s="30" t="s">
        <v>56</v>
      </c>
      <c r="F25" s="30" t="n">
        <v>14</v>
      </c>
      <c r="G25" s="30" t="n">
        <v>1</v>
      </c>
      <c r="H25" s="30" t="s">
        <v>70</v>
      </c>
      <c r="I25" s="30" t="n">
        <v>19</v>
      </c>
      <c r="J25" s="30" t="s">
        <v>155</v>
      </c>
      <c r="K25" s="30" t="s">
        <v>156</v>
      </c>
      <c r="L25" s="30" t="n">
        <v>18</v>
      </c>
      <c r="M25" s="30" t="s">
        <v>156</v>
      </c>
      <c r="N25" s="30"/>
      <c r="O25" s="30" t="n">
        <v>5</v>
      </c>
      <c r="P25" s="30" t="s">
        <v>157</v>
      </c>
      <c r="Q25" s="30" t="n">
        <v>2.5</v>
      </c>
    </row>
    <row r="26" customFormat="false" ht="15" hidden="false" customHeight="false" outlineLevel="0" collapsed="false">
      <c r="A26" s="30" t="s">
        <v>184</v>
      </c>
      <c r="B26" s="31" t="n">
        <v>46252</v>
      </c>
      <c r="C26" s="30" t="s">
        <v>98</v>
      </c>
      <c r="D26" s="30" t="s">
        <v>46</v>
      </c>
      <c r="E26" s="30" t="s">
        <v>59</v>
      </c>
      <c r="F26" s="30" t="n">
        <v>5</v>
      </c>
      <c r="G26" s="30" t="n">
        <v>0</v>
      </c>
      <c r="H26" s="30" t="s">
        <v>70</v>
      </c>
      <c r="I26" s="30" t="n">
        <v>30</v>
      </c>
      <c r="J26" s="30" t="s">
        <v>155</v>
      </c>
      <c r="K26" s="30" t="s">
        <v>156</v>
      </c>
      <c r="L26" s="30" t="n">
        <v>21</v>
      </c>
      <c r="M26" s="30" t="s">
        <v>156</v>
      </c>
      <c r="N26" s="30"/>
      <c r="O26" s="30" t="n">
        <v>4</v>
      </c>
      <c r="P26" s="30" t="s">
        <v>156</v>
      </c>
      <c r="Q26" s="30" t="n">
        <v>6.3</v>
      </c>
    </row>
    <row r="27" customFormat="false" ht="15" hidden="false" customHeight="false" outlineLevel="0" collapsed="false">
      <c r="A27" s="30" t="s">
        <v>185</v>
      </c>
      <c r="B27" s="31" t="n">
        <v>46252</v>
      </c>
      <c r="C27" s="30" t="s">
        <v>98</v>
      </c>
      <c r="D27" s="30" t="s">
        <v>46</v>
      </c>
      <c r="E27" s="30" t="s">
        <v>60</v>
      </c>
      <c r="F27" s="30" t="n">
        <v>7</v>
      </c>
      <c r="G27" s="30" t="n">
        <v>2</v>
      </c>
      <c r="H27" s="30" t="s">
        <v>71</v>
      </c>
      <c r="I27" s="30" t="n">
        <v>29</v>
      </c>
      <c r="J27" s="30" t="s">
        <v>155</v>
      </c>
      <c r="K27" s="30" t="s">
        <v>156</v>
      </c>
      <c r="L27" s="30" t="n">
        <v>31</v>
      </c>
      <c r="M27" s="30" t="s">
        <v>156</v>
      </c>
      <c r="N27" s="30"/>
      <c r="O27" s="30" t="n">
        <v>5</v>
      </c>
      <c r="P27" s="30" t="s">
        <v>157</v>
      </c>
      <c r="Q27" s="30" t="n">
        <v>8.4</v>
      </c>
    </row>
    <row r="28" customFormat="false" ht="15" hidden="false" customHeight="false" outlineLevel="0" collapsed="false">
      <c r="A28" s="30" t="s">
        <v>186</v>
      </c>
      <c r="B28" s="31" t="n">
        <v>46252</v>
      </c>
      <c r="C28" s="30" t="s">
        <v>100</v>
      </c>
      <c r="D28" s="30" t="s">
        <v>47</v>
      </c>
      <c r="E28" s="30" t="s">
        <v>61</v>
      </c>
      <c r="F28" s="30" t="n">
        <v>4</v>
      </c>
      <c r="G28" s="30" t="n">
        <v>2</v>
      </c>
      <c r="H28" s="30" t="s">
        <v>71</v>
      </c>
      <c r="I28" s="30" t="n">
        <v>33</v>
      </c>
      <c r="J28" s="30" t="s">
        <v>176</v>
      </c>
      <c r="K28" s="30" t="s">
        <v>156</v>
      </c>
      <c r="L28" s="30" t="n">
        <v>67</v>
      </c>
      <c r="M28" s="30" t="s">
        <v>157</v>
      </c>
      <c r="N28" s="30"/>
      <c r="O28" s="30" t="n">
        <v>5</v>
      </c>
      <c r="P28" s="30" t="s">
        <v>157</v>
      </c>
      <c r="Q28" s="30" t="n">
        <v>11.7</v>
      </c>
    </row>
    <row r="29" customFormat="false" ht="15" hidden="false" customHeight="false" outlineLevel="0" collapsed="false">
      <c r="A29" s="30" t="s">
        <v>187</v>
      </c>
      <c r="B29" s="31" t="n">
        <v>46252</v>
      </c>
      <c r="C29" s="30" t="s">
        <v>99</v>
      </c>
      <c r="D29" s="30" t="s">
        <v>47</v>
      </c>
      <c r="E29" s="30" t="s">
        <v>56</v>
      </c>
      <c r="F29" s="30" t="n">
        <v>8</v>
      </c>
      <c r="G29" s="30" t="n">
        <v>0</v>
      </c>
      <c r="H29" s="30" t="s">
        <v>71</v>
      </c>
      <c r="I29" s="30" t="n">
        <v>52</v>
      </c>
      <c r="J29" s="30" t="s">
        <v>159</v>
      </c>
      <c r="K29" s="30" t="s">
        <v>156</v>
      </c>
      <c r="L29" s="30" t="n">
        <v>47</v>
      </c>
      <c r="M29" s="30" t="s">
        <v>156</v>
      </c>
      <c r="N29" s="30"/>
      <c r="O29" s="30" t="n">
        <v>4</v>
      </c>
      <c r="P29" s="30" t="s">
        <v>156</v>
      </c>
      <c r="Q29" s="30" t="n">
        <v>16</v>
      </c>
    </row>
    <row r="30" customFormat="false" ht="15" hidden="false" customHeight="false" outlineLevel="0" collapsed="false">
      <c r="A30" s="30" t="s">
        <v>188</v>
      </c>
      <c r="B30" s="31" t="n">
        <v>46252</v>
      </c>
      <c r="C30" s="30" t="s">
        <v>100</v>
      </c>
      <c r="D30" s="30" t="s">
        <v>47</v>
      </c>
      <c r="E30" s="30" t="s">
        <v>61</v>
      </c>
      <c r="F30" s="30" t="n">
        <v>3</v>
      </c>
      <c r="G30" s="30" t="n">
        <v>2</v>
      </c>
      <c r="H30" s="30" t="s">
        <v>70</v>
      </c>
      <c r="I30" s="30" t="n">
        <v>38</v>
      </c>
      <c r="J30" s="30" t="s">
        <v>159</v>
      </c>
      <c r="K30" s="30" t="s">
        <v>156</v>
      </c>
      <c r="L30" s="30" t="n">
        <v>35</v>
      </c>
      <c r="M30" s="30" t="s">
        <v>156</v>
      </c>
      <c r="N30" s="30"/>
      <c r="O30" s="30" t="n">
        <v>2</v>
      </c>
      <c r="P30" s="30" t="s">
        <v>156</v>
      </c>
      <c r="Q30" s="30" t="n">
        <v>16.7</v>
      </c>
    </row>
    <row r="31" customFormat="false" ht="15" hidden="false" customHeight="false" outlineLevel="0" collapsed="false">
      <c r="A31" s="30" t="s">
        <v>189</v>
      </c>
      <c r="B31" s="31" t="n">
        <v>46252</v>
      </c>
      <c r="C31" s="30" t="s">
        <v>100</v>
      </c>
      <c r="D31" s="30" t="s">
        <v>47</v>
      </c>
      <c r="E31" s="30" t="s">
        <v>57</v>
      </c>
      <c r="F31" s="30" t="n">
        <v>12</v>
      </c>
      <c r="G31" s="30" t="n">
        <v>0</v>
      </c>
      <c r="H31" s="30" t="s">
        <v>70</v>
      </c>
      <c r="I31" s="30" t="n">
        <v>32</v>
      </c>
      <c r="J31" s="30" t="s">
        <v>176</v>
      </c>
      <c r="K31" s="30" t="s">
        <v>156</v>
      </c>
      <c r="L31" s="30" t="n">
        <v>54</v>
      </c>
      <c r="M31" s="30" t="s">
        <v>156</v>
      </c>
      <c r="N31" s="30"/>
      <c r="O31" s="30" t="n">
        <v>2</v>
      </c>
      <c r="P31" s="30" t="s">
        <v>157</v>
      </c>
      <c r="Q31" s="30" t="n">
        <v>12.8</v>
      </c>
    </row>
    <row r="32" customFormat="false" ht="15" hidden="false" customHeight="false" outlineLevel="0" collapsed="false">
      <c r="A32" s="30" t="s">
        <v>190</v>
      </c>
      <c r="B32" s="31" t="n">
        <v>46252</v>
      </c>
      <c r="C32" s="30" t="s">
        <v>100</v>
      </c>
      <c r="D32" s="30" t="s">
        <v>47</v>
      </c>
      <c r="E32" s="30" t="s">
        <v>58</v>
      </c>
      <c r="F32" s="30" t="n">
        <v>0</v>
      </c>
      <c r="G32" s="30" t="n">
        <v>1</v>
      </c>
      <c r="H32" s="30" t="s">
        <v>70</v>
      </c>
      <c r="I32" s="30" t="n">
        <v>44</v>
      </c>
      <c r="J32" s="30" t="s">
        <v>164</v>
      </c>
      <c r="K32" s="30" t="s">
        <v>156</v>
      </c>
      <c r="L32" s="30" t="n">
        <v>37</v>
      </c>
      <c r="M32" s="30" t="s">
        <v>156</v>
      </c>
      <c r="N32" s="30"/>
      <c r="O32" s="30" t="n">
        <v>4</v>
      </c>
      <c r="P32" s="30" t="s">
        <v>157</v>
      </c>
      <c r="Q32" s="30" t="n">
        <v>13.7</v>
      </c>
    </row>
    <row r="33" customFormat="false" ht="15" hidden="false" customHeight="false" outlineLevel="0" collapsed="false">
      <c r="A33" s="30" t="s">
        <v>191</v>
      </c>
      <c r="B33" s="31" t="n">
        <v>46253</v>
      </c>
      <c r="C33" s="30" t="s">
        <v>94</v>
      </c>
      <c r="D33" s="30" t="s">
        <v>44</v>
      </c>
      <c r="E33" s="30" t="s">
        <v>58</v>
      </c>
      <c r="F33" s="30" t="n">
        <v>4</v>
      </c>
      <c r="G33" s="30" t="n">
        <v>2</v>
      </c>
      <c r="H33" s="30" t="s">
        <v>70</v>
      </c>
      <c r="I33" s="30" t="n">
        <v>40</v>
      </c>
      <c r="J33" s="30" t="s">
        <v>159</v>
      </c>
      <c r="K33" s="30" t="s">
        <v>156</v>
      </c>
      <c r="L33" s="30" t="n">
        <v>31</v>
      </c>
      <c r="M33" s="30" t="s">
        <v>157</v>
      </c>
      <c r="N33" s="30"/>
      <c r="O33" s="30" t="n">
        <v>5</v>
      </c>
      <c r="P33" s="30" t="s">
        <v>157</v>
      </c>
      <c r="Q33" s="30" t="n">
        <v>12.6</v>
      </c>
    </row>
    <row r="34" customFormat="false" ht="15" hidden="false" customHeight="false" outlineLevel="0" collapsed="false">
      <c r="A34" s="30" t="s">
        <v>192</v>
      </c>
      <c r="B34" s="31" t="n">
        <v>46253</v>
      </c>
      <c r="C34" s="30" t="s">
        <v>94</v>
      </c>
      <c r="D34" s="30" t="s">
        <v>44</v>
      </c>
      <c r="E34" s="30" t="s">
        <v>57</v>
      </c>
      <c r="F34" s="30" t="n">
        <v>2</v>
      </c>
      <c r="G34" s="30" t="n">
        <v>2</v>
      </c>
      <c r="H34" s="30" t="s">
        <v>71</v>
      </c>
      <c r="I34" s="30" t="n">
        <v>38</v>
      </c>
      <c r="J34" s="30" t="s">
        <v>155</v>
      </c>
      <c r="K34" s="30" t="s">
        <v>156</v>
      </c>
      <c r="L34" s="30" t="n">
        <v>77</v>
      </c>
      <c r="M34" s="30" t="s">
        <v>156</v>
      </c>
      <c r="N34" s="30"/>
      <c r="O34" s="30" t="n">
        <v>4</v>
      </c>
      <c r="P34" s="30" t="s">
        <v>156</v>
      </c>
      <c r="Q34" s="30" t="n">
        <v>17.7</v>
      </c>
    </row>
    <row r="35" customFormat="false" ht="15" hidden="false" customHeight="false" outlineLevel="0" collapsed="false">
      <c r="A35" s="30" t="s">
        <v>193</v>
      </c>
      <c r="B35" s="31" t="n">
        <v>46253</v>
      </c>
      <c r="C35" s="30" t="s">
        <v>94</v>
      </c>
      <c r="D35" s="30" t="s">
        <v>44</v>
      </c>
      <c r="E35" s="30" t="s">
        <v>62</v>
      </c>
      <c r="F35" s="30" t="n">
        <v>5</v>
      </c>
      <c r="G35" s="30" t="n">
        <v>1</v>
      </c>
      <c r="H35" s="30" t="s">
        <v>70</v>
      </c>
      <c r="I35" s="30" t="n">
        <v>40</v>
      </c>
      <c r="J35" s="30" t="s">
        <v>155</v>
      </c>
      <c r="K35" s="30" t="s">
        <v>157</v>
      </c>
      <c r="L35" s="30"/>
      <c r="M35" s="30" t="s">
        <v>156</v>
      </c>
      <c r="N35" s="30" t="s">
        <v>85</v>
      </c>
      <c r="O35" s="30"/>
      <c r="P35" s="30" t="s">
        <v>157</v>
      </c>
      <c r="Q35" s="30" t="n">
        <v>16.7</v>
      </c>
    </row>
    <row r="36" customFormat="false" ht="15" hidden="false" customHeight="false" outlineLevel="0" collapsed="false">
      <c r="A36" s="30" t="s">
        <v>194</v>
      </c>
      <c r="B36" s="31" t="n">
        <v>46253</v>
      </c>
      <c r="C36" s="30" t="s">
        <v>94</v>
      </c>
      <c r="D36" s="30" t="s">
        <v>44</v>
      </c>
      <c r="E36" s="30" t="s">
        <v>60</v>
      </c>
      <c r="F36" s="30" t="n">
        <v>2</v>
      </c>
      <c r="G36" s="30" t="n">
        <v>1</v>
      </c>
      <c r="H36" s="30" t="s">
        <v>71</v>
      </c>
      <c r="I36" s="30" t="n">
        <v>57</v>
      </c>
      <c r="J36" s="30" t="s">
        <v>176</v>
      </c>
      <c r="K36" s="30" t="s">
        <v>156</v>
      </c>
      <c r="L36" s="30" t="n">
        <v>43</v>
      </c>
      <c r="M36" s="30" t="s">
        <v>157</v>
      </c>
      <c r="N36" s="30"/>
      <c r="O36" s="30" t="n">
        <v>5</v>
      </c>
      <c r="P36" s="30" t="s">
        <v>156</v>
      </c>
      <c r="Q36" s="30" t="n">
        <v>13.9</v>
      </c>
    </row>
    <row r="37" customFormat="false" ht="15" hidden="false" customHeight="false" outlineLevel="0" collapsed="false">
      <c r="A37" s="30" t="s">
        <v>195</v>
      </c>
      <c r="B37" s="31" t="n">
        <v>46253</v>
      </c>
      <c r="C37" s="30" t="s">
        <v>94</v>
      </c>
      <c r="D37" s="30" t="s">
        <v>44</v>
      </c>
      <c r="E37" s="30" t="s">
        <v>60</v>
      </c>
      <c r="F37" s="30" t="n">
        <v>3</v>
      </c>
      <c r="G37" s="30" t="n">
        <v>3</v>
      </c>
      <c r="H37" s="30" t="s">
        <v>70</v>
      </c>
      <c r="I37" s="30" t="n">
        <v>45</v>
      </c>
      <c r="J37" s="30" t="s">
        <v>176</v>
      </c>
      <c r="K37" s="30" t="s">
        <v>156</v>
      </c>
      <c r="L37" s="30" t="n">
        <v>75</v>
      </c>
      <c r="M37" s="30" t="s">
        <v>156</v>
      </c>
      <c r="N37" s="30"/>
      <c r="O37" s="30" t="n">
        <v>2</v>
      </c>
      <c r="P37" s="30" t="s">
        <v>157</v>
      </c>
      <c r="Q37" s="30" t="n">
        <v>14.9</v>
      </c>
    </row>
    <row r="38" customFormat="false" ht="15" hidden="false" customHeight="false" outlineLevel="0" collapsed="false">
      <c r="A38" s="30" t="s">
        <v>196</v>
      </c>
      <c r="B38" s="31" t="n">
        <v>46253</v>
      </c>
      <c r="C38" s="30" t="s">
        <v>96</v>
      </c>
      <c r="D38" s="30" t="s">
        <v>45</v>
      </c>
      <c r="E38" s="30" t="s">
        <v>57</v>
      </c>
      <c r="F38" s="30" t="n">
        <v>0</v>
      </c>
      <c r="G38" s="30" t="n">
        <v>0</v>
      </c>
      <c r="H38" s="30" t="s">
        <v>70</v>
      </c>
      <c r="I38" s="30" t="n">
        <v>7</v>
      </c>
      <c r="J38" s="30" t="s">
        <v>176</v>
      </c>
      <c r="K38" s="30" t="s">
        <v>156</v>
      </c>
      <c r="L38" s="30" t="n">
        <v>40</v>
      </c>
      <c r="M38" s="30" t="s">
        <v>157</v>
      </c>
      <c r="N38" s="30"/>
      <c r="O38" s="30" t="n">
        <v>4</v>
      </c>
      <c r="P38" s="30" t="s">
        <v>156</v>
      </c>
      <c r="Q38" s="30" t="n">
        <v>16.2</v>
      </c>
    </row>
    <row r="39" customFormat="false" ht="15" hidden="false" customHeight="false" outlineLevel="0" collapsed="false">
      <c r="A39" s="30" t="s">
        <v>197</v>
      </c>
      <c r="B39" s="31" t="n">
        <v>46253</v>
      </c>
      <c r="C39" s="30" t="s">
        <v>96</v>
      </c>
      <c r="D39" s="30" t="s">
        <v>45</v>
      </c>
      <c r="E39" s="30" t="s">
        <v>62</v>
      </c>
      <c r="F39" s="30" t="n">
        <v>3</v>
      </c>
      <c r="G39" s="30" t="n">
        <v>2</v>
      </c>
      <c r="H39" s="30" t="s">
        <v>71</v>
      </c>
      <c r="I39" s="30" t="n">
        <v>26</v>
      </c>
      <c r="J39" s="30" t="s">
        <v>155</v>
      </c>
      <c r="K39" s="30" t="s">
        <v>157</v>
      </c>
      <c r="L39" s="30"/>
      <c r="M39" s="30" t="s">
        <v>157</v>
      </c>
      <c r="N39" s="30" t="s">
        <v>83</v>
      </c>
      <c r="O39" s="30"/>
      <c r="P39" s="30" t="s">
        <v>156</v>
      </c>
      <c r="Q39" s="30" t="n">
        <v>17.6</v>
      </c>
    </row>
    <row r="40" customFormat="false" ht="15" hidden="false" customHeight="false" outlineLevel="0" collapsed="false">
      <c r="A40" s="30" t="s">
        <v>198</v>
      </c>
      <c r="B40" s="31" t="n">
        <v>46253</v>
      </c>
      <c r="C40" s="30" t="s">
        <v>96</v>
      </c>
      <c r="D40" s="30" t="s">
        <v>45</v>
      </c>
      <c r="E40" s="30" t="s">
        <v>57</v>
      </c>
      <c r="F40" s="30" t="n">
        <v>5</v>
      </c>
      <c r="G40" s="30" t="n">
        <v>1</v>
      </c>
      <c r="H40" s="30" t="s">
        <v>71</v>
      </c>
      <c r="I40" s="30" t="n">
        <v>56</v>
      </c>
      <c r="J40" s="30" t="s">
        <v>155</v>
      </c>
      <c r="K40" s="30" t="s">
        <v>157</v>
      </c>
      <c r="L40" s="30"/>
      <c r="M40" s="30" t="s">
        <v>157</v>
      </c>
      <c r="N40" s="30" t="s">
        <v>79</v>
      </c>
      <c r="O40" s="30"/>
      <c r="P40" s="30" t="s">
        <v>156</v>
      </c>
      <c r="Q40" s="30" t="n">
        <v>9.3</v>
      </c>
    </row>
    <row r="41" customFormat="false" ht="15" hidden="false" customHeight="false" outlineLevel="0" collapsed="false">
      <c r="A41" s="30" t="s">
        <v>199</v>
      </c>
      <c r="B41" s="31" t="n">
        <v>46253</v>
      </c>
      <c r="C41" s="30" t="s">
        <v>96</v>
      </c>
      <c r="D41" s="30" t="s">
        <v>45</v>
      </c>
      <c r="E41" s="30" t="s">
        <v>56</v>
      </c>
      <c r="F41" s="30" t="n">
        <v>7</v>
      </c>
      <c r="G41" s="30" t="n">
        <v>2</v>
      </c>
      <c r="H41" s="30" t="s">
        <v>71</v>
      </c>
      <c r="I41" s="30" t="n">
        <v>41</v>
      </c>
      <c r="J41" s="30" t="s">
        <v>155</v>
      </c>
      <c r="K41" s="30" t="s">
        <v>156</v>
      </c>
      <c r="L41" s="30" t="n">
        <v>35</v>
      </c>
      <c r="M41" s="30" t="s">
        <v>156</v>
      </c>
      <c r="N41" s="30"/>
      <c r="O41" s="30" t="n">
        <v>4</v>
      </c>
      <c r="P41" s="30" t="s">
        <v>156</v>
      </c>
      <c r="Q41" s="30" t="n">
        <v>15.6</v>
      </c>
    </row>
    <row r="42" customFormat="false" ht="15" hidden="false" customHeight="false" outlineLevel="0" collapsed="false">
      <c r="A42" s="30" t="s">
        <v>200</v>
      </c>
      <c r="B42" s="31" t="n">
        <v>46253</v>
      </c>
      <c r="C42" s="30" t="s">
        <v>97</v>
      </c>
      <c r="D42" s="30" t="s">
        <v>46</v>
      </c>
      <c r="E42" s="30" t="s">
        <v>58</v>
      </c>
      <c r="F42" s="30" t="n">
        <v>10</v>
      </c>
      <c r="G42" s="30" t="n">
        <v>3</v>
      </c>
      <c r="H42" s="30" t="s">
        <v>70</v>
      </c>
      <c r="I42" s="30" t="n">
        <v>36</v>
      </c>
      <c r="J42" s="30" t="s">
        <v>176</v>
      </c>
      <c r="K42" s="30" t="s">
        <v>156</v>
      </c>
      <c r="L42" s="30" t="n">
        <v>46</v>
      </c>
      <c r="M42" s="30" t="s">
        <v>156</v>
      </c>
      <c r="N42" s="30"/>
      <c r="O42" s="30" t="n">
        <v>4</v>
      </c>
      <c r="P42" s="30" t="s">
        <v>157</v>
      </c>
      <c r="Q42" s="30" t="n">
        <v>14.6</v>
      </c>
    </row>
    <row r="43" customFormat="false" ht="15" hidden="false" customHeight="false" outlineLevel="0" collapsed="false">
      <c r="A43" s="30" t="s">
        <v>201</v>
      </c>
      <c r="B43" s="31" t="n">
        <v>46253</v>
      </c>
      <c r="C43" s="30" t="s">
        <v>98</v>
      </c>
      <c r="D43" s="30" t="s">
        <v>46</v>
      </c>
      <c r="E43" s="30" t="s">
        <v>56</v>
      </c>
      <c r="F43" s="30" t="n">
        <v>13</v>
      </c>
      <c r="G43" s="30" t="n">
        <v>1</v>
      </c>
      <c r="H43" s="30" t="s">
        <v>71</v>
      </c>
      <c r="I43" s="30" t="n">
        <v>41</v>
      </c>
      <c r="J43" s="30" t="s">
        <v>155</v>
      </c>
      <c r="K43" s="30" t="s">
        <v>157</v>
      </c>
      <c r="L43" s="30" t="n">
        <v>30</v>
      </c>
      <c r="M43" s="30" t="s">
        <v>156</v>
      </c>
      <c r="N43" s="30" t="s">
        <v>77</v>
      </c>
      <c r="O43" s="30"/>
      <c r="P43" s="30" t="s">
        <v>157</v>
      </c>
      <c r="Q43" s="30" t="n">
        <v>6.7</v>
      </c>
    </row>
    <row r="44" customFormat="false" ht="15" hidden="false" customHeight="false" outlineLevel="0" collapsed="false">
      <c r="A44" s="30" t="s">
        <v>202</v>
      </c>
      <c r="B44" s="31" t="n">
        <v>46253</v>
      </c>
      <c r="C44" s="30" t="s">
        <v>99</v>
      </c>
      <c r="D44" s="30" t="s">
        <v>47</v>
      </c>
      <c r="E44" s="30" t="s">
        <v>57</v>
      </c>
      <c r="F44" s="30" t="n">
        <v>1</v>
      </c>
      <c r="G44" s="30" t="n">
        <v>1</v>
      </c>
      <c r="H44" s="30" t="s">
        <v>70</v>
      </c>
      <c r="I44" s="30" t="n">
        <v>32</v>
      </c>
      <c r="J44" s="30" t="s">
        <v>159</v>
      </c>
      <c r="K44" s="30" t="s">
        <v>156</v>
      </c>
      <c r="L44" s="30" t="n">
        <v>28</v>
      </c>
      <c r="M44" s="30" t="s">
        <v>157</v>
      </c>
      <c r="N44" s="30"/>
      <c r="O44" s="30" t="n">
        <v>1</v>
      </c>
      <c r="P44" s="30" t="s">
        <v>157</v>
      </c>
      <c r="Q44" s="30" t="n">
        <v>10.6</v>
      </c>
    </row>
    <row r="45" customFormat="false" ht="15" hidden="false" customHeight="false" outlineLevel="0" collapsed="false">
      <c r="A45" s="30" t="s">
        <v>203</v>
      </c>
      <c r="B45" s="31" t="n">
        <v>46253</v>
      </c>
      <c r="C45" s="30" t="s">
        <v>100</v>
      </c>
      <c r="D45" s="30" t="s">
        <v>47</v>
      </c>
      <c r="E45" s="30" t="s">
        <v>56</v>
      </c>
      <c r="F45" s="30" t="n">
        <v>0</v>
      </c>
      <c r="G45" s="30" t="n">
        <v>0</v>
      </c>
      <c r="H45" s="30" t="s">
        <v>70</v>
      </c>
      <c r="I45" s="30" t="n">
        <v>19</v>
      </c>
      <c r="J45" s="30" t="s">
        <v>159</v>
      </c>
      <c r="K45" s="30" t="s">
        <v>156</v>
      </c>
      <c r="L45" s="30" t="n">
        <v>27</v>
      </c>
      <c r="M45" s="30" t="s">
        <v>157</v>
      </c>
      <c r="N45" s="30"/>
      <c r="O45" s="30" t="n">
        <v>4</v>
      </c>
      <c r="P45" s="30" t="s">
        <v>156</v>
      </c>
      <c r="Q45" s="30" t="n">
        <v>14.6</v>
      </c>
    </row>
    <row r="46" customFormat="false" ht="15" hidden="false" customHeight="false" outlineLevel="0" collapsed="false">
      <c r="A46" s="30" t="s">
        <v>204</v>
      </c>
      <c r="B46" s="31" t="n">
        <v>46253</v>
      </c>
      <c r="C46" s="30" t="s">
        <v>99</v>
      </c>
      <c r="D46" s="30" t="s">
        <v>47</v>
      </c>
      <c r="E46" s="30" t="s">
        <v>62</v>
      </c>
      <c r="F46" s="30" t="n">
        <v>1</v>
      </c>
      <c r="G46" s="30" t="n">
        <v>1</v>
      </c>
      <c r="H46" s="30" t="s">
        <v>70</v>
      </c>
      <c r="I46" s="30" t="n">
        <v>45</v>
      </c>
      <c r="J46" s="30" t="s">
        <v>164</v>
      </c>
      <c r="K46" s="30" t="s">
        <v>156</v>
      </c>
      <c r="L46" s="30" t="n">
        <v>20</v>
      </c>
      <c r="M46" s="30" t="s">
        <v>157</v>
      </c>
      <c r="N46" s="30"/>
      <c r="O46" s="30" t="n">
        <v>4</v>
      </c>
      <c r="P46" s="30" t="s">
        <v>157</v>
      </c>
      <c r="Q46" s="30" t="n">
        <v>17.1</v>
      </c>
    </row>
    <row r="47" customFormat="false" ht="15" hidden="false" customHeight="false" outlineLevel="0" collapsed="false">
      <c r="A47" s="30" t="s">
        <v>205</v>
      </c>
      <c r="B47" s="31" t="n">
        <v>46253</v>
      </c>
      <c r="C47" s="30" t="s">
        <v>99</v>
      </c>
      <c r="D47" s="30" t="s">
        <v>47</v>
      </c>
      <c r="E47" s="30" t="s">
        <v>57</v>
      </c>
      <c r="F47" s="30" t="n">
        <v>1</v>
      </c>
      <c r="G47" s="30" t="n">
        <v>2</v>
      </c>
      <c r="H47" s="30" t="s">
        <v>70</v>
      </c>
      <c r="I47" s="30" t="n">
        <v>29</v>
      </c>
      <c r="J47" s="30" t="s">
        <v>159</v>
      </c>
      <c r="K47" s="30" t="s">
        <v>156</v>
      </c>
      <c r="L47" s="30" t="n">
        <v>23</v>
      </c>
      <c r="M47" s="30" t="s">
        <v>156</v>
      </c>
      <c r="N47" s="30"/>
      <c r="O47" s="30" t="n">
        <v>4</v>
      </c>
      <c r="P47" s="30" t="s">
        <v>157</v>
      </c>
      <c r="Q47" s="30" t="n">
        <v>16.7</v>
      </c>
    </row>
    <row r="48" customFormat="false" ht="15" hidden="false" customHeight="false" outlineLevel="0" collapsed="false">
      <c r="A48" s="30" t="s">
        <v>206</v>
      </c>
      <c r="B48" s="31" t="n">
        <v>46253</v>
      </c>
      <c r="C48" s="30" t="s">
        <v>99</v>
      </c>
      <c r="D48" s="30" t="s">
        <v>47</v>
      </c>
      <c r="E48" s="30" t="s">
        <v>61</v>
      </c>
      <c r="F48" s="30" t="n">
        <v>11</v>
      </c>
      <c r="G48" s="30" t="n">
        <v>1</v>
      </c>
      <c r="H48" s="30" t="s">
        <v>71</v>
      </c>
      <c r="I48" s="30" t="n">
        <v>46</v>
      </c>
      <c r="J48" s="30" t="s">
        <v>155</v>
      </c>
      <c r="K48" s="30" t="s">
        <v>157</v>
      </c>
      <c r="L48" s="30"/>
      <c r="M48" s="30" t="s">
        <v>156</v>
      </c>
      <c r="N48" s="30" t="s">
        <v>79</v>
      </c>
      <c r="O48" s="30"/>
      <c r="P48" s="30" t="s">
        <v>157</v>
      </c>
      <c r="Q48" s="30" t="n">
        <v>9.4</v>
      </c>
    </row>
    <row r="49" customFormat="false" ht="15" hidden="false" customHeight="false" outlineLevel="0" collapsed="false">
      <c r="A49" s="30" t="s">
        <v>207</v>
      </c>
      <c r="B49" s="31" t="n">
        <v>46253</v>
      </c>
      <c r="C49" s="30" t="s">
        <v>99</v>
      </c>
      <c r="D49" s="30" t="s">
        <v>47</v>
      </c>
      <c r="E49" s="30" t="s">
        <v>59</v>
      </c>
      <c r="F49" s="30" t="n">
        <v>5</v>
      </c>
      <c r="G49" s="30" t="n">
        <v>2</v>
      </c>
      <c r="H49" s="30" t="s">
        <v>71</v>
      </c>
      <c r="I49" s="30" t="n">
        <v>45</v>
      </c>
      <c r="J49" s="30" t="s">
        <v>155</v>
      </c>
      <c r="K49" s="30" t="s">
        <v>156</v>
      </c>
      <c r="L49" s="30" t="n">
        <v>21</v>
      </c>
      <c r="M49" s="30" t="s">
        <v>157</v>
      </c>
      <c r="N49" s="30"/>
      <c r="O49" s="30" t="n">
        <v>5</v>
      </c>
      <c r="P49" s="30" t="s">
        <v>157</v>
      </c>
      <c r="Q49" s="30" t="n">
        <v>17.4</v>
      </c>
    </row>
    <row r="50" customFormat="false" ht="15" hidden="false" customHeight="false" outlineLevel="0" collapsed="false">
      <c r="A50" s="30" t="s">
        <v>208</v>
      </c>
      <c r="B50" s="31" t="n">
        <v>46254</v>
      </c>
      <c r="C50" s="30" t="s">
        <v>94</v>
      </c>
      <c r="D50" s="30" t="s">
        <v>44</v>
      </c>
      <c r="E50" s="30" t="s">
        <v>56</v>
      </c>
      <c r="F50" s="30" t="n">
        <v>1</v>
      </c>
      <c r="G50" s="30" t="n">
        <v>2</v>
      </c>
      <c r="H50" s="30" t="s">
        <v>71</v>
      </c>
      <c r="I50" s="30" t="n">
        <v>49</v>
      </c>
      <c r="J50" s="30" t="s">
        <v>155</v>
      </c>
      <c r="K50" s="30" t="s">
        <v>156</v>
      </c>
      <c r="L50" s="30" t="n">
        <v>38</v>
      </c>
      <c r="M50" s="30" t="s">
        <v>156</v>
      </c>
      <c r="N50" s="30"/>
      <c r="O50" s="30" t="n">
        <v>4</v>
      </c>
      <c r="P50" s="30" t="s">
        <v>156</v>
      </c>
      <c r="Q50" s="30" t="n">
        <v>15.9</v>
      </c>
    </row>
    <row r="51" customFormat="false" ht="15" hidden="false" customHeight="false" outlineLevel="0" collapsed="false">
      <c r="A51" s="30" t="s">
        <v>209</v>
      </c>
      <c r="B51" s="31" t="n">
        <v>46254</v>
      </c>
      <c r="C51" s="30" t="s">
        <v>95</v>
      </c>
      <c r="D51" s="30" t="s">
        <v>44</v>
      </c>
      <c r="E51" s="30" t="s">
        <v>56</v>
      </c>
      <c r="F51" s="30" t="n">
        <v>13</v>
      </c>
      <c r="G51" s="30" t="n">
        <v>1</v>
      </c>
      <c r="H51" s="30" t="s">
        <v>70</v>
      </c>
      <c r="I51" s="30" t="n">
        <v>39</v>
      </c>
      <c r="J51" s="30" t="s">
        <v>176</v>
      </c>
      <c r="K51" s="30" t="s">
        <v>156</v>
      </c>
      <c r="L51" s="30" t="n">
        <v>46</v>
      </c>
      <c r="M51" s="30" t="s">
        <v>157</v>
      </c>
      <c r="N51" s="30"/>
      <c r="O51" s="30" t="n">
        <v>5</v>
      </c>
      <c r="P51" s="30" t="s">
        <v>156</v>
      </c>
      <c r="Q51" s="30" t="n">
        <v>21.1</v>
      </c>
    </row>
    <row r="52" customFormat="false" ht="15" hidden="false" customHeight="false" outlineLevel="0" collapsed="false">
      <c r="A52" s="30" t="s">
        <v>209</v>
      </c>
      <c r="B52" s="31" t="n">
        <v>46254</v>
      </c>
      <c r="C52" s="30" t="s">
        <v>95</v>
      </c>
      <c r="D52" s="30" t="s">
        <v>44</v>
      </c>
      <c r="E52" s="30" t="s">
        <v>56</v>
      </c>
      <c r="F52" s="30" t="n">
        <v>13</v>
      </c>
      <c r="G52" s="30" t="n">
        <v>1</v>
      </c>
      <c r="H52" s="30" t="s">
        <v>70</v>
      </c>
      <c r="I52" s="30" t="n">
        <v>39</v>
      </c>
      <c r="J52" s="30" t="s">
        <v>176</v>
      </c>
      <c r="K52" s="30" t="s">
        <v>156</v>
      </c>
      <c r="L52" s="30" t="n">
        <v>46</v>
      </c>
      <c r="M52" s="30" t="s">
        <v>157</v>
      </c>
      <c r="N52" s="30"/>
      <c r="O52" s="30" t="n">
        <v>5</v>
      </c>
      <c r="P52" s="30" t="s">
        <v>156</v>
      </c>
      <c r="Q52" s="30" t="n">
        <v>21.1</v>
      </c>
    </row>
    <row r="53" customFormat="false" ht="15" hidden="false" customHeight="false" outlineLevel="0" collapsed="false">
      <c r="A53" s="30" t="s">
        <v>210</v>
      </c>
      <c r="B53" s="31" t="n">
        <v>46254</v>
      </c>
      <c r="C53" s="30" t="s">
        <v>95</v>
      </c>
      <c r="D53" s="30" t="s">
        <v>44</v>
      </c>
      <c r="E53" s="30" t="s">
        <v>60</v>
      </c>
      <c r="F53" s="30" t="n">
        <v>10</v>
      </c>
      <c r="G53" s="30" t="n">
        <v>0</v>
      </c>
      <c r="H53" s="30" t="s">
        <v>71</v>
      </c>
      <c r="I53" s="30" t="n">
        <v>40</v>
      </c>
      <c r="J53" s="30" t="s">
        <v>155</v>
      </c>
      <c r="K53" s="30" t="s">
        <v>156</v>
      </c>
      <c r="L53" s="30" t="n">
        <v>38</v>
      </c>
      <c r="M53" s="30" t="s">
        <v>156</v>
      </c>
      <c r="N53" s="30"/>
      <c r="O53" s="30" t="n">
        <v>4</v>
      </c>
      <c r="P53" s="30" t="s">
        <v>157</v>
      </c>
      <c r="Q53" s="30" t="n">
        <v>12.3</v>
      </c>
    </row>
    <row r="54" customFormat="false" ht="15" hidden="false" customHeight="false" outlineLevel="0" collapsed="false">
      <c r="A54" s="30" t="s">
        <v>211</v>
      </c>
      <c r="B54" s="31" t="n">
        <v>46254</v>
      </c>
      <c r="C54" s="30" t="s">
        <v>96</v>
      </c>
      <c r="D54" s="30" t="s">
        <v>45</v>
      </c>
      <c r="E54" s="30" t="s">
        <v>57</v>
      </c>
      <c r="F54" s="30" t="n">
        <v>1</v>
      </c>
      <c r="G54" s="30" t="n">
        <v>2</v>
      </c>
      <c r="H54" s="30" t="s">
        <v>70</v>
      </c>
      <c r="I54" s="30" t="n">
        <v>54</v>
      </c>
      <c r="J54" s="30" t="s">
        <v>176</v>
      </c>
      <c r="K54" s="30" t="s">
        <v>157</v>
      </c>
      <c r="L54" s="30"/>
      <c r="M54" s="30" t="s">
        <v>157</v>
      </c>
      <c r="N54" s="30" t="s">
        <v>81</v>
      </c>
      <c r="O54" s="30"/>
      <c r="P54" s="30" t="s">
        <v>156</v>
      </c>
      <c r="Q54" s="30" t="n">
        <v>12.9</v>
      </c>
    </row>
    <row r="55" customFormat="false" ht="15" hidden="false" customHeight="false" outlineLevel="0" collapsed="false">
      <c r="A55" s="30" t="s">
        <v>212</v>
      </c>
      <c r="B55" s="31" t="n">
        <v>46254</v>
      </c>
      <c r="C55" s="30" t="s">
        <v>96</v>
      </c>
      <c r="D55" s="30" t="s">
        <v>45</v>
      </c>
      <c r="E55" s="30" t="s">
        <v>60</v>
      </c>
      <c r="F55" s="30" t="n">
        <v>2</v>
      </c>
      <c r="G55" s="30" t="n">
        <v>3</v>
      </c>
      <c r="H55" s="30" t="s">
        <v>71</v>
      </c>
      <c r="I55" s="30" t="n">
        <v>33</v>
      </c>
      <c r="J55" s="30" t="s">
        <v>176</v>
      </c>
      <c r="K55" s="30" t="s">
        <v>156</v>
      </c>
      <c r="L55" s="30" t="n">
        <v>53</v>
      </c>
      <c r="M55" s="30" t="s">
        <v>156</v>
      </c>
      <c r="N55" s="30"/>
      <c r="O55" s="30" t="n">
        <v>5</v>
      </c>
      <c r="P55" s="30" t="s">
        <v>157</v>
      </c>
      <c r="Q55" s="30" t="n">
        <v>9.8</v>
      </c>
    </row>
    <row r="56" customFormat="false" ht="15" hidden="false" customHeight="false" outlineLevel="0" collapsed="false">
      <c r="A56" s="30" t="s">
        <v>213</v>
      </c>
      <c r="B56" s="31" t="n">
        <v>46254</v>
      </c>
      <c r="C56" s="30" t="s">
        <v>96</v>
      </c>
      <c r="D56" s="30" t="s">
        <v>45</v>
      </c>
      <c r="E56" s="30" t="s">
        <v>59</v>
      </c>
      <c r="F56" s="30" t="n">
        <v>10</v>
      </c>
      <c r="G56" s="30" t="n">
        <v>3</v>
      </c>
      <c r="H56" s="30" t="s">
        <v>70</v>
      </c>
      <c r="I56" s="30" t="n">
        <v>34</v>
      </c>
      <c r="J56" s="30" t="s">
        <v>155</v>
      </c>
      <c r="K56" s="30" t="s">
        <v>156</v>
      </c>
      <c r="L56" s="30" t="n">
        <v>50</v>
      </c>
      <c r="M56" s="30" t="s">
        <v>156</v>
      </c>
      <c r="N56" s="30"/>
      <c r="O56" s="30" t="n">
        <v>4</v>
      </c>
      <c r="P56" s="30" t="s">
        <v>157</v>
      </c>
      <c r="Q56" s="30" t="n">
        <v>16.7</v>
      </c>
    </row>
    <row r="57" customFormat="false" ht="15" hidden="false" customHeight="false" outlineLevel="0" collapsed="false">
      <c r="A57" s="30" t="s">
        <v>214</v>
      </c>
      <c r="B57" s="31" t="n">
        <v>46254</v>
      </c>
      <c r="C57" s="30" t="s">
        <v>96</v>
      </c>
      <c r="D57" s="30" t="s">
        <v>45</v>
      </c>
      <c r="E57" s="30" t="s">
        <v>62</v>
      </c>
      <c r="F57" s="30" t="n">
        <v>5</v>
      </c>
      <c r="G57" s="30" t="n">
        <v>2</v>
      </c>
      <c r="H57" s="30" t="s">
        <v>71</v>
      </c>
      <c r="I57" s="30" t="n">
        <v>31</v>
      </c>
      <c r="J57" s="30" t="s">
        <v>176</v>
      </c>
      <c r="K57" s="30" t="s">
        <v>156</v>
      </c>
      <c r="L57" s="30" t="n">
        <v>57</v>
      </c>
      <c r="M57" s="30" t="s">
        <v>156</v>
      </c>
      <c r="N57" s="30"/>
      <c r="O57" s="30" t="n">
        <v>4</v>
      </c>
      <c r="P57" s="30" t="s">
        <v>156</v>
      </c>
      <c r="Q57" s="30" t="n">
        <v>16.5</v>
      </c>
    </row>
    <row r="58" customFormat="false" ht="15" hidden="false" customHeight="false" outlineLevel="0" collapsed="false">
      <c r="A58" s="30" t="s">
        <v>215</v>
      </c>
      <c r="B58" s="31" t="n">
        <v>46254</v>
      </c>
      <c r="C58" s="30" t="s">
        <v>98</v>
      </c>
      <c r="D58" s="30" t="s">
        <v>46</v>
      </c>
      <c r="E58" s="30" t="s">
        <v>57</v>
      </c>
      <c r="F58" s="30" t="n">
        <v>3</v>
      </c>
      <c r="G58" s="30" t="n">
        <v>1</v>
      </c>
      <c r="H58" s="30" t="s">
        <v>70</v>
      </c>
      <c r="I58" s="30" t="n">
        <v>39</v>
      </c>
      <c r="J58" s="30" t="s">
        <v>155</v>
      </c>
      <c r="K58" s="30" t="s">
        <v>156</v>
      </c>
      <c r="L58" s="30" t="n">
        <v>18</v>
      </c>
      <c r="M58" s="30" t="s">
        <v>157</v>
      </c>
      <c r="N58" s="30"/>
      <c r="O58" s="30" t="n">
        <v>4</v>
      </c>
      <c r="P58" s="30" t="s">
        <v>156</v>
      </c>
      <c r="Q58" s="30" t="n">
        <v>7.1</v>
      </c>
    </row>
    <row r="59" customFormat="false" ht="15" hidden="false" customHeight="false" outlineLevel="0" collapsed="false">
      <c r="A59" s="30" t="s">
        <v>216</v>
      </c>
      <c r="B59" s="31" t="n">
        <v>46254</v>
      </c>
      <c r="C59" s="30" t="s">
        <v>98</v>
      </c>
      <c r="D59" s="30" t="s">
        <v>46</v>
      </c>
      <c r="E59" s="30" t="s">
        <v>57</v>
      </c>
      <c r="F59" s="30" t="n">
        <v>18</v>
      </c>
      <c r="G59" s="30" t="n">
        <v>0</v>
      </c>
      <c r="H59" s="30" t="s">
        <v>71</v>
      </c>
      <c r="I59" s="30" t="n">
        <v>41</v>
      </c>
      <c r="J59" s="30" t="s">
        <v>176</v>
      </c>
      <c r="K59" s="30" t="s">
        <v>156</v>
      </c>
      <c r="L59" s="30" t="n">
        <v>5</v>
      </c>
      <c r="M59" s="30" t="s">
        <v>157</v>
      </c>
      <c r="N59" s="30"/>
      <c r="O59" s="30" t="n">
        <v>2</v>
      </c>
      <c r="P59" s="30" t="s">
        <v>157</v>
      </c>
      <c r="Q59" s="30" t="n">
        <v>8.1</v>
      </c>
    </row>
    <row r="60" customFormat="false" ht="15" hidden="false" customHeight="false" outlineLevel="0" collapsed="false">
      <c r="A60" s="30" t="s">
        <v>217</v>
      </c>
      <c r="B60" s="31" t="n">
        <v>46254</v>
      </c>
      <c r="C60" s="30" t="s">
        <v>97</v>
      </c>
      <c r="D60" s="30" t="s">
        <v>46</v>
      </c>
      <c r="E60" s="30" t="s">
        <v>56</v>
      </c>
      <c r="F60" s="30" t="n">
        <v>1</v>
      </c>
      <c r="G60" s="30" t="n">
        <v>2</v>
      </c>
      <c r="H60" s="30" t="s">
        <v>70</v>
      </c>
      <c r="I60" s="30" t="n">
        <v>34</v>
      </c>
      <c r="J60" s="30" t="s">
        <v>155</v>
      </c>
      <c r="K60" s="30" t="s">
        <v>156</v>
      </c>
      <c r="L60" s="30" t="n">
        <v>20</v>
      </c>
      <c r="M60" s="30" t="s">
        <v>157</v>
      </c>
      <c r="N60" s="30"/>
      <c r="O60" s="30" t="n">
        <v>5</v>
      </c>
      <c r="P60" s="30" t="s">
        <v>157</v>
      </c>
      <c r="Q60" s="30" t="n">
        <v>17.5</v>
      </c>
    </row>
    <row r="61" customFormat="false" ht="15" hidden="false" customHeight="false" outlineLevel="0" collapsed="false">
      <c r="A61" s="30" t="s">
        <v>218</v>
      </c>
      <c r="B61" s="31" t="n">
        <v>46254</v>
      </c>
      <c r="C61" s="30" t="s">
        <v>97</v>
      </c>
      <c r="D61" s="30" t="s">
        <v>46</v>
      </c>
      <c r="E61" s="30" t="s">
        <v>56</v>
      </c>
      <c r="F61" s="30" t="n">
        <v>5</v>
      </c>
      <c r="G61" s="30" t="n">
        <v>1</v>
      </c>
      <c r="H61" s="30" t="s">
        <v>71</v>
      </c>
      <c r="I61" s="30" t="n">
        <v>37</v>
      </c>
      <c r="J61" s="30" t="s">
        <v>176</v>
      </c>
      <c r="K61" s="30" t="s">
        <v>156</v>
      </c>
      <c r="L61" s="30" t="n">
        <v>5</v>
      </c>
      <c r="M61" s="30" t="s">
        <v>157</v>
      </c>
      <c r="N61" s="30"/>
      <c r="O61" s="30" t="n">
        <v>3</v>
      </c>
      <c r="P61" s="30" t="s">
        <v>157</v>
      </c>
      <c r="Q61" s="30" t="n">
        <v>6.7</v>
      </c>
    </row>
    <row r="62" customFormat="false" ht="15" hidden="false" customHeight="false" outlineLevel="0" collapsed="false">
      <c r="A62" s="30" t="s">
        <v>219</v>
      </c>
      <c r="B62" s="31" t="n">
        <v>46254</v>
      </c>
      <c r="C62" s="30" t="s">
        <v>97</v>
      </c>
      <c r="D62" s="30" t="s">
        <v>46</v>
      </c>
      <c r="E62" s="30" t="s">
        <v>56</v>
      </c>
      <c r="F62" s="30" t="n">
        <v>1</v>
      </c>
      <c r="G62" s="30" t="n">
        <v>4</v>
      </c>
      <c r="H62" s="30" t="s">
        <v>70</v>
      </c>
      <c r="I62" s="30" t="n">
        <v>39</v>
      </c>
      <c r="J62" s="30" t="s">
        <v>159</v>
      </c>
      <c r="K62" s="30" t="s">
        <v>156</v>
      </c>
      <c r="L62" s="30" t="n">
        <v>60</v>
      </c>
      <c r="M62" s="30" t="s">
        <v>157</v>
      </c>
      <c r="N62" s="30"/>
      <c r="O62" s="30" t="n">
        <v>2</v>
      </c>
      <c r="P62" s="30" t="s">
        <v>157</v>
      </c>
      <c r="Q62" s="30" t="n">
        <v>12.4</v>
      </c>
    </row>
    <row r="63" customFormat="false" ht="15" hidden="false" customHeight="false" outlineLevel="0" collapsed="false">
      <c r="A63" s="30" t="s">
        <v>220</v>
      </c>
      <c r="B63" s="31" t="n">
        <v>46254</v>
      </c>
      <c r="C63" s="30" t="s">
        <v>100</v>
      </c>
      <c r="D63" s="30" t="s">
        <v>47</v>
      </c>
      <c r="E63" s="30" t="s">
        <v>59</v>
      </c>
      <c r="F63" s="30" t="n">
        <v>6</v>
      </c>
      <c r="G63" s="30" t="n">
        <v>1</v>
      </c>
      <c r="H63" s="30" t="s">
        <v>71</v>
      </c>
      <c r="I63" s="30" t="n">
        <v>34</v>
      </c>
      <c r="J63" s="30" t="s">
        <v>155</v>
      </c>
      <c r="K63" s="30" t="s">
        <v>156</v>
      </c>
      <c r="L63" s="30" t="n">
        <v>59</v>
      </c>
      <c r="M63" s="30" t="s">
        <v>157</v>
      </c>
      <c r="N63" s="30"/>
      <c r="O63" s="30" t="n">
        <v>4</v>
      </c>
      <c r="P63" s="30" t="s">
        <v>157</v>
      </c>
      <c r="Q63" s="30" t="n">
        <v>13.6</v>
      </c>
    </row>
    <row r="64" customFormat="false" ht="15" hidden="false" customHeight="false" outlineLevel="0" collapsed="false">
      <c r="A64" s="30" t="s">
        <v>221</v>
      </c>
      <c r="B64" s="31" t="n">
        <v>46254</v>
      </c>
      <c r="C64" s="30" t="s">
        <v>100</v>
      </c>
      <c r="D64" s="30" t="s">
        <v>47</v>
      </c>
      <c r="E64" s="30" t="s">
        <v>61</v>
      </c>
      <c r="F64" s="30" t="n">
        <v>8</v>
      </c>
      <c r="G64" s="30" t="n">
        <v>1</v>
      </c>
      <c r="H64" s="30" t="s">
        <v>70</v>
      </c>
      <c r="I64" s="30" t="n">
        <v>53</v>
      </c>
      <c r="J64" s="30" t="s">
        <v>155</v>
      </c>
      <c r="K64" s="30" t="s">
        <v>156</v>
      </c>
      <c r="L64" s="30" t="n">
        <v>18</v>
      </c>
      <c r="M64" s="30" t="s">
        <v>156</v>
      </c>
      <c r="N64" s="30"/>
      <c r="O64" s="30" t="n">
        <v>4</v>
      </c>
      <c r="P64" s="30" t="s">
        <v>157</v>
      </c>
      <c r="Q64" s="30" t="n">
        <v>17</v>
      </c>
    </row>
    <row r="65" customFormat="false" ht="15" hidden="false" customHeight="false" outlineLevel="0" collapsed="false">
      <c r="A65" s="30" t="s">
        <v>222</v>
      </c>
      <c r="B65" s="31" t="n">
        <v>46255</v>
      </c>
      <c r="C65" s="30" t="s">
        <v>95</v>
      </c>
      <c r="D65" s="30" t="s">
        <v>44</v>
      </c>
      <c r="E65" s="30" t="s">
        <v>61</v>
      </c>
      <c r="F65" s="30" t="n">
        <v>2</v>
      </c>
      <c r="G65" s="30" t="n">
        <v>0</v>
      </c>
      <c r="H65" s="30" t="s">
        <v>70</v>
      </c>
      <c r="I65" s="30" t="n">
        <v>47</v>
      </c>
      <c r="J65" s="30"/>
      <c r="K65" s="30" t="s">
        <v>156</v>
      </c>
      <c r="L65" s="30" t="n">
        <v>53</v>
      </c>
      <c r="M65" s="30" t="s">
        <v>156</v>
      </c>
      <c r="N65" s="30"/>
      <c r="O65" s="30" t="n">
        <v>2</v>
      </c>
      <c r="P65" s="30" t="s">
        <v>157</v>
      </c>
      <c r="Q65" s="30" t="n">
        <v>13.7</v>
      </c>
    </row>
    <row r="66" customFormat="false" ht="15" hidden="false" customHeight="false" outlineLevel="0" collapsed="false">
      <c r="A66" s="30" t="s">
        <v>223</v>
      </c>
      <c r="B66" s="31" t="n">
        <v>46255</v>
      </c>
      <c r="C66" s="30" t="s">
        <v>96</v>
      </c>
      <c r="D66" s="30" t="s">
        <v>45</v>
      </c>
      <c r="E66" s="30" t="s">
        <v>60</v>
      </c>
      <c r="F66" s="30" t="n">
        <v>9</v>
      </c>
      <c r="G66" s="30" t="n">
        <v>1</v>
      </c>
      <c r="H66" s="30" t="s">
        <v>71</v>
      </c>
      <c r="I66" s="30" t="n">
        <v>21</v>
      </c>
      <c r="J66" s="30" t="s">
        <v>155</v>
      </c>
      <c r="K66" s="30" t="s">
        <v>157</v>
      </c>
      <c r="L66" s="30"/>
      <c r="M66" s="30" t="s">
        <v>157</v>
      </c>
      <c r="N66" s="30" t="s">
        <v>85</v>
      </c>
      <c r="O66" s="30"/>
      <c r="P66" s="30" t="s">
        <v>157</v>
      </c>
      <c r="Q66" s="30" t="n">
        <v>15.8</v>
      </c>
    </row>
    <row r="67" customFormat="false" ht="15" hidden="false" customHeight="false" outlineLevel="0" collapsed="false">
      <c r="A67" s="30" t="s">
        <v>224</v>
      </c>
      <c r="B67" s="31" t="n">
        <v>46255</v>
      </c>
      <c r="C67" s="30" t="s">
        <v>96</v>
      </c>
      <c r="D67" s="30" t="s">
        <v>45</v>
      </c>
      <c r="E67" s="30" t="s">
        <v>57</v>
      </c>
      <c r="F67" s="30" t="n">
        <v>2</v>
      </c>
      <c r="G67" s="30" t="n">
        <v>4</v>
      </c>
      <c r="H67" s="30" t="s">
        <v>70</v>
      </c>
      <c r="I67" s="30" t="n">
        <v>28</v>
      </c>
      <c r="J67" s="30" t="s">
        <v>155</v>
      </c>
      <c r="K67" s="30" t="s">
        <v>156</v>
      </c>
      <c r="L67" s="30" t="n">
        <v>66</v>
      </c>
      <c r="M67" s="30" t="s">
        <v>157</v>
      </c>
      <c r="N67" s="30"/>
      <c r="O67" s="30" t="n">
        <v>3</v>
      </c>
      <c r="P67" s="30" t="s">
        <v>156</v>
      </c>
      <c r="Q67" s="30" t="n">
        <v>15.1</v>
      </c>
    </row>
    <row r="68" customFormat="false" ht="15" hidden="false" customHeight="false" outlineLevel="0" collapsed="false">
      <c r="A68" s="30" t="s">
        <v>225</v>
      </c>
      <c r="B68" s="31" t="n">
        <v>46255</v>
      </c>
      <c r="C68" s="30" t="s">
        <v>96</v>
      </c>
      <c r="D68" s="30" t="s">
        <v>45</v>
      </c>
      <c r="E68" s="30" t="s">
        <v>60</v>
      </c>
      <c r="F68" s="30" t="n">
        <v>6</v>
      </c>
      <c r="G68" s="30" t="n">
        <v>3</v>
      </c>
      <c r="H68" s="30" t="s">
        <v>71</v>
      </c>
      <c r="I68" s="30" t="n">
        <v>31</v>
      </c>
      <c r="J68" s="30" t="s">
        <v>155</v>
      </c>
      <c r="K68" s="30" t="s">
        <v>157</v>
      </c>
      <c r="L68" s="30"/>
      <c r="M68" s="30" t="s">
        <v>157</v>
      </c>
      <c r="N68" s="30" t="s">
        <v>77</v>
      </c>
      <c r="O68" s="30"/>
      <c r="P68" s="30" t="s">
        <v>156</v>
      </c>
      <c r="Q68" s="30" t="n">
        <v>15.1</v>
      </c>
    </row>
    <row r="69" customFormat="false" ht="15" hidden="false" customHeight="false" outlineLevel="0" collapsed="false">
      <c r="A69" s="30" t="s">
        <v>226</v>
      </c>
      <c r="B69" s="31" t="n">
        <v>46255</v>
      </c>
      <c r="C69" s="30" t="s">
        <v>96</v>
      </c>
      <c r="D69" s="30" t="s">
        <v>45</v>
      </c>
      <c r="E69" s="30" t="s">
        <v>61</v>
      </c>
      <c r="F69" s="30" t="n">
        <v>8</v>
      </c>
      <c r="G69" s="30" t="n">
        <v>2</v>
      </c>
      <c r="H69" s="30" t="s">
        <v>70</v>
      </c>
      <c r="I69" s="30" t="n">
        <v>35</v>
      </c>
      <c r="J69" s="30" t="s">
        <v>159</v>
      </c>
      <c r="K69" s="30" t="s">
        <v>157</v>
      </c>
      <c r="L69" s="30"/>
      <c r="M69" s="30" t="s">
        <v>157</v>
      </c>
      <c r="N69" s="30" t="s">
        <v>79</v>
      </c>
      <c r="O69" s="30"/>
      <c r="P69" s="30" t="s">
        <v>157</v>
      </c>
      <c r="Q69" s="30" t="n">
        <v>8.8</v>
      </c>
    </row>
    <row r="70" customFormat="false" ht="15" hidden="false" customHeight="false" outlineLevel="0" collapsed="false">
      <c r="A70" s="30" t="s">
        <v>227</v>
      </c>
      <c r="B70" s="31" t="n">
        <v>46255</v>
      </c>
      <c r="C70" s="30" t="s">
        <v>97</v>
      </c>
      <c r="D70" s="30" t="s">
        <v>46</v>
      </c>
      <c r="E70" s="30" t="s">
        <v>58</v>
      </c>
      <c r="F70" s="30" t="n">
        <v>10</v>
      </c>
      <c r="G70" s="30" t="n">
        <v>0</v>
      </c>
      <c r="H70" s="30" t="s">
        <v>70</v>
      </c>
      <c r="I70" s="30" t="n">
        <v>38</v>
      </c>
      <c r="J70" s="30" t="s">
        <v>155</v>
      </c>
      <c r="K70" s="30" t="s">
        <v>156</v>
      </c>
      <c r="L70" s="30" t="n">
        <v>56</v>
      </c>
      <c r="M70" s="30" t="s">
        <v>157</v>
      </c>
      <c r="N70" s="30"/>
      <c r="O70" s="30" t="n">
        <v>5</v>
      </c>
      <c r="P70" s="30" t="s">
        <v>157</v>
      </c>
      <c r="Q70" s="30" t="n">
        <v>15.2</v>
      </c>
    </row>
    <row r="71" customFormat="false" ht="15" hidden="false" customHeight="false" outlineLevel="0" collapsed="false">
      <c r="A71" s="30" t="s">
        <v>228</v>
      </c>
      <c r="B71" s="31" t="n">
        <v>46255</v>
      </c>
      <c r="C71" s="30" t="s">
        <v>98</v>
      </c>
      <c r="D71" s="30" t="s">
        <v>46</v>
      </c>
      <c r="E71" s="30" t="s">
        <v>57</v>
      </c>
      <c r="F71" s="30" t="n">
        <v>2</v>
      </c>
      <c r="G71" s="30" t="n">
        <v>0</v>
      </c>
      <c r="H71" s="30" t="s">
        <v>71</v>
      </c>
      <c r="I71" s="30" t="n">
        <v>36</v>
      </c>
      <c r="J71" s="30" t="s">
        <v>159</v>
      </c>
      <c r="K71" s="30" t="s">
        <v>156</v>
      </c>
      <c r="L71" s="30" t="n">
        <v>49</v>
      </c>
      <c r="M71" s="30" t="s">
        <v>157</v>
      </c>
      <c r="N71" s="30"/>
      <c r="O71" s="30" t="n">
        <v>1</v>
      </c>
      <c r="P71" s="30" t="s">
        <v>157</v>
      </c>
      <c r="Q71" s="30" t="n">
        <v>7.1</v>
      </c>
    </row>
    <row r="72" customFormat="false" ht="15" hidden="false" customHeight="false" outlineLevel="0" collapsed="false">
      <c r="A72" s="30" t="s">
        <v>229</v>
      </c>
      <c r="B72" s="31" t="n">
        <v>46255</v>
      </c>
      <c r="C72" s="30" t="s">
        <v>98</v>
      </c>
      <c r="D72" s="30" t="s">
        <v>46</v>
      </c>
      <c r="E72" s="30" t="s">
        <v>60</v>
      </c>
      <c r="F72" s="30" t="n">
        <v>13</v>
      </c>
      <c r="G72" s="30" t="n">
        <v>1</v>
      </c>
      <c r="H72" s="30" t="s">
        <v>70</v>
      </c>
      <c r="I72" s="30" t="n">
        <v>21</v>
      </c>
      <c r="J72" s="30" t="s">
        <v>159</v>
      </c>
      <c r="K72" s="30" t="s">
        <v>156</v>
      </c>
      <c r="L72" s="30" t="n">
        <v>43</v>
      </c>
      <c r="M72" s="30" t="s">
        <v>157</v>
      </c>
      <c r="N72" s="30"/>
      <c r="O72" s="30" t="n">
        <v>4</v>
      </c>
      <c r="P72" s="30" t="s">
        <v>157</v>
      </c>
      <c r="Q72" s="30" t="n">
        <v>4.3</v>
      </c>
    </row>
    <row r="73" customFormat="false" ht="15" hidden="false" customHeight="false" outlineLevel="0" collapsed="false">
      <c r="A73" s="30" t="s">
        <v>230</v>
      </c>
      <c r="B73" s="31" t="n">
        <v>46255</v>
      </c>
      <c r="C73" s="30" t="s">
        <v>97</v>
      </c>
      <c r="D73" s="30" t="s">
        <v>46</v>
      </c>
      <c r="E73" s="30" t="s">
        <v>56</v>
      </c>
      <c r="F73" s="30" t="n">
        <v>9</v>
      </c>
      <c r="G73" s="30" t="n">
        <v>3</v>
      </c>
      <c r="H73" s="30" t="s">
        <v>71</v>
      </c>
      <c r="I73" s="30" t="n">
        <v>22</v>
      </c>
      <c r="J73" s="30" t="s">
        <v>155</v>
      </c>
      <c r="K73" s="30" t="s">
        <v>156</v>
      </c>
      <c r="L73" s="30" t="n">
        <v>85</v>
      </c>
      <c r="M73" s="30" t="s">
        <v>156</v>
      </c>
      <c r="N73" s="30"/>
      <c r="O73" s="30" t="n">
        <v>4</v>
      </c>
      <c r="P73" s="30" t="s">
        <v>156</v>
      </c>
      <c r="Q73" s="30" t="n">
        <v>14</v>
      </c>
    </row>
    <row r="74" customFormat="false" ht="15" hidden="false" customHeight="false" outlineLevel="0" collapsed="false">
      <c r="A74" s="30" t="s">
        <v>231</v>
      </c>
      <c r="B74" s="31" t="n">
        <v>46255</v>
      </c>
      <c r="C74" s="30" t="s">
        <v>98</v>
      </c>
      <c r="D74" s="30" t="s">
        <v>46</v>
      </c>
      <c r="E74" s="30" t="s">
        <v>56</v>
      </c>
      <c r="F74" s="30" t="n">
        <v>8</v>
      </c>
      <c r="G74" s="30" t="n">
        <v>2</v>
      </c>
      <c r="H74" s="30" t="s">
        <v>71</v>
      </c>
      <c r="I74" s="30" t="n">
        <v>50</v>
      </c>
      <c r="J74" s="30" t="s">
        <v>155</v>
      </c>
      <c r="K74" s="30" t="s">
        <v>156</v>
      </c>
      <c r="L74" s="30" t="n">
        <v>56</v>
      </c>
      <c r="M74" s="30" t="s">
        <v>156</v>
      </c>
      <c r="N74" s="30"/>
      <c r="O74" s="30" t="n">
        <v>5</v>
      </c>
      <c r="P74" s="30" t="s">
        <v>156</v>
      </c>
      <c r="Q74" s="30" t="n">
        <v>9</v>
      </c>
    </row>
    <row r="75" customFormat="false" ht="15" hidden="false" customHeight="false" outlineLevel="0" collapsed="false">
      <c r="A75" s="30" t="s">
        <v>232</v>
      </c>
      <c r="B75" s="31" t="n">
        <v>46255</v>
      </c>
      <c r="C75" s="30" t="s">
        <v>98</v>
      </c>
      <c r="D75" s="30" t="s">
        <v>46</v>
      </c>
      <c r="E75" s="30" t="s">
        <v>62</v>
      </c>
      <c r="F75" s="30" t="n">
        <v>4</v>
      </c>
      <c r="G75" s="30" t="n">
        <v>5</v>
      </c>
      <c r="H75" s="30" t="s">
        <v>71</v>
      </c>
      <c r="I75" s="30" t="n">
        <v>35</v>
      </c>
      <c r="J75" s="30" t="s">
        <v>155</v>
      </c>
      <c r="K75" s="30" t="s">
        <v>156</v>
      </c>
      <c r="L75" s="30" t="n">
        <v>53</v>
      </c>
      <c r="M75" s="30" t="s">
        <v>156</v>
      </c>
      <c r="N75" s="30"/>
      <c r="O75" s="30" t="n">
        <v>4</v>
      </c>
      <c r="P75" s="30" t="s">
        <v>157</v>
      </c>
      <c r="Q75" s="30" t="n">
        <v>2.5</v>
      </c>
    </row>
    <row r="76" customFormat="false" ht="15" hidden="false" customHeight="false" outlineLevel="0" collapsed="false">
      <c r="A76" s="30" t="s">
        <v>233</v>
      </c>
      <c r="B76" s="31" t="n">
        <v>46255</v>
      </c>
      <c r="C76" s="30" t="s">
        <v>99</v>
      </c>
      <c r="D76" s="30" t="s">
        <v>47</v>
      </c>
      <c r="E76" s="30" t="s">
        <v>59</v>
      </c>
      <c r="F76" s="30" t="n">
        <v>1</v>
      </c>
      <c r="G76" s="30" t="n">
        <v>1</v>
      </c>
      <c r="H76" s="30" t="s">
        <v>70</v>
      </c>
      <c r="I76" s="30" t="n">
        <v>40</v>
      </c>
      <c r="J76" s="30" t="s">
        <v>159</v>
      </c>
      <c r="K76" s="30" t="s">
        <v>157</v>
      </c>
      <c r="L76" s="30"/>
      <c r="M76" s="30" t="s">
        <v>157</v>
      </c>
      <c r="N76" s="30" t="s">
        <v>77</v>
      </c>
      <c r="O76" s="30"/>
      <c r="P76" s="30" t="s">
        <v>156</v>
      </c>
      <c r="Q76" s="30" t="n">
        <v>15.8</v>
      </c>
    </row>
    <row r="77" customFormat="false" ht="15" hidden="false" customHeight="false" outlineLevel="0" collapsed="false">
      <c r="A77" s="30" t="s">
        <v>234</v>
      </c>
      <c r="B77" s="31" t="n">
        <v>46255</v>
      </c>
      <c r="C77" s="30" t="s">
        <v>100</v>
      </c>
      <c r="D77" s="30" t="s">
        <v>47</v>
      </c>
      <c r="E77" s="30" t="s">
        <v>58</v>
      </c>
      <c r="F77" s="30" t="n">
        <v>2</v>
      </c>
      <c r="G77" s="30" t="n">
        <v>0</v>
      </c>
      <c r="H77" s="30" t="s">
        <v>71</v>
      </c>
      <c r="I77" s="30" t="n">
        <v>50</v>
      </c>
      <c r="J77" s="30" t="s">
        <v>176</v>
      </c>
      <c r="K77" s="30" t="s">
        <v>156</v>
      </c>
      <c r="L77" s="30" t="n">
        <v>67</v>
      </c>
      <c r="M77" s="30" t="s">
        <v>157</v>
      </c>
      <c r="N77" s="30"/>
      <c r="O77" s="30" t="n">
        <v>5</v>
      </c>
      <c r="P77" s="30" t="s">
        <v>157</v>
      </c>
      <c r="Q77" s="30" t="n">
        <v>17.6</v>
      </c>
    </row>
    <row r="78" customFormat="false" ht="15" hidden="false" customHeight="false" outlineLevel="0" collapsed="false">
      <c r="A78" s="30" t="s">
        <v>235</v>
      </c>
      <c r="B78" s="31" t="n">
        <v>46255</v>
      </c>
      <c r="C78" s="30" t="s">
        <v>100</v>
      </c>
      <c r="D78" s="30" t="s">
        <v>47</v>
      </c>
      <c r="E78" s="30" t="s">
        <v>56</v>
      </c>
      <c r="F78" s="30" t="n">
        <v>10</v>
      </c>
      <c r="G78" s="30" t="n">
        <v>1</v>
      </c>
      <c r="H78" s="30" t="s">
        <v>70</v>
      </c>
      <c r="I78" s="30" t="n">
        <v>36</v>
      </c>
      <c r="J78" s="30" t="s">
        <v>155</v>
      </c>
      <c r="K78" s="30" t="s">
        <v>156</v>
      </c>
      <c r="L78" s="30" t="n">
        <v>56</v>
      </c>
      <c r="M78" s="30" t="s">
        <v>156</v>
      </c>
      <c r="N78" s="30"/>
      <c r="O78" s="30" t="n">
        <v>3</v>
      </c>
      <c r="P78" s="30" t="s">
        <v>156</v>
      </c>
      <c r="Q78" s="30" t="n">
        <v>9.5</v>
      </c>
    </row>
    <row r="79" customFormat="false" ht="15" hidden="false" customHeight="false" outlineLevel="0" collapsed="false">
      <c r="A79" s="30" t="s">
        <v>236</v>
      </c>
      <c r="B79" s="31" t="n">
        <v>46256</v>
      </c>
      <c r="C79" s="30" t="s">
        <v>94</v>
      </c>
      <c r="D79" s="30" t="s">
        <v>44</v>
      </c>
      <c r="E79" s="30" t="s">
        <v>56</v>
      </c>
      <c r="F79" s="30" t="n">
        <v>2</v>
      </c>
      <c r="G79" s="30" t="n">
        <v>2</v>
      </c>
      <c r="H79" s="30" t="s">
        <v>71</v>
      </c>
      <c r="I79" s="30" t="n">
        <v>51</v>
      </c>
      <c r="J79" s="30" t="s">
        <v>155</v>
      </c>
      <c r="K79" s="30" t="s">
        <v>156</v>
      </c>
      <c r="L79" s="30" t="n">
        <v>36</v>
      </c>
      <c r="M79" s="30" t="s">
        <v>157</v>
      </c>
      <c r="N79" s="30"/>
      <c r="O79" s="30" t="n">
        <v>4</v>
      </c>
      <c r="P79" s="30" t="s">
        <v>156</v>
      </c>
      <c r="Q79" s="30" t="n">
        <v>17.7</v>
      </c>
    </row>
    <row r="80" customFormat="false" ht="15" hidden="false" customHeight="false" outlineLevel="0" collapsed="false">
      <c r="A80" s="30" t="s">
        <v>237</v>
      </c>
      <c r="B80" s="31" t="n">
        <v>46256</v>
      </c>
      <c r="C80" s="30" t="s">
        <v>94</v>
      </c>
      <c r="D80" s="30" t="s">
        <v>44</v>
      </c>
      <c r="E80" s="30" t="s">
        <v>56</v>
      </c>
      <c r="F80" s="30" t="n">
        <v>6</v>
      </c>
      <c r="G80" s="30" t="n">
        <v>3</v>
      </c>
      <c r="H80" s="30" t="s">
        <v>70</v>
      </c>
      <c r="I80" s="30" t="n">
        <v>42</v>
      </c>
      <c r="J80" s="30" t="s">
        <v>164</v>
      </c>
      <c r="K80" s="30" t="s">
        <v>156</v>
      </c>
      <c r="L80" s="30" t="n">
        <v>46</v>
      </c>
      <c r="M80" s="30" t="s">
        <v>156</v>
      </c>
      <c r="N80" s="30"/>
      <c r="O80" s="30" t="n">
        <v>2</v>
      </c>
      <c r="P80" s="30" t="s">
        <v>157</v>
      </c>
      <c r="Q80" s="30" t="n">
        <v>9.9</v>
      </c>
    </row>
    <row r="81" customFormat="false" ht="15" hidden="false" customHeight="false" outlineLevel="0" collapsed="false">
      <c r="A81" s="30" t="s">
        <v>238</v>
      </c>
      <c r="B81" s="31" t="n">
        <v>46256</v>
      </c>
      <c r="C81" s="30" t="s">
        <v>95</v>
      </c>
      <c r="D81" s="30" t="s">
        <v>44</v>
      </c>
      <c r="E81" s="30" t="s">
        <v>58</v>
      </c>
      <c r="F81" s="30" t="n">
        <v>2</v>
      </c>
      <c r="G81" s="30" t="n">
        <v>4</v>
      </c>
      <c r="H81" s="30" t="s">
        <v>71</v>
      </c>
      <c r="I81" s="30" t="n">
        <v>40</v>
      </c>
      <c r="J81" s="30" t="s">
        <v>159</v>
      </c>
      <c r="K81" s="30" t="s">
        <v>156</v>
      </c>
      <c r="L81" s="30" t="n">
        <v>74</v>
      </c>
      <c r="M81" s="30" t="s">
        <v>156</v>
      </c>
      <c r="N81" s="30"/>
      <c r="O81" s="30" t="n">
        <v>4</v>
      </c>
      <c r="P81" s="30" t="s">
        <v>156</v>
      </c>
      <c r="Q81" s="30" t="n">
        <v>10</v>
      </c>
    </row>
    <row r="82" customFormat="false" ht="15" hidden="false" customHeight="false" outlineLevel="0" collapsed="false">
      <c r="A82" s="30" t="s">
        <v>239</v>
      </c>
      <c r="B82" s="31" t="n">
        <v>46256</v>
      </c>
      <c r="C82" s="30" t="s">
        <v>96</v>
      </c>
      <c r="D82" s="30" t="s">
        <v>45</v>
      </c>
      <c r="E82" s="30" t="s">
        <v>57</v>
      </c>
      <c r="F82" s="30" t="n">
        <v>2</v>
      </c>
      <c r="G82" s="30" t="n">
        <v>1</v>
      </c>
      <c r="H82" s="30" t="s">
        <v>71</v>
      </c>
      <c r="I82" s="30" t="n">
        <v>37</v>
      </c>
      <c r="J82" s="30" t="s">
        <v>159</v>
      </c>
      <c r="K82" s="30" t="s">
        <v>156</v>
      </c>
      <c r="L82" s="30" t="n">
        <v>28</v>
      </c>
      <c r="M82" s="30" t="s">
        <v>157</v>
      </c>
      <c r="N82" s="30"/>
      <c r="O82" s="30" t="n">
        <v>4</v>
      </c>
      <c r="P82" s="30" t="s">
        <v>157</v>
      </c>
      <c r="Q82" s="30" t="n">
        <v>18.2</v>
      </c>
    </row>
    <row r="83" customFormat="false" ht="15" hidden="false" customHeight="false" outlineLevel="0" collapsed="false">
      <c r="A83" s="30" t="s">
        <v>240</v>
      </c>
      <c r="B83" s="31" t="n">
        <v>46256</v>
      </c>
      <c r="C83" s="30" t="s">
        <v>96</v>
      </c>
      <c r="D83" s="30" t="s">
        <v>45</v>
      </c>
      <c r="E83" s="30" t="s">
        <v>59</v>
      </c>
      <c r="F83" s="30" t="n">
        <v>5</v>
      </c>
      <c r="G83" s="30" t="n">
        <v>1</v>
      </c>
      <c r="H83" s="30" t="s">
        <v>70</v>
      </c>
      <c r="I83" s="30" t="n">
        <v>29</v>
      </c>
      <c r="J83" s="30" t="s">
        <v>176</v>
      </c>
      <c r="K83" s="30" t="s">
        <v>156</v>
      </c>
      <c r="L83" s="30" t="n">
        <v>26</v>
      </c>
      <c r="M83" s="30" t="s">
        <v>156</v>
      </c>
      <c r="N83" s="30"/>
      <c r="O83" s="30" t="n">
        <v>4</v>
      </c>
      <c r="P83" s="30" t="s">
        <v>157</v>
      </c>
      <c r="Q83" s="30" t="n">
        <v>13.5</v>
      </c>
    </row>
    <row r="84" customFormat="false" ht="15" hidden="false" customHeight="false" outlineLevel="0" collapsed="false">
      <c r="A84" s="30" t="s">
        <v>241</v>
      </c>
      <c r="B84" s="31" t="n">
        <v>46256</v>
      </c>
      <c r="C84" s="30" t="s">
        <v>96</v>
      </c>
      <c r="D84" s="30" t="s">
        <v>45</v>
      </c>
      <c r="E84" s="30" t="s">
        <v>56</v>
      </c>
      <c r="F84" s="30" t="n">
        <v>0</v>
      </c>
      <c r="G84" s="30" t="n">
        <v>0</v>
      </c>
      <c r="H84" s="30" t="s">
        <v>71</v>
      </c>
      <c r="I84" s="30" t="n">
        <v>33</v>
      </c>
      <c r="J84" s="30" t="s">
        <v>155</v>
      </c>
      <c r="K84" s="30" t="s">
        <v>156</v>
      </c>
      <c r="L84" s="30" t="n">
        <v>35</v>
      </c>
      <c r="M84" s="30" t="s">
        <v>157</v>
      </c>
      <c r="N84" s="30"/>
      <c r="O84" s="30" t="n">
        <v>3</v>
      </c>
      <c r="P84" s="30" t="s">
        <v>157</v>
      </c>
      <c r="Q84" s="30" t="n">
        <v>8.6</v>
      </c>
    </row>
    <row r="85" customFormat="false" ht="15" hidden="false" customHeight="false" outlineLevel="0" collapsed="false">
      <c r="A85" s="30" t="s">
        <v>242</v>
      </c>
      <c r="B85" s="31" t="n">
        <v>46256</v>
      </c>
      <c r="C85" s="30" t="s">
        <v>97</v>
      </c>
      <c r="D85" s="30" t="s">
        <v>46</v>
      </c>
      <c r="E85" s="30" t="s">
        <v>56</v>
      </c>
      <c r="F85" s="30" t="n">
        <v>3</v>
      </c>
      <c r="G85" s="30" t="n">
        <v>2</v>
      </c>
      <c r="H85" s="30" t="s">
        <v>71</v>
      </c>
      <c r="I85" s="30" t="n">
        <v>22</v>
      </c>
      <c r="J85" s="30" t="s">
        <v>164</v>
      </c>
      <c r="K85" s="30" t="s">
        <v>156</v>
      </c>
      <c r="L85" s="30" t="n">
        <v>78</v>
      </c>
      <c r="M85" s="30" t="s">
        <v>157</v>
      </c>
      <c r="N85" s="30"/>
      <c r="O85" s="30" t="n">
        <v>5</v>
      </c>
      <c r="P85" s="30" t="s">
        <v>156</v>
      </c>
      <c r="Q85" s="30" t="n">
        <v>13.4</v>
      </c>
    </row>
    <row r="86" customFormat="false" ht="15" hidden="false" customHeight="false" outlineLevel="0" collapsed="false">
      <c r="A86" s="30" t="s">
        <v>243</v>
      </c>
      <c r="B86" s="31" t="n">
        <v>46256</v>
      </c>
      <c r="C86" s="30" t="s">
        <v>97</v>
      </c>
      <c r="D86" s="30" t="s">
        <v>46</v>
      </c>
      <c r="E86" s="30" t="s">
        <v>61</v>
      </c>
      <c r="F86" s="30" t="n">
        <v>6</v>
      </c>
      <c r="G86" s="30" t="n">
        <v>2</v>
      </c>
      <c r="H86" s="30" t="s">
        <v>71</v>
      </c>
      <c r="I86" s="30" t="n">
        <v>34</v>
      </c>
      <c r="J86" s="30" t="s">
        <v>164</v>
      </c>
      <c r="K86" s="30" t="s">
        <v>156</v>
      </c>
      <c r="L86" s="30" t="n">
        <v>43</v>
      </c>
      <c r="M86" s="30" t="s">
        <v>156</v>
      </c>
      <c r="N86" s="30"/>
      <c r="O86" s="30" t="n">
        <v>4</v>
      </c>
      <c r="P86" s="30" t="s">
        <v>157</v>
      </c>
      <c r="Q86" s="30" t="n">
        <v>7.8</v>
      </c>
    </row>
    <row r="87" customFormat="false" ht="15" hidden="false" customHeight="false" outlineLevel="0" collapsed="false">
      <c r="A87" s="30" t="s">
        <v>244</v>
      </c>
      <c r="B87" s="31" t="n">
        <v>46256</v>
      </c>
      <c r="C87" s="30" t="s">
        <v>97</v>
      </c>
      <c r="D87" s="30" t="s">
        <v>46</v>
      </c>
      <c r="E87" s="30" t="s">
        <v>58</v>
      </c>
      <c r="F87" s="30" t="n">
        <v>1</v>
      </c>
      <c r="G87" s="30" t="n">
        <v>1</v>
      </c>
      <c r="H87" s="30" t="s">
        <v>71</v>
      </c>
      <c r="I87" s="30" t="n">
        <v>36</v>
      </c>
      <c r="J87" s="30" t="s">
        <v>159</v>
      </c>
      <c r="K87" s="30" t="s">
        <v>157</v>
      </c>
      <c r="L87" s="30"/>
      <c r="M87" s="30" t="s">
        <v>157</v>
      </c>
      <c r="N87" s="30" t="s">
        <v>79</v>
      </c>
      <c r="O87" s="30"/>
      <c r="P87" s="30" t="s">
        <v>157</v>
      </c>
      <c r="Q87" s="30" t="n">
        <v>16.3</v>
      </c>
    </row>
    <row r="88" customFormat="false" ht="15" hidden="false" customHeight="false" outlineLevel="0" collapsed="false">
      <c r="A88" s="30" t="s">
        <v>245</v>
      </c>
      <c r="B88" s="31" t="n">
        <v>46256</v>
      </c>
      <c r="C88" s="30" t="s">
        <v>98</v>
      </c>
      <c r="D88" s="30" t="s">
        <v>46</v>
      </c>
      <c r="E88" s="30" t="s">
        <v>57</v>
      </c>
      <c r="F88" s="30" t="n">
        <v>8</v>
      </c>
      <c r="G88" s="30" t="n">
        <v>0</v>
      </c>
      <c r="H88" s="30" t="s">
        <v>70</v>
      </c>
      <c r="I88" s="30" t="n">
        <v>38</v>
      </c>
      <c r="J88" s="30" t="s">
        <v>176</v>
      </c>
      <c r="K88" s="30" t="s">
        <v>156</v>
      </c>
      <c r="L88" s="30" t="n">
        <v>62</v>
      </c>
      <c r="M88" s="30" t="s">
        <v>156</v>
      </c>
      <c r="N88" s="30"/>
      <c r="O88" s="30" t="n">
        <v>3</v>
      </c>
      <c r="P88" s="30" t="s">
        <v>157</v>
      </c>
      <c r="Q88" s="30" t="n">
        <v>7.9</v>
      </c>
    </row>
    <row r="89" customFormat="false" ht="15" hidden="false" customHeight="false" outlineLevel="0" collapsed="false">
      <c r="A89" s="30" t="s">
        <v>246</v>
      </c>
      <c r="B89" s="31" t="n">
        <v>46256</v>
      </c>
      <c r="C89" s="30" t="s">
        <v>100</v>
      </c>
      <c r="D89" s="30" t="s">
        <v>47</v>
      </c>
      <c r="E89" s="30" t="s">
        <v>56</v>
      </c>
      <c r="F89" s="30" t="n">
        <v>0</v>
      </c>
      <c r="G89" s="30" t="n">
        <v>0</v>
      </c>
      <c r="H89" s="30" t="s">
        <v>71</v>
      </c>
      <c r="I89" s="30" t="n">
        <v>29</v>
      </c>
      <c r="J89" s="30" t="s">
        <v>155</v>
      </c>
      <c r="K89" s="30" t="s">
        <v>156</v>
      </c>
      <c r="L89" s="30" t="n">
        <v>22</v>
      </c>
      <c r="M89" s="30" t="s">
        <v>157</v>
      </c>
      <c r="N89" s="30"/>
      <c r="O89" s="30" t="n">
        <v>4</v>
      </c>
      <c r="P89" s="30" t="s">
        <v>157</v>
      </c>
      <c r="Q89" s="30" t="n">
        <v>14</v>
      </c>
    </row>
    <row r="90" customFormat="false" ht="15" hidden="false" customHeight="false" outlineLevel="0" collapsed="false">
      <c r="A90" s="30" t="s">
        <v>247</v>
      </c>
      <c r="B90" s="31" t="n">
        <v>46256</v>
      </c>
      <c r="C90" s="30" t="s">
        <v>99</v>
      </c>
      <c r="D90" s="30" t="s">
        <v>47</v>
      </c>
      <c r="E90" s="30" t="s">
        <v>59</v>
      </c>
      <c r="F90" s="30" t="n">
        <v>9</v>
      </c>
      <c r="G90" s="30" t="n">
        <v>1</v>
      </c>
      <c r="H90" s="30" t="s">
        <v>71</v>
      </c>
      <c r="I90" s="30" t="n">
        <v>41</v>
      </c>
      <c r="J90" s="30" t="s">
        <v>176</v>
      </c>
      <c r="K90" s="30" t="s">
        <v>156</v>
      </c>
      <c r="L90" s="30" t="n">
        <v>42</v>
      </c>
      <c r="M90" s="30" t="s">
        <v>156</v>
      </c>
      <c r="N90" s="30"/>
      <c r="O90" s="30" t="n">
        <v>4</v>
      </c>
      <c r="P90" s="30" t="s">
        <v>157</v>
      </c>
      <c r="Q90" s="30" t="n">
        <v>16.6</v>
      </c>
    </row>
    <row r="91" customFormat="false" ht="15" hidden="false" customHeight="false" outlineLevel="0" collapsed="false">
      <c r="A91" s="30" t="s">
        <v>248</v>
      </c>
      <c r="B91" s="31" t="n">
        <v>46256</v>
      </c>
      <c r="C91" s="30" t="s">
        <v>99</v>
      </c>
      <c r="D91" s="30" t="s">
        <v>47</v>
      </c>
      <c r="E91" s="30" t="s">
        <v>57</v>
      </c>
      <c r="F91" s="30" t="n">
        <v>4</v>
      </c>
      <c r="G91" s="30" t="n">
        <v>1</v>
      </c>
      <c r="H91" s="30" t="s">
        <v>71</v>
      </c>
      <c r="I91" s="30" t="n">
        <v>34</v>
      </c>
      <c r="J91" s="30" t="s">
        <v>155</v>
      </c>
      <c r="K91" s="30" t="s">
        <v>157</v>
      </c>
      <c r="L91" s="30"/>
      <c r="M91" s="30" t="s">
        <v>157</v>
      </c>
      <c r="N91" s="30" t="s">
        <v>77</v>
      </c>
      <c r="O91" s="30"/>
      <c r="P91" s="30" t="s">
        <v>156</v>
      </c>
      <c r="Q91" s="30" t="n">
        <v>18</v>
      </c>
    </row>
    <row r="92" customFormat="false" ht="15" hidden="false" customHeight="false" outlineLevel="0" collapsed="false">
      <c r="A92" s="30" t="s">
        <v>249</v>
      </c>
      <c r="B92" s="31" t="n">
        <v>46256</v>
      </c>
      <c r="C92" s="30" t="s">
        <v>99</v>
      </c>
      <c r="D92" s="30" t="s">
        <v>47</v>
      </c>
      <c r="E92" s="30" t="s">
        <v>58</v>
      </c>
      <c r="F92" s="30" t="n">
        <v>4</v>
      </c>
      <c r="G92" s="30" t="n">
        <v>2</v>
      </c>
      <c r="H92" s="30" t="s">
        <v>71</v>
      </c>
      <c r="I92" s="30" t="n">
        <v>30</v>
      </c>
      <c r="J92" s="30" t="s">
        <v>176</v>
      </c>
      <c r="K92" s="30" t="s">
        <v>156</v>
      </c>
      <c r="L92" s="30" t="n">
        <v>69</v>
      </c>
      <c r="M92" s="30" t="s">
        <v>157</v>
      </c>
      <c r="N92" s="30"/>
      <c r="O92" s="30" t="n">
        <v>4</v>
      </c>
      <c r="P92" s="30" t="s">
        <v>156</v>
      </c>
      <c r="Q92" s="30" t="n">
        <v>17.2</v>
      </c>
    </row>
    <row r="93" customFormat="false" ht="15" hidden="false" customHeight="false" outlineLevel="0" collapsed="false">
      <c r="A93" s="30" t="s">
        <v>250</v>
      </c>
      <c r="B93" s="31" t="n">
        <v>46256</v>
      </c>
      <c r="C93" s="30" t="s">
        <v>100</v>
      </c>
      <c r="D93" s="30" t="s">
        <v>47</v>
      </c>
      <c r="E93" s="30" t="s">
        <v>61</v>
      </c>
      <c r="F93" s="30" t="n">
        <v>6</v>
      </c>
      <c r="G93" s="30" t="n">
        <v>1</v>
      </c>
      <c r="H93" s="30" t="s">
        <v>70</v>
      </c>
      <c r="I93" s="30" t="n">
        <v>40</v>
      </c>
      <c r="J93" s="30" t="s">
        <v>159</v>
      </c>
      <c r="K93" s="30" t="s">
        <v>156</v>
      </c>
      <c r="L93" s="30" t="n">
        <v>45</v>
      </c>
      <c r="M93" s="30" t="s">
        <v>156</v>
      </c>
      <c r="N93" s="30"/>
      <c r="O93" s="30" t="n">
        <v>4</v>
      </c>
      <c r="P93" s="30" t="s">
        <v>157</v>
      </c>
      <c r="Q93" s="30" t="n">
        <v>20.2</v>
      </c>
    </row>
    <row r="94" customFormat="false" ht="15" hidden="false" customHeight="false" outlineLevel="0" collapsed="false">
      <c r="A94" s="30" t="s">
        <v>251</v>
      </c>
      <c r="B94" s="31" t="n">
        <v>46257</v>
      </c>
      <c r="C94" s="30" t="s">
        <v>94</v>
      </c>
      <c r="D94" s="30" t="s">
        <v>44</v>
      </c>
      <c r="E94" s="30" t="s">
        <v>61</v>
      </c>
      <c r="F94" s="30" t="n">
        <v>7</v>
      </c>
      <c r="G94" s="30" t="n">
        <v>3</v>
      </c>
      <c r="H94" s="30" t="s">
        <v>71</v>
      </c>
      <c r="I94" s="30" t="n">
        <v>42</v>
      </c>
      <c r="J94" s="30" t="s">
        <v>155</v>
      </c>
      <c r="K94" s="30" t="s">
        <v>156</v>
      </c>
      <c r="L94" s="30" t="n">
        <v>48</v>
      </c>
      <c r="M94" s="30" t="s">
        <v>157</v>
      </c>
      <c r="N94" s="30"/>
      <c r="O94" s="30" t="n">
        <v>3</v>
      </c>
      <c r="P94" s="30" t="s">
        <v>157</v>
      </c>
      <c r="Q94" s="30" t="n">
        <v>16.4</v>
      </c>
    </row>
    <row r="95" customFormat="false" ht="15" hidden="false" customHeight="false" outlineLevel="0" collapsed="false">
      <c r="A95" s="30" t="s">
        <v>252</v>
      </c>
      <c r="B95" s="31" t="n">
        <v>46257</v>
      </c>
      <c r="C95" s="30" t="s">
        <v>94</v>
      </c>
      <c r="D95" s="30" t="s">
        <v>44</v>
      </c>
      <c r="E95" s="30" t="s">
        <v>57</v>
      </c>
      <c r="F95" s="30" t="n">
        <v>6</v>
      </c>
      <c r="G95" s="30" t="n">
        <v>2</v>
      </c>
      <c r="H95" s="30" t="s">
        <v>71</v>
      </c>
      <c r="I95" s="30" t="n">
        <v>31</v>
      </c>
      <c r="J95" s="30" t="s">
        <v>155</v>
      </c>
      <c r="K95" s="30" t="s">
        <v>156</v>
      </c>
      <c r="L95" s="30" t="n">
        <v>35</v>
      </c>
      <c r="M95" s="30" t="s">
        <v>157</v>
      </c>
      <c r="N95" s="30"/>
      <c r="O95" s="30" t="n">
        <v>3</v>
      </c>
      <c r="P95" s="30" t="s">
        <v>157</v>
      </c>
      <c r="Q95" s="30" t="n">
        <v>11.9</v>
      </c>
    </row>
    <row r="96" customFormat="false" ht="15" hidden="false" customHeight="false" outlineLevel="0" collapsed="false">
      <c r="A96" s="30" t="s">
        <v>253</v>
      </c>
      <c r="B96" s="31" t="n">
        <v>46257</v>
      </c>
      <c r="C96" s="30" t="s">
        <v>96</v>
      </c>
      <c r="D96" s="30" t="s">
        <v>45</v>
      </c>
      <c r="E96" s="30" t="s">
        <v>58</v>
      </c>
      <c r="F96" s="30" t="n">
        <v>8</v>
      </c>
      <c r="G96" s="30" t="n">
        <v>0</v>
      </c>
      <c r="H96" s="30" t="s">
        <v>70</v>
      </c>
      <c r="I96" s="30" t="n">
        <v>32</v>
      </c>
      <c r="J96" s="30" t="s">
        <v>164</v>
      </c>
      <c r="K96" s="30" t="s">
        <v>157</v>
      </c>
      <c r="L96" s="30"/>
      <c r="M96" s="30" t="s">
        <v>156</v>
      </c>
      <c r="N96" s="30" t="s">
        <v>77</v>
      </c>
      <c r="O96" s="30"/>
      <c r="P96" s="30" t="s">
        <v>156</v>
      </c>
      <c r="Q96" s="30" t="n">
        <v>13.2</v>
      </c>
    </row>
    <row r="97" customFormat="false" ht="15" hidden="false" customHeight="false" outlineLevel="0" collapsed="false">
      <c r="A97" s="30" t="s">
        <v>254</v>
      </c>
      <c r="B97" s="31" t="n">
        <v>46257</v>
      </c>
      <c r="C97" s="30" t="s">
        <v>96</v>
      </c>
      <c r="D97" s="30" t="s">
        <v>45</v>
      </c>
      <c r="E97" s="30" t="s">
        <v>62</v>
      </c>
      <c r="F97" s="30" t="n">
        <v>5</v>
      </c>
      <c r="G97" s="30" t="n">
        <v>1</v>
      </c>
      <c r="H97" s="30" t="s">
        <v>70</v>
      </c>
      <c r="I97" s="30" t="n">
        <v>41</v>
      </c>
      <c r="J97" s="30" t="s">
        <v>176</v>
      </c>
      <c r="K97" s="30" t="s">
        <v>156</v>
      </c>
      <c r="L97" s="30" t="n">
        <v>31</v>
      </c>
      <c r="M97" s="30" t="s">
        <v>157</v>
      </c>
      <c r="N97" s="30"/>
      <c r="O97" s="30" t="n">
        <v>5</v>
      </c>
      <c r="P97" s="30" t="s">
        <v>156</v>
      </c>
      <c r="Q97" s="30" t="n">
        <v>8.5</v>
      </c>
    </row>
    <row r="98" customFormat="false" ht="15" hidden="false" customHeight="false" outlineLevel="0" collapsed="false">
      <c r="A98" s="30" t="s">
        <v>255</v>
      </c>
      <c r="B98" s="31" t="n">
        <v>46257</v>
      </c>
      <c r="C98" s="30" t="s">
        <v>96</v>
      </c>
      <c r="D98" s="30" t="s">
        <v>45</v>
      </c>
      <c r="E98" s="30" t="s">
        <v>62</v>
      </c>
      <c r="F98" s="30" t="n">
        <v>10</v>
      </c>
      <c r="G98" s="30" t="n">
        <v>3</v>
      </c>
      <c r="H98" s="30" t="s">
        <v>71</v>
      </c>
      <c r="I98" s="30" t="n">
        <v>40</v>
      </c>
      <c r="J98" s="30" t="s">
        <v>155</v>
      </c>
      <c r="K98" s="30" t="s">
        <v>156</v>
      </c>
      <c r="L98" s="30" t="n">
        <v>40</v>
      </c>
      <c r="M98" s="30" t="s">
        <v>157</v>
      </c>
      <c r="N98" s="30"/>
      <c r="O98" s="30" t="n">
        <v>2</v>
      </c>
      <c r="P98" s="30" t="s">
        <v>156</v>
      </c>
      <c r="Q98" s="30" t="n">
        <v>10.3</v>
      </c>
    </row>
    <row r="99" customFormat="false" ht="15" hidden="false" customHeight="false" outlineLevel="0" collapsed="false">
      <c r="A99" s="30" t="s">
        <v>256</v>
      </c>
      <c r="B99" s="31" t="n">
        <v>46257</v>
      </c>
      <c r="C99" s="30" t="s">
        <v>96</v>
      </c>
      <c r="D99" s="30" t="s">
        <v>45</v>
      </c>
      <c r="E99" s="30" t="s">
        <v>58</v>
      </c>
      <c r="F99" s="30" t="n">
        <v>3</v>
      </c>
      <c r="G99" s="30" t="n">
        <v>2</v>
      </c>
      <c r="H99" s="30" t="s">
        <v>71</v>
      </c>
      <c r="I99" s="30" t="n">
        <v>19</v>
      </c>
      <c r="J99" s="30" t="s">
        <v>155</v>
      </c>
      <c r="K99" s="30" t="s">
        <v>156</v>
      </c>
      <c r="L99" s="30" t="n">
        <v>38</v>
      </c>
      <c r="M99" s="30" t="s">
        <v>156</v>
      </c>
      <c r="N99" s="30"/>
      <c r="O99" s="30" t="n">
        <v>3</v>
      </c>
      <c r="P99" s="30" t="s">
        <v>157</v>
      </c>
      <c r="Q99" s="30" t="n">
        <v>8.4</v>
      </c>
    </row>
    <row r="100" customFormat="false" ht="15" hidden="false" customHeight="false" outlineLevel="0" collapsed="false">
      <c r="A100" s="30" t="s">
        <v>257</v>
      </c>
      <c r="B100" s="31" t="n">
        <v>46257</v>
      </c>
      <c r="C100" s="30" t="s">
        <v>97</v>
      </c>
      <c r="D100" s="30" t="s">
        <v>46</v>
      </c>
      <c r="E100" s="30" t="s">
        <v>56</v>
      </c>
      <c r="F100" s="30" t="n">
        <v>1</v>
      </c>
      <c r="G100" s="30" t="n">
        <v>3</v>
      </c>
      <c r="H100" s="30" t="s">
        <v>70</v>
      </c>
      <c r="I100" s="30" t="n">
        <v>36</v>
      </c>
      <c r="J100" s="30" t="s">
        <v>159</v>
      </c>
      <c r="K100" s="30" t="s">
        <v>156</v>
      </c>
      <c r="L100" s="30" t="n">
        <v>37</v>
      </c>
      <c r="M100" s="30" t="s">
        <v>156</v>
      </c>
      <c r="N100" s="30"/>
      <c r="O100" s="30" t="n">
        <v>5</v>
      </c>
      <c r="P100" s="30" t="s">
        <v>156</v>
      </c>
      <c r="Q100" s="30" t="n">
        <v>12.4</v>
      </c>
    </row>
    <row r="101" customFormat="false" ht="15" hidden="false" customHeight="false" outlineLevel="0" collapsed="false">
      <c r="A101" s="30" t="s">
        <v>258</v>
      </c>
      <c r="B101" s="31" t="n">
        <v>46257</v>
      </c>
      <c r="C101" s="30" t="s">
        <v>97</v>
      </c>
      <c r="D101" s="30" t="s">
        <v>46</v>
      </c>
      <c r="E101" s="30" t="s">
        <v>58</v>
      </c>
      <c r="F101" s="30" t="n">
        <v>6</v>
      </c>
      <c r="G101" s="30" t="n">
        <v>1</v>
      </c>
      <c r="H101" s="30" t="s">
        <v>70</v>
      </c>
      <c r="I101" s="30" t="n">
        <v>44</v>
      </c>
      <c r="J101" s="30" t="s">
        <v>155</v>
      </c>
      <c r="K101" s="30" t="s">
        <v>157</v>
      </c>
      <c r="L101" s="30"/>
      <c r="M101" s="30" t="s">
        <v>157</v>
      </c>
      <c r="N101" s="30" t="s">
        <v>83</v>
      </c>
      <c r="O101" s="30"/>
      <c r="P101" s="30" t="s">
        <v>156</v>
      </c>
      <c r="Q101" s="30" t="n">
        <v>13.4</v>
      </c>
    </row>
    <row r="102" customFormat="false" ht="15" hidden="false" customHeight="false" outlineLevel="0" collapsed="false">
      <c r="A102" s="30" t="s">
        <v>259</v>
      </c>
      <c r="B102" s="31" t="n">
        <v>46257</v>
      </c>
      <c r="C102" s="30" t="s">
        <v>100</v>
      </c>
      <c r="D102" s="30" t="s">
        <v>47</v>
      </c>
      <c r="E102" s="30" t="s">
        <v>59</v>
      </c>
      <c r="F102" s="30" t="n">
        <v>2</v>
      </c>
      <c r="G102" s="30" t="n">
        <v>0</v>
      </c>
      <c r="H102" s="30" t="s">
        <v>70</v>
      </c>
      <c r="I102" s="30" t="n">
        <v>32</v>
      </c>
      <c r="J102" s="30" t="s">
        <v>164</v>
      </c>
      <c r="K102" s="30" t="s">
        <v>156</v>
      </c>
      <c r="L102" s="30" t="n">
        <v>29</v>
      </c>
      <c r="M102" s="30" t="s">
        <v>156</v>
      </c>
      <c r="N102" s="30"/>
      <c r="O102" s="30" t="n">
        <v>3</v>
      </c>
      <c r="P102" s="30" t="s">
        <v>157</v>
      </c>
      <c r="Q102" s="30" t="n">
        <v>11</v>
      </c>
    </row>
    <row r="103" customFormat="false" ht="15" hidden="false" customHeight="false" outlineLevel="0" collapsed="false">
      <c r="A103" s="30" t="s">
        <v>260</v>
      </c>
      <c r="B103" s="31" t="n">
        <v>46258</v>
      </c>
      <c r="C103" s="30" t="s">
        <v>95</v>
      </c>
      <c r="D103" s="30" t="s">
        <v>44</v>
      </c>
      <c r="E103" s="30" t="s">
        <v>56</v>
      </c>
      <c r="F103" s="30" t="n">
        <v>7</v>
      </c>
      <c r="G103" s="30" t="n">
        <v>1</v>
      </c>
      <c r="H103" s="30" t="s">
        <v>71</v>
      </c>
      <c r="I103" s="30" t="n">
        <v>35</v>
      </c>
      <c r="J103" s="30" t="s">
        <v>176</v>
      </c>
      <c r="K103" s="30" t="s">
        <v>156</v>
      </c>
      <c r="L103" s="30" t="n">
        <v>56</v>
      </c>
      <c r="M103" s="30" t="s">
        <v>157</v>
      </c>
      <c r="N103" s="30"/>
      <c r="O103" s="30" t="n">
        <v>5</v>
      </c>
      <c r="P103" s="30" t="s">
        <v>157</v>
      </c>
      <c r="Q103" s="30" t="n">
        <v>7.6</v>
      </c>
    </row>
    <row r="104" customFormat="false" ht="15" hidden="false" customHeight="false" outlineLevel="0" collapsed="false">
      <c r="A104" s="30" t="s">
        <v>261</v>
      </c>
      <c r="B104" s="31" t="n">
        <v>46258</v>
      </c>
      <c r="C104" s="30" t="s">
        <v>95</v>
      </c>
      <c r="D104" s="30" t="s">
        <v>44</v>
      </c>
      <c r="E104" s="30" t="s">
        <v>56</v>
      </c>
      <c r="F104" s="30" t="n">
        <v>4</v>
      </c>
      <c r="G104" s="30" t="n">
        <v>0</v>
      </c>
      <c r="H104" s="30" t="s">
        <v>71</v>
      </c>
      <c r="I104" s="30" t="n">
        <v>32</v>
      </c>
      <c r="J104" s="30" t="s">
        <v>176</v>
      </c>
      <c r="K104" s="30" t="s">
        <v>156</v>
      </c>
      <c r="L104" s="30" t="n">
        <v>44</v>
      </c>
      <c r="M104" s="30" t="s">
        <v>157</v>
      </c>
      <c r="N104" s="30"/>
      <c r="O104" s="30" t="n">
        <v>2</v>
      </c>
      <c r="P104" s="30" t="s">
        <v>157</v>
      </c>
      <c r="Q104" s="30" t="n">
        <v>15.8</v>
      </c>
    </row>
    <row r="105" customFormat="false" ht="15" hidden="false" customHeight="false" outlineLevel="0" collapsed="false">
      <c r="A105" s="30" t="s">
        <v>262</v>
      </c>
      <c r="B105" s="31" t="n">
        <v>46258</v>
      </c>
      <c r="C105" s="30" t="s">
        <v>94</v>
      </c>
      <c r="D105" s="30" t="s">
        <v>44</v>
      </c>
      <c r="E105" s="30" t="s">
        <v>57</v>
      </c>
      <c r="F105" s="30" t="n">
        <v>2</v>
      </c>
      <c r="G105" s="30" t="n">
        <v>1</v>
      </c>
      <c r="H105" s="30" t="s">
        <v>70</v>
      </c>
      <c r="I105" s="30" t="n">
        <v>34</v>
      </c>
      <c r="J105" s="30" t="s">
        <v>155</v>
      </c>
      <c r="K105" s="30" t="s">
        <v>156</v>
      </c>
      <c r="L105" s="30" t="n">
        <v>13</v>
      </c>
      <c r="M105" s="30" t="s">
        <v>156</v>
      </c>
      <c r="N105" s="30"/>
      <c r="O105" s="30" t="n">
        <v>2</v>
      </c>
      <c r="P105" s="30" t="s">
        <v>157</v>
      </c>
      <c r="Q105" s="30" t="n">
        <v>9</v>
      </c>
    </row>
    <row r="106" customFormat="false" ht="15" hidden="false" customHeight="false" outlineLevel="0" collapsed="false">
      <c r="A106" s="30" t="s">
        <v>263</v>
      </c>
      <c r="B106" s="31" t="n">
        <v>46258</v>
      </c>
      <c r="C106" s="30" t="s">
        <v>94</v>
      </c>
      <c r="D106" s="30" t="s">
        <v>44</v>
      </c>
      <c r="E106" s="30" t="s">
        <v>59</v>
      </c>
      <c r="F106" s="30" t="n">
        <v>2</v>
      </c>
      <c r="G106" s="30" t="n">
        <v>0</v>
      </c>
      <c r="H106" s="30" t="s">
        <v>70</v>
      </c>
      <c r="I106" s="30" t="n">
        <v>29</v>
      </c>
      <c r="J106" s="30" t="s">
        <v>176</v>
      </c>
      <c r="K106" s="30" t="s">
        <v>156</v>
      </c>
      <c r="L106" s="30" t="n">
        <v>60</v>
      </c>
      <c r="M106" s="30" t="s">
        <v>156</v>
      </c>
      <c r="N106" s="30"/>
      <c r="O106" s="30" t="n">
        <v>4</v>
      </c>
      <c r="P106" s="30" t="s">
        <v>156</v>
      </c>
      <c r="Q106" s="30" t="n">
        <v>11.3</v>
      </c>
    </row>
    <row r="107" customFormat="false" ht="15" hidden="false" customHeight="false" outlineLevel="0" collapsed="false">
      <c r="A107" s="30" t="s">
        <v>264</v>
      </c>
      <c r="B107" s="31" t="n">
        <v>46258</v>
      </c>
      <c r="C107" s="30" t="s">
        <v>94</v>
      </c>
      <c r="D107" s="30" t="s">
        <v>44</v>
      </c>
      <c r="E107" s="30" t="s">
        <v>56</v>
      </c>
      <c r="F107" s="30" t="n">
        <v>6</v>
      </c>
      <c r="G107" s="30" t="n">
        <v>1</v>
      </c>
      <c r="H107" s="30" t="s">
        <v>71</v>
      </c>
      <c r="I107" s="30" t="n">
        <v>38</v>
      </c>
      <c r="J107" s="30" t="s">
        <v>155</v>
      </c>
      <c r="K107" s="30" t="s">
        <v>156</v>
      </c>
      <c r="L107" s="30" t="n">
        <v>37</v>
      </c>
      <c r="M107" s="30" t="s">
        <v>156</v>
      </c>
      <c r="N107" s="30"/>
      <c r="O107" s="30" t="n">
        <v>4</v>
      </c>
      <c r="P107" s="30" t="s">
        <v>156</v>
      </c>
      <c r="Q107" s="30" t="n">
        <v>13.8</v>
      </c>
    </row>
    <row r="108" customFormat="false" ht="15" hidden="false" customHeight="false" outlineLevel="0" collapsed="false">
      <c r="A108" s="30" t="s">
        <v>265</v>
      </c>
      <c r="B108" s="31" t="n">
        <v>46258</v>
      </c>
      <c r="C108" s="30" t="s">
        <v>94</v>
      </c>
      <c r="D108" s="30" t="s">
        <v>44</v>
      </c>
      <c r="E108" s="30" t="s">
        <v>61</v>
      </c>
      <c r="F108" s="30" t="n">
        <v>14</v>
      </c>
      <c r="G108" s="30" t="n">
        <v>1</v>
      </c>
      <c r="H108" s="30" t="s">
        <v>70</v>
      </c>
      <c r="I108" s="30" t="n">
        <v>55</v>
      </c>
      <c r="J108" s="30" t="s">
        <v>176</v>
      </c>
      <c r="K108" s="30" t="s">
        <v>156</v>
      </c>
      <c r="L108" s="30" t="n">
        <v>49</v>
      </c>
      <c r="M108" s="30" t="s">
        <v>156</v>
      </c>
      <c r="N108" s="30"/>
      <c r="O108" s="30" t="n">
        <v>5</v>
      </c>
      <c r="P108" s="30" t="s">
        <v>156</v>
      </c>
      <c r="Q108" s="30" t="n">
        <v>15.5</v>
      </c>
    </row>
    <row r="109" customFormat="false" ht="15" hidden="false" customHeight="false" outlineLevel="0" collapsed="false">
      <c r="A109" s="30" t="s">
        <v>266</v>
      </c>
      <c r="B109" s="31" t="n">
        <v>46258</v>
      </c>
      <c r="C109" s="30" t="s">
        <v>95</v>
      </c>
      <c r="D109" s="30" t="s">
        <v>44</v>
      </c>
      <c r="E109" s="30" t="s">
        <v>60</v>
      </c>
      <c r="F109" s="30" t="n">
        <v>0</v>
      </c>
      <c r="G109" s="30" t="n">
        <v>0</v>
      </c>
      <c r="H109" s="30" t="s">
        <v>71</v>
      </c>
      <c r="I109" s="30" t="n">
        <v>35</v>
      </c>
      <c r="J109" s="30" t="s">
        <v>159</v>
      </c>
      <c r="K109" s="30" t="s">
        <v>156</v>
      </c>
      <c r="L109" s="30" t="n">
        <v>54</v>
      </c>
      <c r="M109" s="30" t="s">
        <v>157</v>
      </c>
      <c r="N109" s="30"/>
      <c r="O109" s="30" t="n">
        <v>5</v>
      </c>
      <c r="P109" s="30" t="s">
        <v>156</v>
      </c>
      <c r="Q109" s="30" t="n">
        <v>10</v>
      </c>
    </row>
    <row r="110" customFormat="false" ht="15" hidden="false" customHeight="false" outlineLevel="0" collapsed="false">
      <c r="A110" s="30" t="s">
        <v>267</v>
      </c>
      <c r="B110" s="31" t="n">
        <v>46258</v>
      </c>
      <c r="C110" s="30" t="s">
        <v>96</v>
      </c>
      <c r="D110" s="30" t="s">
        <v>45</v>
      </c>
      <c r="E110" s="30" t="s">
        <v>59</v>
      </c>
      <c r="F110" s="30" t="n">
        <v>6</v>
      </c>
      <c r="G110" s="30" t="n">
        <v>3</v>
      </c>
      <c r="H110" s="30" t="s">
        <v>70</v>
      </c>
      <c r="I110" s="30" t="n">
        <v>150</v>
      </c>
      <c r="J110" s="30" t="s">
        <v>176</v>
      </c>
      <c r="K110" s="30" t="s">
        <v>156</v>
      </c>
      <c r="L110" s="30" t="n">
        <v>22</v>
      </c>
      <c r="M110" s="30" t="s">
        <v>156</v>
      </c>
      <c r="N110" s="30"/>
      <c r="O110" s="30" t="n">
        <v>4</v>
      </c>
      <c r="P110" s="30" t="s">
        <v>157</v>
      </c>
      <c r="Q110" s="30" t="n">
        <v>10.5</v>
      </c>
    </row>
    <row r="111" customFormat="false" ht="15" hidden="false" customHeight="false" outlineLevel="0" collapsed="false">
      <c r="A111" s="30" t="s">
        <v>268</v>
      </c>
      <c r="B111" s="31" t="n">
        <v>46258</v>
      </c>
      <c r="C111" s="30" t="s">
        <v>96</v>
      </c>
      <c r="D111" s="30" t="s">
        <v>45</v>
      </c>
      <c r="E111" s="30" t="s">
        <v>56</v>
      </c>
      <c r="F111" s="30" t="n">
        <v>5</v>
      </c>
      <c r="G111" s="30" t="n">
        <v>2</v>
      </c>
      <c r="H111" s="30" t="s">
        <v>70</v>
      </c>
      <c r="I111" s="30" t="n">
        <v>42</v>
      </c>
      <c r="J111" s="30" t="s">
        <v>176</v>
      </c>
      <c r="K111" s="30" t="s">
        <v>156</v>
      </c>
      <c r="L111" s="30" t="n">
        <v>75</v>
      </c>
      <c r="M111" s="30" t="s">
        <v>156</v>
      </c>
      <c r="N111" s="30"/>
      <c r="O111" s="30" t="n">
        <v>5</v>
      </c>
      <c r="P111" s="30" t="s">
        <v>157</v>
      </c>
      <c r="Q111" s="30" t="n">
        <v>11.2</v>
      </c>
    </row>
    <row r="112" customFormat="false" ht="15" hidden="false" customHeight="false" outlineLevel="0" collapsed="false">
      <c r="A112" s="30" t="s">
        <v>269</v>
      </c>
      <c r="B112" s="31" t="n">
        <v>46258</v>
      </c>
      <c r="C112" s="30" t="s">
        <v>96</v>
      </c>
      <c r="D112" s="30" t="s">
        <v>45</v>
      </c>
      <c r="E112" s="30" t="s">
        <v>62</v>
      </c>
      <c r="F112" s="30" t="n">
        <v>3</v>
      </c>
      <c r="G112" s="30" t="n">
        <v>1</v>
      </c>
      <c r="H112" s="30" t="s">
        <v>70</v>
      </c>
      <c r="I112" s="30" t="n">
        <v>24</v>
      </c>
      <c r="J112" s="30" t="s">
        <v>155</v>
      </c>
      <c r="K112" s="30" t="s">
        <v>156</v>
      </c>
      <c r="L112" s="30" t="n">
        <v>70</v>
      </c>
      <c r="M112" s="30" t="s">
        <v>157</v>
      </c>
      <c r="N112" s="30"/>
      <c r="O112" s="30" t="n">
        <v>3</v>
      </c>
      <c r="P112" s="30" t="s">
        <v>156</v>
      </c>
      <c r="Q112" s="30" t="n">
        <v>11.9</v>
      </c>
    </row>
    <row r="113" customFormat="false" ht="15" hidden="false" customHeight="false" outlineLevel="0" collapsed="false">
      <c r="A113" s="30" t="s">
        <v>270</v>
      </c>
      <c r="B113" s="31" t="n">
        <v>46258</v>
      </c>
      <c r="C113" s="30" t="s">
        <v>96</v>
      </c>
      <c r="D113" s="30" t="s">
        <v>45</v>
      </c>
      <c r="E113" s="30" t="s">
        <v>59</v>
      </c>
      <c r="F113" s="30" t="n">
        <v>9</v>
      </c>
      <c r="G113" s="30" t="n">
        <v>1</v>
      </c>
      <c r="H113" s="30" t="s">
        <v>71</v>
      </c>
      <c r="I113" s="30" t="n">
        <v>33</v>
      </c>
      <c r="J113" s="30" t="s">
        <v>159</v>
      </c>
      <c r="K113" s="30" t="s">
        <v>157</v>
      </c>
      <c r="L113" s="30"/>
      <c r="M113" s="30" t="s">
        <v>157</v>
      </c>
      <c r="N113" s="30" t="s">
        <v>77</v>
      </c>
      <c r="O113" s="30"/>
      <c r="P113" s="30" t="s">
        <v>157</v>
      </c>
      <c r="Q113" s="30" t="n">
        <v>13.4</v>
      </c>
    </row>
    <row r="114" customFormat="false" ht="15" hidden="false" customHeight="false" outlineLevel="0" collapsed="false">
      <c r="A114" s="30" t="s">
        <v>271</v>
      </c>
      <c r="B114" s="31" t="n">
        <v>46258</v>
      </c>
      <c r="C114" s="30" t="s">
        <v>98</v>
      </c>
      <c r="D114" s="30" t="s">
        <v>46</v>
      </c>
      <c r="E114" s="30" t="s">
        <v>56</v>
      </c>
      <c r="F114" s="30" t="n">
        <v>2</v>
      </c>
      <c r="G114" s="30" t="n">
        <v>4</v>
      </c>
      <c r="H114" s="30" t="s">
        <v>71</v>
      </c>
      <c r="I114" s="30" t="n">
        <v>32</v>
      </c>
      <c r="J114" s="30" t="s">
        <v>159</v>
      </c>
      <c r="K114" s="30" t="s">
        <v>156</v>
      </c>
      <c r="L114" s="30" t="n">
        <v>57</v>
      </c>
      <c r="M114" s="30" t="s">
        <v>157</v>
      </c>
      <c r="N114" s="30"/>
      <c r="O114" s="30" t="n">
        <v>4</v>
      </c>
      <c r="P114" s="30" t="s">
        <v>156</v>
      </c>
      <c r="Q114" s="30" t="n">
        <v>8.6</v>
      </c>
    </row>
    <row r="115" customFormat="false" ht="15" hidden="false" customHeight="false" outlineLevel="0" collapsed="false">
      <c r="A115" s="30" t="s">
        <v>272</v>
      </c>
      <c r="B115" s="31" t="n">
        <v>46258</v>
      </c>
      <c r="C115" s="30" t="s">
        <v>98</v>
      </c>
      <c r="D115" s="30" t="s">
        <v>46</v>
      </c>
      <c r="E115" s="30" t="s">
        <v>59</v>
      </c>
      <c r="F115" s="30" t="n">
        <v>1</v>
      </c>
      <c r="G115" s="30" t="n">
        <v>1</v>
      </c>
      <c r="H115" s="30" t="s">
        <v>70</v>
      </c>
      <c r="I115" s="30" t="n">
        <v>30</v>
      </c>
      <c r="J115" s="30" t="s">
        <v>176</v>
      </c>
      <c r="K115" s="30" t="s">
        <v>156</v>
      </c>
      <c r="L115" s="30" t="n">
        <v>19</v>
      </c>
      <c r="M115" s="30" t="s">
        <v>156</v>
      </c>
      <c r="N115" s="30"/>
      <c r="O115" s="30" t="n">
        <v>4</v>
      </c>
      <c r="P115" s="30" t="s">
        <v>156</v>
      </c>
      <c r="Q115" s="30" t="n">
        <v>8.7</v>
      </c>
    </row>
    <row r="116" customFormat="false" ht="15" hidden="false" customHeight="false" outlineLevel="0" collapsed="false">
      <c r="A116" s="30" t="s">
        <v>273</v>
      </c>
      <c r="B116" s="31" t="n">
        <v>46258</v>
      </c>
      <c r="C116" s="30" t="s">
        <v>98</v>
      </c>
      <c r="D116" s="30" t="s">
        <v>46</v>
      </c>
      <c r="E116" s="30" t="s">
        <v>57</v>
      </c>
      <c r="F116" s="30" t="n">
        <v>9</v>
      </c>
      <c r="G116" s="30" t="n">
        <v>2</v>
      </c>
      <c r="H116" s="30" t="s">
        <v>71</v>
      </c>
      <c r="I116" s="30" t="n">
        <v>28</v>
      </c>
      <c r="J116" s="30" t="s">
        <v>159</v>
      </c>
      <c r="K116" s="30" t="s">
        <v>157</v>
      </c>
      <c r="L116" s="30" t="n">
        <v>30</v>
      </c>
      <c r="M116" s="30" t="s">
        <v>157</v>
      </c>
      <c r="N116" s="30" t="s">
        <v>79</v>
      </c>
      <c r="O116" s="30"/>
      <c r="P116" s="30" t="s">
        <v>157</v>
      </c>
      <c r="Q116" s="30" t="n">
        <v>6.2</v>
      </c>
    </row>
    <row r="117" customFormat="false" ht="15" hidden="false" customHeight="false" outlineLevel="0" collapsed="false">
      <c r="A117" s="30" t="s">
        <v>274</v>
      </c>
      <c r="B117" s="31" t="n">
        <v>46258</v>
      </c>
      <c r="C117" s="30" t="s">
        <v>97</v>
      </c>
      <c r="D117" s="30" t="s">
        <v>46</v>
      </c>
      <c r="E117" s="30" t="s">
        <v>58</v>
      </c>
      <c r="F117" s="30" t="n">
        <v>1</v>
      </c>
      <c r="G117" s="30" t="n">
        <v>1</v>
      </c>
      <c r="H117" s="30" t="s">
        <v>70</v>
      </c>
      <c r="I117" s="30" t="n">
        <v>23</v>
      </c>
      <c r="J117" s="30" t="s">
        <v>159</v>
      </c>
      <c r="K117" s="30" t="s">
        <v>157</v>
      </c>
      <c r="L117" s="30"/>
      <c r="M117" s="30" t="s">
        <v>157</v>
      </c>
      <c r="N117" s="30" t="s">
        <v>79</v>
      </c>
      <c r="O117" s="30"/>
      <c r="P117" s="30" t="s">
        <v>157</v>
      </c>
      <c r="Q117" s="30" t="n">
        <v>17.9</v>
      </c>
    </row>
    <row r="118" customFormat="false" ht="15" hidden="false" customHeight="false" outlineLevel="0" collapsed="false">
      <c r="A118" s="30" t="s">
        <v>275</v>
      </c>
      <c r="B118" s="31" t="n">
        <v>46258</v>
      </c>
      <c r="C118" s="30" t="s">
        <v>97</v>
      </c>
      <c r="D118" s="30" t="s">
        <v>46</v>
      </c>
      <c r="E118" s="30" t="s">
        <v>58</v>
      </c>
      <c r="F118" s="30" t="n">
        <v>7</v>
      </c>
      <c r="G118" s="30" t="n">
        <v>0</v>
      </c>
      <c r="H118" s="30" t="s">
        <v>71</v>
      </c>
      <c r="I118" s="30" t="n">
        <v>40</v>
      </c>
      <c r="J118" s="30" t="s">
        <v>155</v>
      </c>
      <c r="K118" s="30" t="s">
        <v>157</v>
      </c>
      <c r="L118" s="30"/>
      <c r="M118" s="30" t="s">
        <v>157</v>
      </c>
      <c r="N118" s="30" t="s">
        <v>79</v>
      </c>
      <c r="O118" s="30"/>
      <c r="P118" s="30" t="s">
        <v>157</v>
      </c>
      <c r="Q118" s="30" t="n">
        <v>11.6</v>
      </c>
    </row>
    <row r="119" customFormat="false" ht="15" hidden="false" customHeight="false" outlineLevel="0" collapsed="false">
      <c r="A119" s="30" t="s">
        <v>276</v>
      </c>
      <c r="B119" s="31" t="n">
        <v>46258</v>
      </c>
      <c r="C119" s="30" t="s">
        <v>99</v>
      </c>
      <c r="D119" s="30" t="s">
        <v>47</v>
      </c>
      <c r="E119" s="30" t="s">
        <v>57</v>
      </c>
      <c r="F119" s="30" t="n">
        <v>8</v>
      </c>
      <c r="G119" s="30" t="n">
        <v>4</v>
      </c>
      <c r="H119" s="30" t="s">
        <v>71</v>
      </c>
      <c r="I119" s="30" t="n">
        <v>43</v>
      </c>
      <c r="J119" s="30" t="s">
        <v>155</v>
      </c>
      <c r="K119" s="30" t="s">
        <v>156</v>
      </c>
      <c r="L119" s="30" t="n">
        <v>69</v>
      </c>
      <c r="M119" s="30" t="s">
        <v>157</v>
      </c>
      <c r="N119" s="30"/>
      <c r="O119" s="30" t="n">
        <v>1</v>
      </c>
      <c r="P119" s="30" t="s">
        <v>156</v>
      </c>
      <c r="Q119" s="30" t="n">
        <v>12.5</v>
      </c>
    </row>
    <row r="120" customFormat="false" ht="15" hidden="false" customHeight="false" outlineLevel="0" collapsed="false">
      <c r="A120" s="30" t="s">
        <v>277</v>
      </c>
      <c r="B120" s="31" t="n">
        <v>46258</v>
      </c>
      <c r="C120" s="30" t="s">
        <v>100</v>
      </c>
      <c r="D120" s="30" t="s">
        <v>47</v>
      </c>
      <c r="E120" s="30" t="s">
        <v>59</v>
      </c>
      <c r="F120" s="30" t="n">
        <v>5</v>
      </c>
      <c r="G120" s="30" t="n">
        <v>3</v>
      </c>
      <c r="H120" s="30" t="s">
        <v>70</v>
      </c>
      <c r="I120" s="30" t="n">
        <v>30</v>
      </c>
      <c r="J120" s="30" t="s">
        <v>159</v>
      </c>
      <c r="K120" s="30" t="s">
        <v>156</v>
      </c>
      <c r="L120" s="30" t="n">
        <v>5</v>
      </c>
      <c r="M120" s="30" t="s">
        <v>157</v>
      </c>
      <c r="N120" s="30"/>
      <c r="O120" s="30" t="n">
        <v>4</v>
      </c>
      <c r="P120" s="30" t="s">
        <v>156</v>
      </c>
      <c r="Q120" s="30" t="n">
        <v>17.2</v>
      </c>
    </row>
    <row r="121" customFormat="false" ht="15" hidden="false" customHeight="false" outlineLevel="0" collapsed="false">
      <c r="A121" s="30" t="s">
        <v>278</v>
      </c>
      <c r="B121" s="31" t="n">
        <v>46259</v>
      </c>
      <c r="C121" s="30" t="s">
        <v>95</v>
      </c>
      <c r="D121" s="30" t="s">
        <v>44</v>
      </c>
      <c r="E121" s="30" t="s">
        <v>58</v>
      </c>
      <c r="F121" s="30" t="n">
        <v>3</v>
      </c>
      <c r="G121" s="30" t="n">
        <v>2</v>
      </c>
      <c r="H121" s="30" t="s">
        <v>71</v>
      </c>
      <c r="I121" s="30" t="n">
        <v>39</v>
      </c>
      <c r="J121" s="30" t="s">
        <v>159</v>
      </c>
      <c r="K121" s="30" t="s">
        <v>156</v>
      </c>
      <c r="L121" s="30" t="n">
        <v>46</v>
      </c>
      <c r="M121" s="30" t="s">
        <v>156</v>
      </c>
      <c r="N121" s="30"/>
      <c r="O121" s="30" t="n">
        <v>4</v>
      </c>
      <c r="P121" s="30" t="s">
        <v>157</v>
      </c>
      <c r="Q121" s="30" t="n">
        <v>13.1</v>
      </c>
    </row>
    <row r="122" customFormat="false" ht="15" hidden="false" customHeight="false" outlineLevel="0" collapsed="false">
      <c r="A122" s="30" t="s">
        <v>279</v>
      </c>
      <c r="B122" s="31" t="n">
        <v>46259</v>
      </c>
      <c r="C122" s="30" t="s">
        <v>95</v>
      </c>
      <c r="D122" s="30" t="s">
        <v>44</v>
      </c>
      <c r="E122" s="30" t="s">
        <v>56</v>
      </c>
      <c r="F122" s="30" t="n">
        <v>5</v>
      </c>
      <c r="G122" s="30" t="n">
        <v>2</v>
      </c>
      <c r="H122" s="30" t="s">
        <v>71</v>
      </c>
      <c r="I122" s="30" t="n">
        <v>19</v>
      </c>
      <c r="J122" s="30" t="s">
        <v>164</v>
      </c>
      <c r="K122" s="30" t="s">
        <v>156</v>
      </c>
      <c r="L122" s="30" t="n">
        <v>43</v>
      </c>
      <c r="M122" s="30" t="s">
        <v>157</v>
      </c>
      <c r="N122" s="30"/>
      <c r="O122" s="30" t="n">
        <v>5</v>
      </c>
      <c r="P122" s="30" t="s">
        <v>156</v>
      </c>
      <c r="Q122" s="30" t="n">
        <v>13.1</v>
      </c>
    </row>
    <row r="123" customFormat="false" ht="15" hidden="false" customHeight="false" outlineLevel="0" collapsed="false">
      <c r="A123" s="30" t="s">
        <v>280</v>
      </c>
      <c r="B123" s="31" t="n">
        <v>46259</v>
      </c>
      <c r="C123" s="30" t="s">
        <v>94</v>
      </c>
      <c r="D123" s="30" t="s">
        <v>44</v>
      </c>
      <c r="E123" s="30" t="s">
        <v>62</v>
      </c>
      <c r="F123" s="30" t="n">
        <v>1</v>
      </c>
      <c r="G123" s="30" t="n">
        <v>3</v>
      </c>
      <c r="H123" s="30" t="s">
        <v>70</v>
      </c>
      <c r="I123" s="30" t="n">
        <v>45</v>
      </c>
      <c r="J123" s="30" t="s">
        <v>155</v>
      </c>
      <c r="K123" s="30" t="s">
        <v>156</v>
      </c>
      <c r="L123" s="30" t="n">
        <v>44</v>
      </c>
      <c r="M123" s="30" t="s">
        <v>156</v>
      </c>
      <c r="N123" s="30"/>
      <c r="O123" s="30" t="n">
        <v>5</v>
      </c>
      <c r="P123" s="30" t="s">
        <v>156</v>
      </c>
      <c r="Q123" s="30" t="n">
        <v>15.1</v>
      </c>
    </row>
    <row r="124" customFormat="false" ht="15" hidden="false" customHeight="false" outlineLevel="0" collapsed="false">
      <c r="A124" s="30" t="s">
        <v>281</v>
      </c>
      <c r="B124" s="31" t="n">
        <v>46259</v>
      </c>
      <c r="C124" s="30" t="s">
        <v>96</v>
      </c>
      <c r="D124" s="30" t="s">
        <v>45</v>
      </c>
      <c r="E124" s="30" t="s">
        <v>59</v>
      </c>
      <c r="F124" s="30" t="n">
        <v>8</v>
      </c>
      <c r="G124" s="30" t="n">
        <v>0</v>
      </c>
      <c r="H124" s="30" t="s">
        <v>71</v>
      </c>
      <c r="I124" s="30" t="n">
        <v>20</v>
      </c>
      <c r="J124" s="30" t="s">
        <v>176</v>
      </c>
      <c r="K124" s="30" t="s">
        <v>157</v>
      </c>
      <c r="L124" s="30"/>
      <c r="M124" s="30" t="s">
        <v>157</v>
      </c>
      <c r="N124" s="30" t="s">
        <v>77</v>
      </c>
      <c r="O124" s="30"/>
      <c r="P124" s="30" t="s">
        <v>156</v>
      </c>
      <c r="Q124" s="30" t="n">
        <v>18.3</v>
      </c>
    </row>
    <row r="125" customFormat="false" ht="15" hidden="false" customHeight="false" outlineLevel="0" collapsed="false">
      <c r="A125" s="30" t="s">
        <v>282</v>
      </c>
      <c r="B125" s="31" t="n">
        <v>46259</v>
      </c>
      <c r="C125" s="30" t="s">
        <v>96</v>
      </c>
      <c r="D125" s="30" t="s">
        <v>45</v>
      </c>
      <c r="E125" s="30" t="s">
        <v>58</v>
      </c>
      <c r="F125" s="30" t="n">
        <v>4</v>
      </c>
      <c r="G125" s="30" t="n">
        <v>1</v>
      </c>
      <c r="H125" s="30" t="s">
        <v>70</v>
      </c>
      <c r="I125" s="30" t="n">
        <v>49</v>
      </c>
      <c r="J125" s="30" t="s">
        <v>155</v>
      </c>
      <c r="K125" s="30" t="s">
        <v>156</v>
      </c>
      <c r="L125" s="30" t="n">
        <v>41</v>
      </c>
      <c r="M125" s="30" t="s">
        <v>157</v>
      </c>
      <c r="N125" s="30"/>
      <c r="O125" s="30" t="n">
        <v>4</v>
      </c>
      <c r="P125" s="30" t="s">
        <v>156</v>
      </c>
      <c r="Q125" s="30" t="n">
        <v>15.9</v>
      </c>
    </row>
    <row r="126" customFormat="false" ht="15" hidden="false" customHeight="false" outlineLevel="0" collapsed="false">
      <c r="A126" s="30" t="s">
        <v>283</v>
      </c>
      <c r="B126" s="31" t="n">
        <v>46259</v>
      </c>
      <c r="C126" s="30" t="s">
        <v>96</v>
      </c>
      <c r="D126" s="30" t="s">
        <v>45</v>
      </c>
      <c r="E126" s="30" t="s">
        <v>57</v>
      </c>
      <c r="F126" s="30" t="n">
        <v>3</v>
      </c>
      <c r="G126" s="30" t="n">
        <v>2</v>
      </c>
      <c r="H126" s="30" t="s">
        <v>70</v>
      </c>
      <c r="I126" s="30" t="n">
        <v>40</v>
      </c>
      <c r="J126" s="30" t="s">
        <v>164</v>
      </c>
      <c r="K126" s="30" t="s">
        <v>156</v>
      </c>
      <c r="L126" s="30" t="n">
        <v>49</v>
      </c>
      <c r="M126" s="30" t="s">
        <v>156</v>
      </c>
      <c r="N126" s="30"/>
      <c r="O126" s="30" t="n">
        <v>4</v>
      </c>
      <c r="P126" s="30" t="s">
        <v>157</v>
      </c>
      <c r="Q126" s="30" t="n">
        <v>13.8</v>
      </c>
    </row>
    <row r="127" customFormat="false" ht="15" hidden="false" customHeight="false" outlineLevel="0" collapsed="false">
      <c r="A127" s="30" t="s">
        <v>284</v>
      </c>
      <c r="B127" s="31" t="n">
        <v>46259</v>
      </c>
      <c r="C127" s="30" t="s">
        <v>97</v>
      </c>
      <c r="D127" s="30" t="s">
        <v>46</v>
      </c>
      <c r="E127" s="30" t="s">
        <v>56</v>
      </c>
      <c r="F127" s="30" t="n">
        <v>4</v>
      </c>
      <c r="G127" s="30" t="n">
        <v>2</v>
      </c>
      <c r="H127" s="30" t="s">
        <v>71</v>
      </c>
      <c r="I127" s="30" t="n">
        <v>38</v>
      </c>
      <c r="J127" s="30" t="s">
        <v>155</v>
      </c>
      <c r="K127" s="30" t="s">
        <v>156</v>
      </c>
      <c r="L127" s="30" t="n">
        <v>64</v>
      </c>
      <c r="M127" s="30" t="s">
        <v>156</v>
      </c>
      <c r="N127" s="30"/>
      <c r="O127" s="30" t="n">
        <v>5</v>
      </c>
      <c r="P127" s="30" t="s">
        <v>156</v>
      </c>
      <c r="Q127" s="30" t="n">
        <v>9.7</v>
      </c>
    </row>
    <row r="128" customFormat="false" ht="15" hidden="false" customHeight="false" outlineLevel="0" collapsed="false">
      <c r="A128" s="30" t="s">
        <v>285</v>
      </c>
      <c r="B128" s="31" t="n">
        <v>46259</v>
      </c>
      <c r="C128" s="30" t="s">
        <v>97</v>
      </c>
      <c r="D128" s="30" t="s">
        <v>46</v>
      </c>
      <c r="E128" s="30" t="s">
        <v>56</v>
      </c>
      <c r="F128" s="30" t="n">
        <v>5</v>
      </c>
      <c r="G128" s="30" t="n">
        <v>0</v>
      </c>
      <c r="H128" s="30" t="s">
        <v>71</v>
      </c>
      <c r="I128" s="30" t="n">
        <v>50</v>
      </c>
      <c r="J128" s="30" t="s">
        <v>164</v>
      </c>
      <c r="K128" s="30" t="s">
        <v>156</v>
      </c>
      <c r="L128" s="30" t="n">
        <v>50</v>
      </c>
      <c r="M128" s="30" t="s">
        <v>156</v>
      </c>
      <c r="N128" s="30"/>
      <c r="O128" s="30" t="n">
        <v>3</v>
      </c>
      <c r="P128" s="30" t="s">
        <v>157</v>
      </c>
      <c r="Q128" s="30" t="n">
        <v>17.1</v>
      </c>
    </row>
    <row r="129" customFormat="false" ht="15" hidden="false" customHeight="false" outlineLevel="0" collapsed="false">
      <c r="A129" s="30" t="s">
        <v>286</v>
      </c>
      <c r="B129" s="31" t="n">
        <v>46259</v>
      </c>
      <c r="C129" s="30" t="s">
        <v>97</v>
      </c>
      <c r="D129" s="30" t="s">
        <v>46</v>
      </c>
      <c r="E129" s="30" t="s">
        <v>57</v>
      </c>
      <c r="F129" s="30" t="n">
        <v>11</v>
      </c>
      <c r="G129" s="30" t="n">
        <v>0</v>
      </c>
      <c r="H129" s="30" t="s">
        <v>70</v>
      </c>
      <c r="I129" s="30" t="n">
        <v>31</v>
      </c>
      <c r="J129" s="30" t="s">
        <v>155</v>
      </c>
      <c r="K129" s="30" t="s">
        <v>156</v>
      </c>
      <c r="L129" s="30" t="n">
        <v>32</v>
      </c>
      <c r="M129" s="30" t="s">
        <v>157</v>
      </c>
      <c r="N129" s="30"/>
      <c r="O129" s="30" t="n">
        <v>4</v>
      </c>
      <c r="P129" s="30" t="s">
        <v>157</v>
      </c>
      <c r="Q129" s="30" t="n">
        <v>22</v>
      </c>
    </row>
    <row r="130" customFormat="false" ht="15" hidden="false" customHeight="false" outlineLevel="0" collapsed="false">
      <c r="A130" s="30" t="s">
        <v>287</v>
      </c>
      <c r="B130" s="31" t="n">
        <v>46259</v>
      </c>
      <c r="C130" s="30" t="s">
        <v>98</v>
      </c>
      <c r="D130" s="30" t="s">
        <v>46</v>
      </c>
      <c r="E130" s="30" t="s">
        <v>56</v>
      </c>
      <c r="F130" s="30" t="n">
        <v>5</v>
      </c>
      <c r="G130" s="30" t="n">
        <v>1</v>
      </c>
      <c r="H130" s="30" t="s">
        <v>71</v>
      </c>
      <c r="I130" s="30" t="n">
        <v>39</v>
      </c>
      <c r="J130" s="30" t="s">
        <v>155</v>
      </c>
      <c r="K130" s="30" t="s">
        <v>157</v>
      </c>
      <c r="L130" s="30"/>
      <c r="M130" s="30" t="s">
        <v>157</v>
      </c>
      <c r="N130" s="30" t="s">
        <v>77</v>
      </c>
      <c r="O130" s="30"/>
      <c r="P130" s="30" t="s">
        <v>157</v>
      </c>
      <c r="Q130" s="30" t="n">
        <v>5.2</v>
      </c>
    </row>
    <row r="131" customFormat="false" ht="15" hidden="false" customHeight="false" outlineLevel="0" collapsed="false">
      <c r="A131" s="30" t="s">
        <v>288</v>
      </c>
      <c r="B131" s="31" t="n">
        <v>46259</v>
      </c>
      <c r="C131" s="30" t="s">
        <v>98</v>
      </c>
      <c r="D131" s="30" t="s">
        <v>46</v>
      </c>
      <c r="E131" s="30" t="s">
        <v>57</v>
      </c>
      <c r="F131" s="30" t="n">
        <v>6</v>
      </c>
      <c r="G131" s="30" t="n">
        <v>1</v>
      </c>
      <c r="H131" s="30" t="s">
        <v>71</v>
      </c>
      <c r="I131" s="30" t="n">
        <v>52</v>
      </c>
      <c r="J131" s="30" t="s">
        <v>159</v>
      </c>
      <c r="K131" s="30" t="s">
        <v>156</v>
      </c>
      <c r="L131" s="30" t="n">
        <v>58</v>
      </c>
      <c r="M131" s="30" t="s">
        <v>156</v>
      </c>
      <c r="N131" s="30"/>
      <c r="O131" s="30" t="n">
        <v>5</v>
      </c>
      <c r="P131" s="30" t="s">
        <v>157</v>
      </c>
      <c r="Q131" s="30" t="n">
        <v>6.2</v>
      </c>
    </row>
    <row r="132" customFormat="false" ht="15" hidden="false" customHeight="false" outlineLevel="0" collapsed="false">
      <c r="A132" s="30" t="s">
        <v>289</v>
      </c>
      <c r="B132" s="31" t="n">
        <v>46259</v>
      </c>
      <c r="C132" s="30" t="s">
        <v>99</v>
      </c>
      <c r="D132" s="30" t="s">
        <v>47</v>
      </c>
      <c r="E132" s="30" t="s">
        <v>62</v>
      </c>
      <c r="F132" s="30" t="n">
        <v>14</v>
      </c>
      <c r="G132" s="30" t="n">
        <v>2</v>
      </c>
      <c r="H132" s="30" t="s">
        <v>71</v>
      </c>
      <c r="I132" s="30" t="n">
        <v>41</v>
      </c>
      <c r="J132" s="30" t="s">
        <v>155</v>
      </c>
      <c r="K132" s="30" t="s">
        <v>157</v>
      </c>
      <c r="L132" s="30"/>
      <c r="M132" s="30" t="s">
        <v>157</v>
      </c>
      <c r="N132" s="30" t="s">
        <v>79</v>
      </c>
      <c r="O132" s="30"/>
      <c r="P132" s="30" t="s">
        <v>157</v>
      </c>
      <c r="Q132" s="30" t="n">
        <v>12.9</v>
      </c>
    </row>
    <row r="133" customFormat="false" ht="15" hidden="false" customHeight="false" outlineLevel="0" collapsed="false">
      <c r="A133" s="30" t="s">
        <v>290</v>
      </c>
      <c r="B133" s="31" t="n">
        <v>46259</v>
      </c>
      <c r="C133" s="30" t="s">
        <v>100</v>
      </c>
      <c r="D133" s="30" t="s">
        <v>47</v>
      </c>
      <c r="E133" s="30" t="s">
        <v>57</v>
      </c>
      <c r="F133" s="30" t="n">
        <v>11</v>
      </c>
      <c r="G133" s="30" t="n">
        <v>3</v>
      </c>
      <c r="H133" s="30" t="s">
        <v>71</v>
      </c>
      <c r="I133" s="30" t="n">
        <v>34</v>
      </c>
      <c r="J133" s="30" t="s">
        <v>164</v>
      </c>
      <c r="K133" s="30" t="s">
        <v>156</v>
      </c>
      <c r="L133" s="30" t="n">
        <v>41</v>
      </c>
      <c r="M133" s="30" t="s">
        <v>156</v>
      </c>
      <c r="N133" s="30"/>
      <c r="O133" s="30" t="n">
        <v>4</v>
      </c>
      <c r="P133" s="30" t="s">
        <v>156</v>
      </c>
      <c r="Q133" s="30" t="n">
        <v>11.1</v>
      </c>
    </row>
    <row r="134" customFormat="false" ht="15" hidden="false" customHeight="false" outlineLevel="0" collapsed="false">
      <c r="A134" s="30" t="s">
        <v>291</v>
      </c>
      <c r="B134" s="31" t="n">
        <v>46259</v>
      </c>
      <c r="C134" s="30" t="s">
        <v>99</v>
      </c>
      <c r="D134" s="30" t="s">
        <v>47</v>
      </c>
      <c r="E134" s="30" t="s">
        <v>56</v>
      </c>
      <c r="F134" s="30" t="n">
        <v>1</v>
      </c>
      <c r="G134" s="30" t="n">
        <v>2</v>
      </c>
      <c r="H134" s="30" t="s">
        <v>70</v>
      </c>
      <c r="I134" s="30" t="n">
        <v>30</v>
      </c>
      <c r="J134" s="30" t="s">
        <v>155</v>
      </c>
      <c r="K134" s="30" t="s">
        <v>157</v>
      </c>
      <c r="L134" s="30"/>
      <c r="M134" s="30" t="s">
        <v>157</v>
      </c>
      <c r="N134" s="30" t="s">
        <v>81</v>
      </c>
      <c r="O134" s="30"/>
      <c r="P134" s="30" t="s">
        <v>157</v>
      </c>
      <c r="Q134" s="30" t="n">
        <v>14.8</v>
      </c>
    </row>
    <row r="135" customFormat="false" ht="15" hidden="false" customHeight="false" outlineLevel="0" collapsed="false">
      <c r="A135" s="30" t="s">
        <v>292</v>
      </c>
      <c r="B135" s="31" t="n">
        <v>46259</v>
      </c>
      <c r="C135" s="30" t="s">
        <v>99</v>
      </c>
      <c r="D135" s="30" t="s">
        <v>47</v>
      </c>
      <c r="E135" s="30" t="s">
        <v>57</v>
      </c>
      <c r="F135" s="30" t="n">
        <v>6</v>
      </c>
      <c r="G135" s="30" t="n">
        <v>2</v>
      </c>
      <c r="H135" s="30" t="s">
        <v>70</v>
      </c>
      <c r="I135" s="30" t="n">
        <v>43</v>
      </c>
      <c r="J135" s="30" t="s">
        <v>176</v>
      </c>
      <c r="K135" s="30" t="s">
        <v>156</v>
      </c>
      <c r="L135" s="30" t="n">
        <v>71</v>
      </c>
      <c r="M135" s="30" t="s">
        <v>156</v>
      </c>
      <c r="N135" s="30"/>
      <c r="O135" s="30" t="n">
        <v>3</v>
      </c>
      <c r="P135" s="30" t="s">
        <v>157</v>
      </c>
      <c r="Q135" s="30" t="n">
        <v>17.7</v>
      </c>
    </row>
    <row r="136" customFormat="false" ht="15" hidden="false" customHeight="false" outlineLevel="0" collapsed="false">
      <c r="A136" s="30" t="s">
        <v>293</v>
      </c>
      <c r="B136" s="31" t="n">
        <v>46259</v>
      </c>
      <c r="C136" s="30" t="s">
        <v>99</v>
      </c>
      <c r="D136" s="30" t="s">
        <v>47</v>
      </c>
      <c r="E136" s="30" t="s">
        <v>59</v>
      </c>
      <c r="F136" s="30" t="n">
        <v>3</v>
      </c>
      <c r="G136" s="30" t="n">
        <v>1</v>
      </c>
      <c r="H136" s="30" t="s">
        <v>70</v>
      </c>
      <c r="I136" s="30" t="n">
        <v>31</v>
      </c>
      <c r="J136" s="30" t="s">
        <v>159</v>
      </c>
      <c r="K136" s="30" t="s">
        <v>157</v>
      </c>
      <c r="L136" s="30"/>
      <c r="M136" s="30" t="s">
        <v>157</v>
      </c>
      <c r="N136" s="30" t="s">
        <v>81</v>
      </c>
      <c r="O136" s="30"/>
      <c r="P136" s="30" t="s">
        <v>157</v>
      </c>
      <c r="Q136" s="30" t="n">
        <v>17.6</v>
      </c>
    </row>
    <row r="137" customFormat="false" ht="15" hidden="false" customHeight="false" outlineLevel="0" collapsed="false">
      <c r="A137" s="30" t="s">
        <v>294</v>
      </c>
      <c r="B137" s="31" t="n">
        <v>46259</v>
      </c>
      <c r="C137" s="30" t="s">
        <v>99</v>
      </c>
      <c r="D137" s="30" t="s">
        <v>47</v>
      </c>
      <c r="E137" s="30" t="s">
        <v>56</v>
      </c>
      <c r="F137" s="30" t="n">
        <v>20</v>
      </c>
      <c r="G137" s="30" t="n">
        <v>2</v>
      </c>
      <c r="H137" s="30" t="s">
        <v>70</v>
      </c>
      <c r="I137" s="30" t="n">
        <v>28</v>
      </c>
      <c r="J137" s="30" t="s">
        <v>176</v>
      </c>
      <c r="K137" s="30" t="s">
        <v>156</v>
      </c>
      <c r="L137" s="30" t="n">
        <v>23</v>
      </c>
      <c r="M137" s="30" t="s">
        <v>156</v>
      </c>
      <c r="N137" s="30"/>
      <c r="O137" s="30" t="n">
        <v>4</v>
      </c>
      <c r="P137" s="30" t="s">
        <v>157</v>
      </c>
      <c r="Q137" s="30" t="n">
        <v>11.8</v>
      </c>
    </row>
    <row r="138" customFormat="false" ht="15" hidden="false" customHeight="false" outlineLevel="0" collapsed="false">
      <c r="A138" s="30" t="s">
        <v>295</v>
      </c>
      <c r="B138" s="31" t="n">
        <v>46259</v>
      </c>
      <c r="C138" s="30" t="s">
        <v>99</v>
      </c>
      <c r="D138" s="30" t="s">
        <v>47</v>
      </c>
      <c r="E138" s="30" t="s">
        <v>58</v>
      </c>
      <c r="F138" s="30" t="n">
        <v>2</v>
      </c>
      <c r="G138" s="30" t="n">
        <v>2</v>
      </c>
      <c r="H138" s="30" t="s">
        <v>71</v>
      </c>
      <c r="I138" s="30" t="n">
        <v>37</v>
      </c>
      <c r="J138" s="30" t="s">
        <v>176</v>
      </c>
      <c r="K138" s="30" t="s">
        <v>156</v>
      </c>
      <c r="L138" s="30" t="n">
        <v>61</v>
      </c>
      <c r="M138" s="30" t="s">
        <v>156</v>
      </c>
      <c r="N138" s="30"/>
      <c r="O138" s="30" t="n">
        <v>5</v>
      </c>
      <c r="P138" s="30" t="s">
        <v>157</v>
      </c>
      <c r="Q138" s="30" t="n">
        <v>18.8</v>
      </c>
    </row>
    <row r="139" customFormat="false" ht="15" hidden="false" customHeight="false" outlineLevel="0" collapsed="false">
      <c r="A139" s="30" t="s">
        <v>296</v>
      </c>
      <c r="B139" s="31" t="n">
        <v>46260</v>
      </c>
      <c r="C139" s="30" t="s">
        <v>95</v>
      </c>
      <c r="D139" s="30" t="s">
        <v>44</v>
      </c>
      <c r="E139" s="30" t="s">
        <v>59</v>
      </c>
      <c r="F139" s="30" t="n">
        <v>4</v>
      </c>
      <c r="G139" s="30" t="n">
        <v>1</v>
      </c>
      <c r="H139" s="30" t="s">
        <v>71</v>
      </c>
      <c r="I139" s="30" t="n">
        <v>40</v>
      </c>
      <c r="J139" s="30"/>
      <c r="K139" s="30" t="s">
        <v>156</v>
      </c>
      <c r="L139" s="30" t="n">
        <v>45</v>
      </c>
      <c r="M139" s="30" t="s">
        <v>156</v>
      </c>
      <c r="N139" s="30"/>
      <c r="O139" s="30" t="n">
        <v>5</v>
      </c>
      <c r="P139" s="30" t="s">
        <v>156</v>
      </c>
      <c r="Q139" s="30" t="n">
        <v>14.9</v>
      </c>
    </row>
    <row r="140" customFormat="false" ht="15" hidden="false" customHeight="false" outlineLevel="0" collapsed="false">
      <c r="A140" s="30" t="s">
        <v>297</v>
      </c>
      <c r="B140" s="31" t="n">
        <v>46260</v>
      </c>
      <c r="C140" s="30" t="s">
        <v>95</v>
      </c>
      <c r="D140" s="30" t="s">
        <v>44</v>
      </c>
      <c r="E140" s="30" t="s">
        <v>56</v>
      </c>
      <c r="F140" s="30" t="n">
        <v>6</v>
      </c>
      <c r="G140" s="30" t="n">
        <v>3</v>
      </c>
      <c r="H140" s="30" t="s">
        <v>71</v>
      </c>
      <c r="I140" s="30" t="n">
        <v>30</v>
      </c>
      <c r="J140" s="30" t="s">
        <v>159</v>
      </c>
      <c r="K140" s="30" t="s">
        <v>156</v>
      </c>
      <c r="L140" s="30" t="n">
        <v>45</v>
      </c>
      <c r="M140" s="30" t="s">
        <v>157</v>
      </c>
      <c r="N140" s="30"/>
      <c r="O140" s="30" t="n">
        <v>4</v>
      </c>
      <c r="P140" s="30" t="s">
        <v>157</v>
      </c>
      <c r="Q140" s="30" t="n">
        <v>12.7</v>
      </c>
    </row>
    <row r="141" customFormat="false" ht="15" hidden="false" customHeight="false" outlineLevel="0" collapsed="false">
      <c r="A141" s="30" t="s">
        <v>298</v>
      </c>
      <c r="B141" s="31" t="n">
        <v>46260</v>
      </c>
      <c r="C141" s="30" t="s">
        <v>95</v>
      </c>
      <c r="D141" s="30" t="s">
        <v>44</v>
      </c>
      <c r="E141" s="30" t="s">
        <v>56</v>
      </c>
      <c r="F141" s="30" t="n">
        <v>3</v>
      </c>
      <c r="G141" s="30" t="n">
        <v>2</v>
      </c>
      <c r="H141" s="30" t="s">
        <v>71</v>
      </c>
      <c r="I141" s="30" t="n">
        <v>38</v>
      </c>
      <c r="J141" s="30" t="s">
        <v>155</v>
      </c>
      <c r="K141" s="30" t="s">
        <v>156</v>
      </c>
      <c r="L141" s="30" t="n">
        <v>49</v>
      </c>
      <c r="M141" s="30" t="s">
        <v>156</v>
      </c>
      <c r="N141" s="30"/>
      <c r="O141" s="30" t="n">
        <v>1</v>
      </c>
      <c r="P141" s="30" t="s">
        <v>157</v>
      </c>
      <c r="Q141" s="30" t="n">
        <v>15.9</v>
      </c>
    </row>
    <row r="142" customFormat="false" ht="15" hidden="false" customHeight="false" outlineLevel="0" collapsed="false">
      <c r="A142" s="30" t="s">
        <v>299</v>
      </c>
      <c r="B142" s="31" t="n">
        <v>46260</v>
      </c>
      <c r="C142" s="30" t="s">
        <v>94</v>
      </c>
      <c r="D142" s="30" t="s">
        <v>44</v>
      </c>
      <c r="E142" s="30" t="s">
        <v>58</v>
      </c>
      <c r="F142" s="30" t="n">
        <v>5</v>
      </c>
      <c r="G142" s="30" t="n">
        <v>1</v>
      </c>
      <c r="H142" s="30" t="s">
        <v>70</v>
      </c>
      <c r="I142" s="30" t="n">
        <v>38</v>
      </c>
      <c r="J142" s="30" t="s">
        <v>155</v>
      </c>
      <c r="K142" s="30" t="s">
        <v>156</v>
      </c>
      <c r="L142" s="30" t="n">
        <v>51</v>
      </c>
      <c r="M142" s="30" t="s">
        <v>156</v>
      </c>
      <c r="N142" s="30"/>
      <c r="O142" s="30" t="n">
        <v>4</v>
      </c>
      <c r="P142" s="30" t="s">
        <v>157</v>
      </c>
      <c r="Q142" s="30" t="n">
        <v>14.7</v>
      </c>
    </row>
    <row r="143" customFormat="false" ht="15" hidden="false" customHeight="false" outlineLevel="0" collapsed="false">
      <c r="A143" s="30" t="s">
        <v>300</v>
      </c>
      <c r="B143" s="31" t="n">
        <v>46260</v>
      </c>
      <c r="C143" s="30" t="s">
        <v>96</v>
      </c>
      <c r="D143" s="30" t="s">
        <v>45</v>
      </c>
      <c r="E143" s="30" t="s">
        <v>58</v>
      </c>
      <c r="F143" s="30" t="n">
        <v>6</v>
      </c>
      <c r="G143" s="30" t="n">
        <v>1</v>
      </c>
      <c r="H143" s="30" t="s">
        <v>70</v>
      </c>
      <c r="I143" s="30" t="n">
        <v>24</v>
      </c>
      <c r="J143" s="30" t="s">
        <v>159</v>
      </c>
      <c r="K143" s="30" t="s">
        <v>157</v>
      </c>
      <c r="L143" s="30"/>
      <c r="M143" s="30" t="s">
        <v>157</v>
      </c>
      <c r="N143" s="30" t="s">
        <v>79</v>
      </c>
      <c r="O143" s="30"/>
      <c r="P143" s="30" t="s">
        <v>156</v>
      </c>
      <c r="Q143" s="30" t="n">
        <v>12.1</v>
      </c>
    </row>
    <row r="144" customFormat="false" ht="15" hidden="false" customHeight="false" outlineLevel="0" collapsed="false">
      <c r="A144" s="30" t="s">
        <v>301</v>
      </c>
      <c r="B144" s="31" t="n">
        <v>46260</v>
      </c>
      <c r="C144" s="30" t="s">
        <v>96</v>
      </c>
      <c r="D144" s="30" t="s">
        <v>45</v>
      </c>
      <c r="E144" s="30" t="s">
        <v>61</v>
      </c>
      <c r="F144" s="30" t="n">
        <v>8</v>
      </c>
      <c r="G144" s="30" t="n">
        <v>3</v>
      </c>
      <c r="H144" s="30" t="s">
        <v>71</v>
      </c>
      <c r="I144" s="30" t="n">
        <v>43</v>
      </c>
      <c r="J144" s="30" t="s">
        <v>159</v>
      </c>
      <c r="K144" s="30" t="s">
        <v>157</v>
      </c>
      <c r="L144" s="30"/>
      <c r="M144" s="30" t="s">
        <v>157</v>
      </c>
      <c r="N144" s="30" t="s">
        <v>83</v>
      </c>
      <c r="O144" s="30"/>
      <c r="P144" s="30" t="s">
        <v>156</v>
      </c>
      <c r="Q144" s="30" t="n">
        <v>12.3</v>
      </c>
    </row>
    <row r="145" customFormat="false" ht="15" hidden="false" customHeight="false" outlineLevel="0" collapsed="false">
      <c r="A145" s="30" t="s">
        <v>302</v>
      </c>
      <c r="B145" s="31" t="n">
        <v>46260</v>
      </c>
      <c r="C145" s="30" t="s">
        <v>98</v>
      </c>
      <c r="D145" s="30" t="s">
        <v>46</v>
      </c>
      <c r="E145" s="30" t="s">
        <v>62</v>
      </c>
      <c r="F145" s="30" t="n">
        <v>6</v>
      </c>
      <c r="G145" s="30" t="n">
        <v>2</v>
      </c>
      <c r="H145" s="30" t="s">
        <v>71</v>
      </c>
      <c r="I145" s="30" t="n">
        <v>38</v>
      </c>
      <c r="J145" s="30" t="s">
        <v>159</v>
      </c>
      <c r="K145" s="30" t="s">
        <v>156</v>
      </c>
      <c r="L145" s="30" t="n">
        <v>25</v>
      </c>
      <c r="M145" s="30" t="s">
        <v>157</v>
      </c>
      <c r="N145" s="30"/>
      <c r="O145" s="30" t="n">
        <v>4</v>
      </c>
      <c r="P145" s="30" t="s">
        <v>156</v>
      </c>
      <c r="Q145" s="30" t="n">
        <v>13.9</v>
      </c>
    </row>
    <row r="146" customFormat="false" ht="15" hidden="false" customHeight="false" outlineLevel="0" collapsed="false">
      <c r="A146" s="30" t="s">
        <v>303</v>
      </c>
      <c r="B146" s="31" t="n">
        <v>46260</v>
      </c>
      <c r="C146" s="30" t="s">
        <v>98</v>
      </c>
      <c r="D146" s="30" t="s">
        <v>46</v>
      </c>
      <c r="E146" s="30" t="s">
        <v>58</v>
      </c>
      <c r="F146" s="30" t="n">
        <v>2</v>
      </c>
      <c r="G146" s="30" t="n">
        <v>2</v>
      </c>
      <c r="H146" s="30" t="s">
        <v>70</v>
      </c>
      <c r="I146" s="30" t="n">
        <v>54</v>
      </c>
      <c r="J146" s="30" t="s">
        <v>155</v>
      </c>
      <c r="K146" s="30" t="s">
        <v>156</v>
      </c>
      <c r="L146" s="30" t="n">
        <v>30</v>
      </c>
      <c r="M146" s="30" t="s">
        <v>157</v>
      </c>
      <c r="N146" s="30"/>
      <c r="O146" s="30" t="n">
        <v>3</v>
      </c>
      <c r="P146" s="30" t="s">
        <v>156</v>
      </c>
      <c r="Q146" s="30" t="n">
        <v>7.8</v>
      </c>
    </row>
    <row r="147" customFormat="false" ht="15" hidden="false" customHeight="false" outlineLevel="0" collapsed="false">
      <c r="A147" s="30" t="s">
        <v>304</v>
      </c>
      <c r="B147" s="31" t="n">
        <v>46260</v>
      </c>
      <c r="C147" s="30" t="s">
        <v>97</v>
      </c>
      <c r="D147" s="30" t="s">
        <v>46</v>
      </c>
      <c r="E147" s="30" t="s">
        <v>61</v>
      </c>
      <c r="F147" s="30" t="n">
        <v>13</v>
      </c>
      <c r="G147" s="30" t="n">
        <v>0</v>
      </c>
      <c r="H147" s="30" t="s">
        <v>71</v>
      </c>
      <c r="I147" s="30" t="n">
        <v>43</v>
      </c>
      <c r="J147" s="30" t="s">
        <v>176</v>
      </c>
      <c r="K147" s="30" t="s">
        <v>157</v>
      </c>
      <c r="L147" s="30"/>
      <c r="M147" s="30" t="s">
        <v>157</v>
      </c>
      <c r="N147" s="30" t="s">
        <v>77</v>
      </c>
      <c r="O147" s="30"/>
      <c r="P147" s="30" t="s">
        <v>157</v>
      </c>
      <c r="Q147" s="30" t="n">
        <v>12.7</v>
      </c>
    </row>
    <row r="148" customFormat="false" ht="15" hidden="false" customHeight="false" outlineLevel="0" collapsed="false">
      <c r="A148" s="30" t="s">
        <v>305</v>
      </c>
      <c r="B148" s="31" t="n">
        <v>46260</v>
      </c>
      <c r="C148" s="30" t="s">
        <v>97</v>
      </c>
      <c r="D148" s="30" t="s">
        <v>46</v>
      </c>
      <c r="E148" s="30" t="s">
        <v>61</v>
      </c>
      <c r="F148" s="30" t="n">
        <v>0</v>
      </c>
      <c r="G148" s="30" t="n">
        <v>1</v>
      </c>
      <c r="H148" s="30" t="s">
        <v>71</v>
      </c>
      <c r="I148" s="30" t="n">
        <v>43</v>
      </c>
      <c r="J148" s="30" t="s">
        <v>164</v>
      </c>
      <c r="K148" s="30" t="s">
        <v>157</v>
      </c>
      <c r="L148" s="30"/>
      <c r="M148" s="30" t="s">
        <v>157</v>
      </c>
      <c r="N148" s="30" t="s">
        <v>77</v>
      </c>
      <c r="O148" s="30"/>
      <c r="P148" s="30" t="s">
        <v>156</v>
      </c>
      <c r="Q148" s="30" t="n">
        <v>5.5</v>
      </c>
    </row>
    <row r="149" customFormat="false" ht="15" hidden="false" customHeight="false" outlineLevel="0" collapsed="false">
      <c r="A149" s="30" t="s">
        <v>306</v>
      </c>
      <c r="B149" s="31" t="n">
        <v>46260</v>
      </c>
      <c r="C149" s="30" t="s">
        <v>98</v>
      </c>
      <c r="D149" s="30" t="s">
        <v>46</v>
      </c>
      <c r="E149" s="30" t="s">
        <v>56</v>
      </c>
      <c r="F149" s="30" t="n">
        <v>8</v>
      </c>
      <c r="G149" s="30" t="n">
        <v>3</v>
      </c>
      <c r="H149" s="30" t="s">
        <v>71</v>
      </c>
      <c r="I149" s="30" t="n">
        <v>27</v>
      </c>
      <c r="J149" s="30" t="s">
        <v>155</v>
      </c>
      <c r="K149" s="30" t="s">
        <v>156</v>
      </c>
      <c r="L149" s="30" t="n">
        <v>58</v>
      </c>
      <c r="M149" s="30" t="s">
        <v>157</v>
      </c>
      <c r="N149" s="30"/>
      <c r="O149" s="30" t="n">
        <v>4</v>
      </c>
      <c r="P149" s="30" t="s">
        <v>156</v>
      </c>
      <c r="Q149" s="30" t="n">
        <v>3</v>
      </c>
    </row>
    <row r="150" customFormat="false" ht="15" hidden="false" customHeight="false" outlineLevel="0" collapsed="false">
      <c r="A150" s="30" t="s">
        <v>307</v>
      </c>
      <c r="B150" s="31" t="n">
        <v>46260</v>
      </c>
      <c r="C150" s="30" t="s">
        <v>98</v>
      </c>
      <c r="D150" s="30" t="s">
        <v>46</v>
      </c>
      <c r="E150" s="30" t="s">
        <v>57</v>
      </c>
      <c r="F150" s="30" t="n">
        <v>1</v>
      </c>
      <c r="G150" s="30" t="n">
        <v>1</v>
      </c>
      <c r="H150" s="30" t="s">
        <v>71</v>
      </c>
      <c r="I150" s="30" t="n">
        <v>35</v>
      </c>
      <c r="J150" s="30" t="s">
        <v>176</v>
      </c>
      <c r="K150" s="30" t="s">
        <v>156</v>
      </c>
      <c r="L150" s="30" t="n">
        <v>15</v>
      </c>
      <c r="M150" s="30" t="s">
        <v>157</v>
      </c>
      <c r="N150" s="30"/>
      <c r="O150" s="30" t="n">
        <v>3</v>
      </c>
      <c r="P150" s="30" t="s">
        <v>157</v>
      </c>
      <c r="Q150" s="30" t="n">
        <v>10.5</v>
      </c>
    </row>
    <row r="151" customFormat="false" ht="15" hidden="false" customHeight="false" outlineLevel="0" collapsed="false">
      <c r="A151" s="30" t="s">
        <v>308</v>
      </c>
      <c r="B151" s="31" t="n">
        <v>46260</v>
      </c>
      <c r="C151" s="30" t="s">
        <v>98</v>
      </c>
      <c r="D151" s="30" t="s">
        <v>46</v>
      </c>
      <c r="E151" s="30" t="s">
        <v>61</v>
      </c>
      <c r="F151" s="30" t="n">
        <v>2</v>
      </c>
      <c r="G151" s="30" t="n">
        <v>2</v>
      </c>
      <c r="H151" s="30" t="s">
        <v>70</v>
      </c>
      <c r="I151" s="30" t="n">
        <v>40</v>
      </c>
      <c r="J151" s="30" t="s">
        <v>176</v>
      </c>
      <c r="K151" s="30" t="s">
        <v>156</v>
      </c>
      <c r="L151" s="30" t="n">
        <v>65</v>
      </c>
      <c r="M151" s="30" t="s">
        <v>156</v>
      </c>
      <c r="N151" s="30"/>
      <c r="O151" s="30" t="n">
        <v>3</v>
      </c>
      <c r="P151" s="30" t="s">
        <v>157</v>
      </c>
      <c r="Q151" s="30" t="n">
        <v>8.1</v>
      </c>
    </row>
    <row r="152" customFormat="false" ht="15" hidden="false" customHeight="false" outlineLevel="0" collapsed="false">
      <c r="A152" s="30" t="s">
        <v>309</v>
      </c>
      <c r="B152" s="31" t="n">
        <v>46260</v>
      </c>
      <c r="C152" s="30" t="s">
        <v>100</v>
      </c>
      <c r="D152" s="30" t="s">
        <v>47</v>
      </c>
      <c r="E152" s="30" t="s">
        <v>57</v>
      </c>
      <c r="F152" s="30" t="n">
        <v>0</v>
      </c>
      <c r="G152" s="30" t="n">
        <v>3</v>
      </c>
      <c r="H152" s="30" t="s">
        <v>71</v>
      </c>
      <c r="I152" s="30" t="n">
        <v>42</v>
      </c>
      <c r="J152" s="30" t="s">
        <v>164</v>
      </c>
      <c r="K152" s="30" t="s">
        <v>156</v>
      </c>
      <c r="L152" s="30" t="n">
        <v>53</v>
      </c>
      <c r="M152" s="30" t="s">
        <v>157</v>
      </c>
      <c r="N152" s="30"/>
      <c r="O152" s="30" t="n">
        <v>4</v>
      </c>
      <c r="P152" s="30" t="s">
        <v>156</v>
      </c>
      <c r="Q152" s="30" t="n">
        <v>17.1</v>
      </c>
    </row>
    <row r="153" customFormat="false" ht="15" hidden="false" customHeight="false" outlineLevel="0" collapsed="false">
      <c r="A153" s="30" t="s">
        <v>310</v>
      </c>
      <c r="B153" s="31" t="n">
        <v>46260</v>
      </c>
      <c r="C153" s="30" t="s">
        <v>99</v>
      </c>
      <c r="D153" s="30" t="s">
        <v>47</v>
      </c>
      <c r="E153" s="30" t="s">
        <v>61</v>
      </c>
      <c r="F153" s="30" t="n">
        <v>6</v>
      </c>
      <c r="G153" s="30" t="n">
        <v>3</v>
      </c>
      <c r="H153" s="30" t="s">
        <v>70</v>
      </c>
      <c r="I153" s="30" t="n">
        <v>28</v>
      </c>
      <c r="J153" s="30" t="s">
        <v>155</v>
      </c>
      <c r="K153" s="30" t="s">
        <v>156</v>
      </c>
      <c r="L153" s="30" t="n">
        <v>42</v>
      </c>
      <c r="M153" s="30" t="s">
        <v>156</v>
      </c>
      <c r="N153" s="30"/>
      <c r="O153" s="30" t="n">
        <v>3</v>
      </c>
      <c r="P153" s="30" t="s">
        <v>157</v>
      </c>
      <c r="Q153" s="30" t="n">
        <v>17.5</v>
      </c>
    </row>
    <row r="154" customFormat="false" ht="15" hidden="false" customHeight="false" outlineLevel="0" collapsed="false">
      <c r="A154" s="30" t="s">
        <v>311</v>
      </c>
      <c r="B154" s="31" t="n">
        <v>46260</v>
      </c>
      <c r="C154" s="30" t="s">
        <v>100</v>
      </c>
      <c r="D154" s="30" t="s">
        <v>47</v>
      </c>
      <c r="E154" s="30" t="s">
        <v>62</v>
      </c>
      <c r="F154" s="30" t="n">
        <v>4</v>
      </c>
      <c r="G154" s="30" t="n">
        <v>4</v>
      </c>
      <c r="H154" s="30" t="s">
        <v>70</v>
      </c>
      <c r="I154" s="30" t="n">
        <v>27</v>
      </c>
      <c r="J154" s="30" t="s">
        <v>155</v>
      </c>
      <c r="K154" s="30" t="s">
        <v>156</v>
      </c>
      <c r="L154" s="30" t="n">
        <v>43</v>
      </c>
      <c r="M154" s="30" t="s">
        <v>156</v>
      </c>
      <c r="N154" s="30"/>
      <c r="O154" s="30" t="n">
        <v>3</v>
      </c>
      <c r="P154" s="30" t="s">
        <v>156</v>
      </c>
      <c r="Q154" s="30" t="n">
        <v>14.5</v>
      </c>
    </row>
    <row r="155" customFormat="false" ht="15" hidden="false" customHeight="false" outlineLevel="0" collapsed="false">
      <c r="A155" s="30" t="s">
        <v>312</v>
      </c>
      <c r="B155" s="31" t="n">
        <v>46260</v>
      </c>
      <c r="C155" s="30" t="s">
        <v>99</v>
      </c>
      <c r="D155" s="30" t="s">
        <v>47</v>
      </c>
      <c r="E155" s="30" t="s">
        <v>62</v>
      </c>
      <c r="F155" s="30" t="n">
        <v>7</v>
      </c>
      <c r="G155" s="30" t="n">
        <v>0</v>
      </c>
      <c r="H155" s="30" t="s">
        <v>70</v>
      </c>
      <c r="I155" s="30" t="n">
        <v>23</v>
      </c>
      <c r="J155" s="30" t="s">
        <v>164</v>
      </c>
      <c r="K155" s="30" t="s">
        <v>156</v>
      </c>
      <c r="L155" s="30" t="n">
        <v>26</v>
      </c>
      <c r="M155" s="30" t="s">
        <v>156</v>
      </c>
      <c r="N155" s="30"/>
      <c r="O155" s="30" t="n">
        <v>5</v>
      </c>
      <c r="P155" s="30" t="s">
        <v>157</v>
      </c>
      <c r="Q155" s="30" t="n">
        <v>11.3</v>
      </c>
    </row>
    <row r="156" customFormat="false" ht="15" hidden="false" customHeight="false" outlineLevel="0" collapsed="false">
      <c r="A156" s="30" t="s">
        <v>313</v>
      </c>
      <c r="B156" s="31" t="n">
        <v>46261</v>
      </c>
      <c r="C156" s="30" t="s">
        <v>95</v>
      </c>
      <c r="D156" s="30" t="s">
        <v>44</v>
      </c>
      <c r="E156" s="30" t="s">
        <v>58</v>
      </c>
      <c r="F156" s="30" t="n">
        <v>3</v>
      </c>
      <c r="G156" s="30" t="n">
        <v>2</v>
      </c>
      <c r="H156" s="30" t="s">
        <v>71</v>
      </c>
      <c r="I156" s="30" t="n">
        <v>31</v>
      </c>
      <c r="J156" s="30" t="s">
        <v>176</v>
      </c>
      <c r="K156" s="30" t="s">
        <v>156</v>
      </c>
      <c r="L156" s="30" t="n">
        <v>56</v>
      </c>
      <c r="M156" s="30" t="s">
        <v>157</v>
      </c>
      <c r="N156" s="30"/>
      <c r="O156" s="30" t="n">
        <v>4</v>
      </c>
      <c r="P156" s="30" t="s">
        <v>157</v>
      </c>
      <c r="Q156" s="30" t="n">
        <v>12.6</v>
      </c>
    </row>
    <row r="157" customFormat="false" ht="15" hidden="false" customHeight="false" outlineLevel="0" collapsed="false">
      <c r="A157" s="30" t="s">
        <v>314</v>
      </c>
      <c r="B157" s="31" t="n">
        <v>46261</v>
      </c>
      <c r="C157" s="30" t="s">
        <v>95</v>
      </c>
      <c r="D157" s="30" t="s">
        <v>44</v>
      </c>
      <c r="E157" s="30" t="s">
        <v>56</v>
      </c>
      <c r="F157" s="30" t="n">
        <v>1</v>
      </c>
      <c r="G157" s="30" t="n">
        <v>2</v>
      </c>
      <c r="H157" s="30" t="s">
        <v>70</v>
      </c>
      <c r="I157" s="30" t="n">
        <v>33</v>
      </c>
      <c r="J157" s="30" t="s">
        <v>155</v>
      </c>
      <c r="K157" s="30" t="s">
        <v>157</v>
      </c>
      <c r="L157" s="30"/>
      <c r="M157" s="30" t="s">
        <v>157</v>
      </c>
      <c r="N157" s="30" t="s">
        <v>79</v>
      </c>
      <c r="O157" s="30"/>
      <c r="P157" s="30" t="s">
        <v>156</v>
      </c>
      <c r="Q157" s="30" t="n">
        <v>10.3</v>
      </c>
    </row>
    <row r="158" customFormat="false" ht="15" hidden="false" customHeight="false" outlineLevel="0" collapsed="false">
      <c r="A158" s="30" t="s">
        <v>315</v>
      </c>
      <c r="B158" s="31" t="n">
        <v>46261</v>
      </c>
      <c r="C158" s="30" t="s">
        <v>94</v>
      </c>
      <c r="D158" s="30" t="s">
        <v>44</v>
      </c>
      <c r="E158" s="30" t="s">
        <v>58</v>
      </c>
      <c r="F158" s="30" t="n">
        <v>13</v>
      </c>
      <c r="G158" s="30" t="n">
        <v>0</v>
      </c>
      <c r="H158" s="30" t="s">
        <v>70</v>
      </c>
      <c r="I158" s="30" t="n">
        <v>62</v>
      </c>
      <c r="J158" s="30" t="s">
        <v>164</v>
      </c>
      <c r="K158" s="30" t="s">
        <v>156</v>
      </c>
      <c r="L158" s="30" t="n">
        <v>56</v>
      </c>
      <c r="M158" s="30" t="s">
        <v>156</v>
      </c>
      <c r="N158" s="30"/>
      <c r="O158" s="30" t="n">
        <v>5</v>
      </c>
      <c r="P158" s="30" t="s">
        <v>156</v>
      </c>
      <c r="Q158" s="30" t="n">
        <v>14.4</v>
      </c>
    </row>
    <row r="159" customFormat="false" ht="15" hidden="false" customHeight="false" outlineLevel="0" collapsed="false">
      <c r="A159" s="30" t="s">
        <v>316</v>
      </c>
      <c r="B159" s="31" t="n">
        <v>46261</v>
      </c>
      <c r="C159" s="30" t="s">
        <v>94</v>
      </c>
      <c r="D159" s="30" t="s">
        <v>44</v>
      </c>
      <c r="E159" s="30" t="s">
        <v>58</v>
      </c>
      <c r="F159" s="30" t="n">
        <v>6</v>
      </c>
      <c r="G159" s="30" t="n">
        <v>1</v>
      </c>
      <c r="H159" s="30" t="s">
        <v>71</v>
      </c>
      <c r="I159" s="30" t="n">
        <v>35</v>
      </c>
      <c r="J159" s="30" t="s">
        <v>155</v>
      </c>
      <c r="K159" s="30" t="s">
        <v>156</v>
      </c>
      <c r="L159" s="30" t="n">
        <v>18</v>
      </c>
      <c r="M159" s="30" t="s">
        <v>156</v>
      </c>
      <c r="N159" s="30"/>
      <c r="O159" s="30" t="n">
        <v>4</v>
      </c>
      <c r="P159" s="30" t="s">
        <v>156</v>
      </c>
      <c r="Q159" s="30" t="n">
        <v>10.2</v>
      </c>
    </row>
    <row r="160" customFormat="false" ht="15" hidden="false" customHeight="false" outlineLevel="0" collapsed="false">
      <c r="A160" s="30" t="s">
        <v>317</v>
      </c>
      <c r="B160" s="31" t="n">
        <v>46261</v>
      </c>
      <c r="C160" s="30" t="s">
        <v>96</v>
      </c>
      <c r="D160" s="30" t="s">
        <v>45</v>
      </c>
      <c r="E160" s="30" t="s">
        <v>59</v>
      </c>
      <c r="F160" s="30" t="n">
        <v>8</v>
      </c>
      <c r="G160" s="30" t="n">
        <v>2</v>
      </c>
      <c r="H160" s="30" t="s">
        <v>70</v>
      </c>
      <c r="I160" s="30" t="n">
        <v>35</v>
      </c>
      <c r="J160" s="30" t="s">
        <v>155</v>
      </c>
      <c r="K160" s="30" t="s">
        <v>156</v>
      </c>
      <c r="L160" s="30" t="n">
        <v>45</v>
      </c>
      <c r="M160" s="30" t="s">
        <v>156</v>
      </c>
      <c r="N160" s="30"/>
      <c r="O160" s="30" t="n">
        <v>2</v>
      </c>
      <c r="P160" s="30" t="s">
        <v>157</v>
      </c>
      <c r="Q160" s="30" t="n">
        <v>11.5</v>
      </c>
    </row>
    <row r="161" customFormat="false" ht="15" hidden="false" customHeight="false" outlineLevel="0" collapsed="false">
      <c r="A161" s="30" t="s">
        <v>318</v>
      </c>
      <c r="B161" s="31" t="n">
        <v>46261</v>
      </c>
      <c r="C161" s="30" t="s">
        <v>96</v>
      </c>
      <c r="D161" s="30" t="s">
        <v>45</v>
      </c>
      <c r="E161" s="30" t="s">
        <v>56</v>
      </c>
      <c r="F161" s="30" t="n">
        <v>3</v>
      </c>
      <c r="G161" s="30" t="n">
        <v>2</v>
      </c>
      <c r="H161" s="30" t="s">
        <v>70</v>
      </c>
      <c r="I161" s="30" t="n">
        <v>43</v>
      </c>
      <c r="J161" s="30" t="s">
        <v>155</v>
      </c>
      <c r="K161" s="30" t="s">
        <v>156</v>
      </c>
      <c r="L161" s="30" t="n">
        <v>47</v>
      </c>
      <c r="M161" s="30" t="s">
        <v>157</v>
      </c>
      <c r="N161" s="30"/>
      <c r="O161" s="30" t="n">
        <v>3</v>
      </c>
      <c r="P161" s="30" t="s">
        <v>156</v>
      </c>
      <c r="Q161" s="30" t="n">
        <v>12</v>
      </c>
    </row>
    <row r="162" customFormat="false" ht="15" hidden="false" customHeight="false" outlineLevel="0" collapsed="false">
      <c r="A162" s="30" t="s">
        <v>319</v>
      </c>
      <c r="B162" s="31" t="n">
        <v>46261</v>
      </c>
      <c r="C162" s="30" t="s">
        <v>97</v>
      </c>
      <c r="D162" s="30" t="s">
        <v>46</v>
      </c>
      <c r="E162" s="30" t="s">
        <v>56</v>
      </c>
      <c r="F162" s="30" t="n">
        <v>7</v>
      </c>
      <c r="G162" s="30" t="n">
        <v>0</v>
      </c>
      <c r="H162" s="30" t="s">
        <v>70</v>
      </c>
      <c r="I162" s="30" t="n">
        <v>38</v>
      </c>
      <c r="J162" s="30" t="s">
        <v>159</v>
      </c>
      <c r="K162" s="30" t="s">
        <v>156</v>
      </c>
      <c r="L162" s="30" t="n">
        <v>47</v>
      </c>
      <c r="M162" s="30" t="s">
        <v>157</v>
      </c>
      <c r="N162" s="30"/>
      <c r="O162" s="30" t="n">
        <v>5</v>
      </c>
      <c r="P162" s="30" t="s">
        <v>157</v>
      </c>
      <c r="Q162" s="30" t="n">
        <v>10.3</v>
      </c>
    </row>
    <row r="163" customFormat="false" ht="15" hidden="false" customHeight="false" outlineLevel="0" collapsed="false">
      <c r="A163" s="30" t="s">
        <v>320</v>
      </c>
      <c r="B163" s="31" t="n">
        <v>46261</v>
      </c>
      <c r="C163" s="30" t="s">
        <v>97</v>
      </c>
      <c r="D163" s="30" t="s">
        <v>46</v>
      </c>
      <c r="E163" s="30" t="s">
        <v>60</v>
      </c>
      <c r="F163" s="30" t="n">
        <v>5</v>
      </c>
      <c r="G163" s="30" t="n">
        <v>1</v>
      </c>
      <c r="H163" s="30" t="s">
        <v>70</v>
      </c>
      <c r="I163" s="30" t="n">
        <v>47</v>
      </c>
      <c r="J163" s="30" t="s">
        <v>155</v>
      </c>
      <c r="K163" s="30" t="s">
        <v>156</v>
      </c>
      <c r="L163" s="30" t="n">
        <v>5</v>
      </c>
      <c r="M163" s="30" t="s">
        <v>157</v>
      </c>
      <c r="N163" s="30"/>
      <c r="O163" s="30" t="n">
        <v>3</v>
      </c>
      <c r="P163" s="30" t="s">
        <v>156</v>
      </c>
      <c r="Q163" s="30" t="n">
        <v>10</v>
      </c>
    </row>
    <row r="164" customFormat="false" ht="15" hidden="false" customHeight="false" outlineLevel="0" collapsed="false">
      <c r="A164" s="30" t="s">
        <v>321</v>
      </c>
      <c r="B164" s="31" t="n">
        <v>46261</v>
      </c>
      <c r="C164" s="30" t="s">
        <v>100</v>
      </c>
      <c r="D164" s="30" t="s">
        <v>47</v>
      </c>
      <c r="E164" s="30" t="s">
        <v>57</v>
      </c>
      <c r="F164" s="30" t="n">
        <v>1</v>
      </c>
      <c r="G164" s="30" t="n">
        <v>1</v>
      </c>
      <c r="H164" s="30" t="s">
        <v>71</v>
      </c>
      <c r="I164" s="30" t="n">
        <v>23</v>
      </c>
      <c r="J164" s="30" t="s">
        <v>164</v>
      </c>
      <c r="K164" s="30" t="s">
        <v>156</v>
      </c>
      <c r="L164" s="30" t="n">
        <v>32</v>
      </c>
      <c r="M164" s="30" t="s">
        <v>156</v>
      </c>
      <c r="N164" s="30"/>
      <c r="O164" s="30" t="n">
        <v>5</v>
      </c>
      <c r="P164" s="30" t="s">
        <v>156</v>
      </c>
      <c r="Q164" s="30" t="n">
        <v>15.3</v>
      </c>
    </row>
    <row r="165" customFormat="false" ht="15" hidden="false" customHeight="false" outlineLevel="0" collapsed="false">
      <c r="A165" s="30" t="s">
        <v>322</v>
      </c>
      <c r="B165" s="31" t="n">
        <v>46261</v>
      </c>
      <c r="C165" s="30" t="s">
        <v>99</v>
      </c>
      <c r="D165" s="30" t="s">
        <v>47</v>
      </c>
      <c r="E165" s="30" t="s">
        <v>58</v>
      </c>
      <c r="F165" s="30" t="n">
        <v>10</v>
      </c>
      <c r="G165" s="30" t="n">
        <v>2</v>
      </c>
      <c r="H165" s="30" t="s">
        <v>70</v>
      </c>
      <c r="I165" s="30" t="n">
        <v>45</v>
      </c>
      <c r="J165" s="30" t="s">
        <v>155</v>
      </c>
      <c r="K165" s="30" t="s">
        <v>157</v>
      </c>
      <c r="L165" s="30"/>
      <c r="M165" s="30" t="s">
        <v>157</v>
      </c>
      <c r="N165" s="30" t="s">
        <v>79</v>
      </c>
      <c r="O165" s="30"/>
      <c r="P165" s="30" t="s">
        <v>157</v>
      </c>
      <c r="Q165" s="30" t="n">
        <v>7.8</v>
      </c>
    </row>
    <row r="166" customFormat="false" ht="15" hidden="false" customHeight="false" outlineLevel="0" collapsed="false">
      <c r="A166" s="30" t="s">
        <v>322</v>
      </c>
      <c r="B166" s="31" t="n">
        <v>46261</v>
      </c>
      <c r="C166" s="30" t="s">
        <v>99</v>
      </c>
      <c r="D166" s="30" t="s">
        <v>47</v>
      </c>
      <c r="E166" s="30" t="s">
        <v>58</v>
      </c>
      <c r="F166" s="30" t="n">
        <v>10</v>
      </c>
      <c r="G166" s="30" t="n">
        <v>2</v>
      </c>
      <c r="H166" s="30" t="s">
        <v>70</v>
      </c>
      <c r="I166" s="30" t="n">
        <v>45</v>
      </c>
      <c r="J166" s="30" t="s">
        <v>155</v>
      </c>
      <c r="K166" s="30" t="s">
        <v>157</v>
      </c>
      <c r="L166" s="30"/>
      <c r="M166" s="30" t="s">
        <v>157</v>
      </c>
      <c r="N166" s="30" t="s">
        <v>79</v>
      </c>
      <c r="O166" s="30"/>
      <c r="P166" s="30" t="s">
        <v>157</v>
      </c>
      <c r="Q166" s="30" t="n">
        <v>7.8</v>
      </c>
    </row>
    <row r="167" customFormat="false" ht="15" hidden="false" customHeight="false" outlineLevel="0" collapsed="false">
      <c r="A167" s="30" t="s">
        <v>323</v>
      </c>
      <c r="B167" s="31" t="n">
        <v>46261</v>
      </c>
      <c r="C167" s="30" t="s">
        <v>100</v>
      </c>
      <c r="D167" s="30" t="s">
        <v>47</v>
      </c>
      <c r="E167" s="30" t="s">
        <v>57</v>
      </c>
      <c r="F167" s="30" t="n">
        <v>1</v>
      </c>
      <c r="G167" s="30" t="n">
        <v>1</v>
      </c>
      <c r="H167" s="30" t="s">
        <v>71</v>
      </c>
      <c r="I167" s="30" t="n">
        <v>32</v>
      </c>
      <c r="J167" s="30" t="s">
        <v>176</v>
      </c>
      <c r="K167" s="30" t="s">
        <v>157</v>
      </c>
      <c r="L167" s="30"/>
      <c r="M167" s="30" t="s">
        <v>156</v>
      </c>
      <c r="N167" s="30" t="s">
        <v>79</v>
      </c>
      <c r="O167" s="30"/>
      <c r="P167" s="30" t="s">
        <v>156</v>
      </c>
      <c r="Q167" s="30" t="n">
        <v>12.2</v>
      </c>
    </row>
    <row r="168" customFormat="false" ht="15" hidden="false" customHeight="false" outlineLevel="0" collapsed="false">
      <c r="A168" s="30" t="s">
        <v>324</v>
      </c>
      <c r="B168" s="31" t="n">
        <v>46261</v>
      </c>
      <c r="C168" s="30" t="s">
        <v>100</v>
      </c>
      <c r="D168" s="30" t="s">
        <v>47</v>
      </c>
      <c r="E168" s="30" t="s">
        <v>59</v>
      </c>
      <c r="F168" s="30" t="n">
        <v>3</v>
      </c>
      <c r="G168" s="30" t="n">
        <v>6</v>
      </c>
      <c r="H168" s="30" t="s">
        <v>71</v>
      </c>
      <c r="I168" s="30" t="n">
        <v>46</v>
      </c>
      <c r="J168" s="30" t="s">
        <v>176</v>
      </c>
      <c r="K168" s="30" t="s">
        <v>156</v>
      </c>
      <c r="L168" s="30" t="n">
        <v>58</v>
      </c>
      <c r="M168" s="30" t="s">
        <v>156</v>
      </c>
      <c r="N168" s="30"/>
      <c r="O168" s="30" t="n">
        <v>3</v>
      </c>
      <c r="P168" s="30" t="s">
        <v>157</v>
      </c>
      <c r="Q168" s="30" t="n">
        <v>20.1</v>
      </c>
    </row>
    <row r="169" customFormat="false" ht="15" hidden="false" customHeight="false" outlineLevel="0" collapsed="false">
      <c r="A169" s="30" t="s">
        <v>325</v>
      </c>
      <c r="B169" s="31" t="n">
        <v>46261</v>
      </c>
      <c r="C169" s="30" t="s">
        <v>99</v>
      </c>
      <c r="D169" s="30" t="s">
        <v>47</v>
      </c>
      <c r="E169" s="30" t="s">
        <v>57</v>
      </c>
      <c r="F169" s="30" t="n">
        <v>6</v>
      </c>
      <c r="G169" s="30" t="n">
        <v>0</v>
      </c>
      <c r="H169" s="30" t="s">
        <v>71</v>
      </c>
      <c r="I169" s="30" t="n">
        <v>55</v>
      </c>
      <c r="J169" s="30" t="s">
        <v>176</v>
      </c>
      <c r="K169" s="30" t="s">
        <v>156</v>
      </c>
      <c r="L169" s="30" t="n">
        <v>50</v>
      </c>
      <c r="M169" s="30" t="s">
        <v>156</v>
      </c>
      <c r="N169" s="30"/>
      <c r="O169" s="30" t="n">
        <v>5</v>
      </c>
      <c r="P169" s="30" t="s">
        <v>156</v>
      </c>
      <c r="Q169" s="30" t="n">
        <v>16.3</v>
      </c>
    </row>
    <row r="170" customFormat="false" ht="15" hidden="false" customHeight="false" outlineLevel="0" collapsed="false">
      <c r="A170" s="30" t="s">
        <v>326</v>
      </c>
      <c r="B170" s="31" t="n">
        <v>46262</v>
      </c>
      <c r="C170" s="30" t="s">
        <v>94</v>
      </c>
      <c r="D170" s="30" t="s">
        <v>44</v>
      </c>
      <c r="E170" s="30" t="s">
        <v>56</v>
      </c>
      <c r="F170" s="30" t="n">
        <v>1</v>
      </c>
      <c r="G170" s="30" t="n">
        <v>2</v>
      </c>
      <c r="H170" s="30" t="s">
        <v>70</v>
      </c>
      <c r="I170" s="30" t="n">
        <v>59</v>
      </c>
      <c r="J170" s="30" t="s">
        <v>155</v>
      </c>
      <c r="K170" s="30" t="s">
        <v>156</v>
      </c>
      <c r="L170" s="30" t="n">
        <v>45</v>
      </c>
      <c r="M170" s="30" t="s">
        <v>157</v>
      </c>
      <c r="N170" s="30"/>
      <c r="O170" s="30" t="n">
        <v>4</v>
      </c>
      <c r="P170" s="30" t="s">
        <v>157</v>
      </c>
      <c r="Q170" s="30" t="n">
        <v>12.8</v>
      </c>
    </row>
    <row r="171" customFormat="false" ht="15" hidden="false" customHeight="false" outlineLevel="0" collapsed="false">
      <c r="A171" s="30" t="s">
        <v>327</v>
      </c>
      <c r="B171" s="31" t="n">
        <v>46262</v>
      </c>
      <c r="C171" s="30" t="s">
        <v>95</v>
      </c>
      <c r="D171" s="30" t="s">
        <v>44</v>
      </c>
      <c r="E171" s="30" t="s">
        <v>57</v>
      </c>
      <c r="F171" s="30" t="n">
        <v>4</v>
      </c>
      <c r="G171" s="30" t="n">
        <v>0</v>
      </c>
      <c r="H171" s="30" t="s">
        <v>70</v>
      </c>
      <c r="I171" s="30" t="n">
        <v>40</v>
      </c>
      <c r="J171" s="30" t="s">
        <v>159</v>
      </c>
      <c r="K171" s="30" t="s">
        <v>156</v>
      </c>
      <c r="L171" s="30" t="n">
        <v>28</v>
      </c>
      <c r="M171" s="30" t="s">
        <v>156</v>
      </c>
      <c r="N171" s="30"/>
      <c r="O171" s="30" t="n">
        <v>4</v>
      </c>
      <c r="P171" s="30" t="s">
        <v>156</v>
      </c>
      <c r="Q171" s="30" t="n">
        <v>21.4</v>
      </c>
    </row>
    <row r="172" customFormat="false" ht="15" hidden="false" customHeight="false" outlineLevel="0" collapsed="false">
      <c r="A172" s="30" t="s">
        <v>328</v>
      </c>
      <c r="B172" s="31" t="n">
        <v>46262</v>
      </c>
      <c r="C172" s="30" t="s">
        <v>95</v>
      </c>
      <c r="D172" s="30" t="s">
        <v>44</v>
      </c>
      <c r="E172" s="30" t="s">
        <v>56</v>
      </c>
      <c r="F172" s="30" t="n">
        <v>3</v>
      </c>
      <c r="G172" s="30" t="n">
        <v>0</v>
      </c>
      <c r="H172" s="30" t="s">
        <v>71</v>
      </c>
      <c r="I172" s="30" t="n">
        <v>28</v>
      </c>
      <c r="J172" s="30" t="s">
        <v>164</v>
      </c>
      <c r="K172" s="30" t="s">
        <v>156</v>
      </c>
      <c r="L172" s="30" t="n">
        <v>62</v>
      </c>
      <c r="M172" s="30" t="s">
        <v>157</v>
      </c>
      <c r="N172" s="30"/>
      <c r="O172" s="30" t="n">
        <v>4</v>
      </c>
      <c r="P172" s="30" t="s">
        <v>156</v>
      </c>
      <c r="Q172" s="30" t="n">
        <v>7.7</v>
      </c>
    </row>
    <row r="173" customFormat="false" ht="15" hidden="false" customHeight="false" outlineLevel="0" collapsed="false">
      <c r="A173" s="30" t="s">
        <v>329</v>
      </c>
      <c r="B173" s="31" t="n">
        <v>46262</v>
      </c>
      <c r="C173" s="30" t="s">
        <v>96</v>
      </c>
      <c r="D173" s="30" t="s">
        <v>45</v>
      </c>
      <c r="E173" s="30" t="s">
        <v>56</v>
      </c>
      <c r="F173" s="30" t="n">
        <v>8</v>
      </c>
      <c r="G173" s="30" t="n">
        <v>2</v>
      </c>
      <c r="H173" s="30" t="s">
        <v>71</v>
      </c>
      <c r="I173" s="30" t="n">
        <v>33</v>
      </c>
      <c r="J173" s="30" t="s">
        <v>176</v>
      </c>
      <c r="K173" s="30" t="s">
        <v>156</v>
      </c>
      <c r="L173" s="30" t="n">
        <v>66</v>
      </c>
      <c r="M173" s="30" t="s">
        <v>157</v>
      </c>
      <c r="N173" s="30"/>
      <c r="O173" s="30" t="n">
        <v>4</v>
      </c>
      <c r="P173" s="30" t="s">
        <v>157</v>
      </c>
      <c r="Q173" s="30" t="n">
        <v>17.5</v>
      </c>
    </row>
    <row r="174" customFormat="false" ht="15" hidden="false" customHeight="false" outlineLevel="0" collapsed="false">
      <c r="A174" s="30" t="s">
        <v>330</v>
      </c>
      <c r="B174" s="31" t="n">
        <v>46262</v>
      </c>
      <c r="C174" s="30" t="s">
        <v>97</v>
      </c>
      <c r="D174" s="30" t="s">
        <v>46</v>
      </c>
      <c r="E174" s="30" t="s">
        <v>57</v>
      </c>
      <c r="F174" s="30" t="n">
        <v>7</v>
      </c>
      <c r="G174" s="30" t="n">
        <v>1</v>
      </c>
      <c r="H174" s="30" t="s">
        <v>70</v>
      </c>
      <c r="I174" s="30" t="n">
        <v>39</v>
      </c>
      <c r="J174" s="30" t="s">
        <v>176</v>
      </c>
      <c r="K174" s="30" t="s">
        <v>157</v>
      </c>
      <c r="L174" s="30"/>
      <c r="M174" s="30" t="s">
        <v>157</v>
      </c>
      <c r="N174" s="30" t="s">
        <v>85</v>
      </c>
      <c r="O174" s="30"/>
      <c r="P174" s="30" t="s">
        <v>156</v>
      </c>
      <c r="Q174" s="30" t="n">
        <v>15.9</v>
      </c>
    </row>
    <row r="175" customFormat="false" ht="15" hidden="false" customHeight="false" outlineLevel="0" collapsed="false">
      <c r="A175" s="30" t="s">
        <v>331</v>
      </c>
      <c r="B175" s="31" t="n">
        <v>46262</v>
      </c>
      <c r="C175" s="30" t="s">
        <v>98</v>
      </c>
      <c r="D175" s="30" t="s">
        <v>46</v>
      </c>
      <c r="E175" s="30" t="s">
        <v>57</v>
      </c>
      <c r="F175" s="30" t="n">
        <v>5</v>
      </c>
      <c r="G175" s="30" t="n">
        <v>1</v>
      </c>
      <c r="H175" s="30" t="s">
        <v>71</v>
      </c>
      <c r="I175" s="30" t="n">
        <v>40</v>
      </c>
      <c r="J175" s="30" t="s">
        <v>176</v>
      </c>
      <c r="K175" s="30" t="s">
        <v>157</v>
      </c>
      <c r="L175" s="30" t="n">
        <v>30</v>
      </c>
      <c r="M175" s="30" t="s">
        <v>156</v>
      </c>
      <c r="N175" s="30" t="s">
        <v>79</v>
      </c>
      <c r="O175" s="30"/>
      <c r="P175" s="30" t="s">
        <v>156</v>
      </c>
      <c r="Q175" s="30" t="n">
        <v>4.4</v>
      </c>
    </row>
    <row r="176" customFormat="false" ht="15" hidden="false" customHeight="false" outlineLevel="0" collapsed="false">
      <c r="A176" s="30" t="s">
        <v>332</v>
      </c>
      <c r="B176" s="31" t="n">
        <v>46262</v>
      </c>
      <c r="C176" s="30" t="s">
        <v>97</v>
      </c>
      <c r="D176" s="30" t="s">
        <v>46</v>
      </c>
      <c r="E176" s="30" t="s">
        <v>61</v>
      </c>
      <c r="F176" s="30" t="n">
        <v>1</v>
      </c>
      <c r="G176" s="30" t="n">
        <v>0</v>
      </c>
      <c r="H176" s="30" t="s">
        <v>71</v>
      </c>
      <c r="I176" s="30" t="n">
        <v>43</v>
      </c>
      <c r="J176" s="30" t="s">
        <v>155</v>
      </c>
      <c r="K176" s="30" t="s">
        <v>157</v>
      </c>
      <c r="L176" s="30"/>
      <c r="M176" s="30" t="s">
        <v>157</v>
      </c>
      <c r="N176" s="30" t="s">
        <v>77</v>
      </c>
      <c r="O176" s="30"/>
      <c r="P176" s="30" t="s">
        <v>157</v>
      </c>
      <c r="Q176" s="30" t="n">
        <v>13.6</v>
      </c>
    </row>
    <row r="177" customFormat="false" ht="15" hidden="false" customHeight="false" outlineLevel="0" collapsed="false">
      <c r="A177" s="30" t="s">
        <v>333</v>
      </c>
      <c r="B177" s="31" t="n">
        <v>46262</v>
      </c>
      <c r="C177" s="30" t="s">
        <v>98</v>
      </c>
      <c r="D177" s="30" t="s">
        <v>46</v>
      </c>
      <c r="E177" s="30" t="s">
        <v>61</v>
      </c>
      <c r="F177" s="30" t="n">
        <v>2</v>
      </c>
      <c r="G177" s="30" t="n">
        <v>1</v>
      </c>
      <c r="H177" s="30" t="s">
        <v>71</v>
      </c>
      <c r="I177" s="30" t="n">
        <v>42</v>
      </c>
      <c r="J177" s="30" t="s">
        <v>164</v>
      </c>
      <c r="K177" s="30" t="s">
        <v>156</v>
      </c>
      <c r="L177" s="30" t="n">
        <v>5</v>
      </c>
      <c r="M177" s="30" t="s">
        <v>157</v>
      </c>
      <c r="N177" s="30"/>
      <c r="O177" s="30" t="n">
        <v>5</v>
      </c>
      <c r="P177" s="30" t="s">
        <v>157</v>
      </c>
      <c r="Q177" s="30" t="n">
        <v>9.3</v>
      </c>
    </row>
    <row r="178" customFormat="false" ht="15" hidden="false" customHeight="false" outlineLevel="0" collapsed="false">
      <c r="A178" s="30" t="s">
        <v>334</v>
      </c>
      <c r="B178" s="31" t="n">
        <v>46262</v>
      </c>
      <c r="C178" s="30" t="s">
        <v>100</v>
      </c>
      <c r="D178" s="30" t="s">
        <v>47</v>
      </c>
      <c r="E178" s="30" t="s">
        <v>57</v>
      </c>
      <c r="F178" s="30" t="n">
        <v>5</v>
      </c>
      <c r="G178" s="30" t="n">
        <v>2</v>
      </c>
      <c r="H178" s="30" t="s">
        <v>70</v>
      </c>
      <c r="I178" s="30" t="n">
        <v>28</v>
      </c>
      <c r="J178" s="30" t="s">
        <v>155</v>
      </c>
      <c r="K178" s="30" t="s">
        <v>156</v>
      </c>
      <c r="L178" s="30" t="n">
        <v>64</v>
      </c>
      <c r="M178" s="30" t="s">
        <v>157</v>
      </c>
      <c r="N178" s="30"/>
      <c r="O178" s="30" t="n">
        <v>3</v>
      </c>
      <c r="P178" s="30" t="s">
        <v>156</v>
      </c>
      <c r="Q178" s="30" t="n">
        <v>11</v>
      </c>
    </row>
    <row r="179" customFormat="false" ht="15" hidden="false" customHeight="false" outlineLevel="0" collapsed="false">
      <c r="A179" s="30" t="s">
        <v>335</v>
      </c>
      <c r="B179" s="31" t="n">
        <v>46262</v>
      </c>
      <c r="C179" s="30" t="s">
        <v>100</v>
      </c>
      <c r="D179" s="30" t="s">
        <v>47</v>
      </c>
      <c r="E179" s="30" t="s">
        <v>57</v>
      </c>
      <c r="F179" s="30" t="n">
        <v>6</v>
      </c>
      <c r="G179" s="30" t="n">
        <v>0</v>
      </c>
      <c r="H179" s="30" t="s">
        <v>70</v>
      </c>
      <c r="I179" s="30" t="n">
        <v>20</v>
      </c>
      <c r="J179" s="30" t="s">
        <v>155</v>
      </c>
      <c r="K179" s="30" t="s">
        <v>156</v>
      </c>
      <c r="L179" s="30" t="n">
        <v>5</v>
      </c>
      <c r="M179" s="30" t="s">
        <v>156</v>
      </c>
      <c r="N179" s="30"/>
      <c r="O179" s="30" t="n">
        <v>3</v>
      </c>
      <c r="P179" s="30" t="s">
        <v>157</v>
      </c>
      <c r="Q179" s="30" t="n">
        <v>7.5</v>
      </c>
    </row>
    <row r="180" customFormat="false" ht="15" hidden="false" customHeight="false" outlineLevel="0" collapsed="false">
      <c r="A180" s="30" t="s">
        <v>336</v>
      </c>
      <c r="B180" s="31" t="n">
        <v>46262</v>
      </c>
      <c r="C180" s="30" t="s">
        <v>99</v>
      </c>
      <c r="D180" s="30" t="s">
        <v>47</v>
      </c>
      <c r="E180" s="30" t="s">
        <v>62</v>
      </c>
      <c r="F180" s="30" t="n">
        <v>9</v>
      </c>
      <c r="G180" s="30" t="n">
        <v>1</v>
      </c>
      <c r="H180" s="30" t="s">
        <v>71</v>
      </c>
      <c r="I180" s="30" t="n">
        <v>41</v>
      </c>
      <c r="J180" s="30" t="s">
        <v>155</v>
      </c>
      <c r="K180" s="30" t="s">
        <v>156</v>
      </c>
      <c r="L180" s="30" t="n">
        <v>46</v>
      </c>
      <c r="M180" s="30" t="s">
        <v>156</v>
      </c>
      <c r="N180" s="30"/>
      <c r="O180" s="30" t="n">
        <v>4</v>
      </c>
      <c r="P180" s="30" t="s">
        <v>157</v>
      </c>
      <c r="Q180" s="30" t="n">
        <v>16.5</v>
      </c>
    </row>
    <row r="181" customFormat="false" ht="15" hidden="false" customHeight="false" outlineLevel="0" collapsed="false">
      <c r="A181" s="30" t="s">
        <v>337</v>
      </c>
      <c r="B181" s="31" t="n">
        <v>46263</v>
      </c>
      <c r="C181" s="30" t="s">
        <v>94</v>
      </c>
      <c r="D181" s="30" t="s">
        <v>44</v>
      </c>
      <c r="E181" s="30" t="s">
        <v>62</v>
      </c>
      <c r="F181" s="30" t="n">
        <v>8</v>
      </c>
      <c r="G181" s="30" t="n">
        <v>1</v>
      </c>
      <c r="H181" s="30" t="s">
        <v>70</v>
      </c>
      <c r="I181" s="30" t="n">
        <v>41</v>
      </c>
      <c r="J181" s="30" t="s">
        <v>155</v>
      </c>
      <c r="K181" s="30" t="s">
        <v>156</v>
      </c>
      <c r="L181" s="30" t="n">
        <v>63</v>
      </c>
      <c r="M181" s="30" t="s">
        <v>156</v>
      </c>
      <c r="N181" s="30"/>
      <c r="O181" s="30" t="n">
        <v>3</v>
      </c>
      <c r="P181" s="30" t="s">
        <v>157</v>
      </c>
      <c r="Q181" s="30" t="n">
        <v>21.9</v>
      </c>
    </row>
    <row r="182" customFormat="false" ht="15" hidden="false" customHeight="false" outlineLevel="0" collapsed="false">
      <c r="A182" s="30" t="s">
        <v>338</v>
      </c>
      <c r="B182" s="31" t="n">
        <v>46263</v>
      </c>
      <c r="C182" s="30" t="s">
        <v>95</v>
      </c>
      <c r="D182" s="30" t="s">
        <v>44</v>
      </c>
      <c r="E182" s="30" t="s">
        <v>58</v>
      </c>
      <c r="F182" s="30" t="n">
        <v>5</v>
      </c>
      <c r="G182" s="30" t="n">
        <v>2</v>
      </c>
      <c r="H182" s="30" t="s">
        <v>71</v>
      </c>
      <c r="I182" s="30" t="n">
        <v>41</v>
      </c>
      <c r="J182" s="30" t="s">
        <v>164</v>
      </c>
      <c r="K182" s="30" t="s">
        <v>156</v>
      </c>
      <c r="L182" s="30" t="n">
        <v>36</v>
      </c>
      <c r="M182" s="30" t="s">
        <v>157</v>
      </c>
      <c r="N182" s="30"/>
      <c r="O182" s="30" t="n">
        <v>2</v>
      </c>
      <c r="P182" s="30" t="s">
        <v>157</v>
      </c>
      <c r="Q182" s="30" t="n">
        <v>12.4</v>
      </c>
    </row>
    <row r="183" customFormat="false" ht="15" hidden="false" customHeight="false" outlineLevel="0" collapsed="false">
      <c r="A183" s="30" t="s">
        <v>339</v>
      </c>
      <c r="B183" s="31" t="n">
        <v>46263</v>
      </c>
      <c r="C183" s="30" t="s">
        <v>95</v>
      </c>
      <c r="D183" s="30" t="s">
        <v>44</v>
      </c>
      <c r="E183" s="30" t="s">
        <v>57</v>
      </c>
      <c r="F183" s="30" t="n">
        <v>6</v>
      </c>
      <c r="G183" s="30" t="n">
        <v>5</v>
      </c>
      <c r="H183" s="30" t="s">
        <v>70</v>
      </c>
      <c r="I183" s="30" t="n">
        <v>37</v>
      </c>
      <c r="J183" s="30" t="s">
        <v>155</v>
      </c>
      <c r="K183" s="30" t="s">
        <v>156</v>
      </c>
      <c r="L183" s="30" t="n">
        <v>38</v>
      </c>
      <c r="M183" s="30" t="s">
        <v>156</v>
      </c>
      <c r="N183" s="30"/>
      <c r="O183" s="30" t="n">
        <v>4</v>
      </c>
      <c r="P183" s="30" t="s">
        <v>156</v>
      </c>
      <c r="Q183" s="30" t="n">
        <v>14.4</v>
      </c>
    </row>
    <row r="184" customFormat="false" ht="15" hidden="false" customHeight="false" outlineLevel="0" collapsed="false">
      <c r="A184" s="30" t="s">
        <v>340</v>
      </c>
      <c r="B184" s="31" t="n">
        <v>46263</v>
      </c>
      <c r="C184" s="30" t="s">
        <v>95</v>
      </c>
      <c r="D184" s="30" t="s">
        <v>44</v>
      </c>
      <c r="E184" s="30" t="s">
        <v>59</v>
      </c>
      <c r="F184" s="30" t="n">
        <v>2</v>
      </c>
      <c r="G184" s="30" t="n">
        <v>1</v>
      </c>
      <c r="H184" s="30" t="s">
        <v>71</v>
      </c>
      <c r="I184" s="30" t="n">
        <v>51</v>
      </c>
      <c r="J184" s="30" t="s">
        <v>164</v>
      </c>
      <c r="K184" s="30" t="s">
        <v>156</v>
      </c>
      <c r="L184" s="30" t="n">
        <v>42</v>
      </c>
      <c r="M184" s="30" t="s">
        <v>157</v>
      </c>
      <c r="N184" s="30"/>
      <c r="O184" s="30" t="n">
        <v>5</v>
      </c>
      <c r="P184" s="30" t="s">
        <v>156</v>
      </c>
      <c r="Q184" s="30" t="n">
        <v>10.6</v>
      </c>
    </row>
    <row r="185" customFormat="false" ht="15" hidden="false" customHeight="false" outlineLevel="0" collapsed="false">
      <c r="A185" s="30" t="s">
        <v>341</v>
      </c>
      <c r="B185" s="31" t="n">
        <v>46263</v>
      </c>
      <c r="C185" s="30" t="s">
        <v>96</v>
      </c>
      <c r="D185" s="30" t="s">
        <v>45</v>
      </c>
      <c r="E185" s="30" t="s">
        <v>57</v>
      </c>
      <c r="F185" s="30" t="n">
        <v>4</v>
      </c>
      <c r="G185" s="30" t="n">
        <v>3</v>
      </c>
      <c r="H185" s="30" t="s">
        <v>70</v>
      </c>
      <c r="I185" s="30" t="n">
        <v>43</v>
      </c>
      <c r="J185" s="30" t="s">
        <v>176</v>
      </c>
      <c r="K185" s="30" t="s">
        <v>157</v>
      </c>
      <c r="L185" s="30"/>
      <c r="M185" s="30" t="s">
        <v>156</v>
      </c>
      <c r="N185" s="30" t="s">
        <v>77</v>
      </c>
      <c r="O185" s="30"/>
      <c r="P185" s="30" t="s">
        <v>156</v>
      </c>
      <c r="Q185" s="30" t="n">
        <v>11.7</v>
      </c>
    </row>
    <row r="186" customFormat="false" ht="15" hidden="false" customHeight="false" outlineLevel="0" collapsed="false">
      <c r="A186" s="30" t="s">
        <v>341</v>
      </c>
      <c r="B186" s="31" t="n">
        <v>46263</v>
      </c>
      <c r="C186" s="30" t="s">
        <v>96</v>
      </c>
      <c r="D186" s="30" t="s">
        <v>45</v>
      </c>
      <c r="E186" s="30" t="s">
        <v>57</v>
      </c>
      <c r="F186" s="30" t="n">
        <v>4</v>
      </c>
      <c r="G186" s="30" t="n">
        <v>3</v>
      </c>
      <c r="H186" s="30" t="s">
        <v>70</v>
      </c>
      <c r="I186" s="30" t="n">
        <v>43</v>
      </c>
      <c r="J186" s="30" t="s">
        <v>176</v>
      </c>
      <c r="K186" s="30" t="s">
        <v>157</v>
      </c>
      <c r="L186" s="30"/>
      <c r="M186" s="30" t="s">
        <v>156</v>
      </c>
      <c r="N186" s="30" t="s">
        <v>77</v>
      </c>
      <c r="O186" s="30"/>
      <c r="P186" s="30" t="s">
        <v>156</v>
      </c>
      <c r="Q186" s="30" t="n">
        <v>11.7</v>
      </c>
    </row>
    <row r="187" customFormat="false" ht="15" hidden="false" customHeight="false" outlineLevel="0" collapsed="false">
      <c r="A187" s="30" t="s">
        <v>342</v>
      </c>
      <c r="B187" s="31" t="n">
        <v>46263</v>
      </c>
      <c r="C187" s="30" t="s">
        <v>96</v>
      </c>
      <c r="D187" s="30" t="s">
        <v>45</v>
      </c>
      <c r="E187" s="30" t="s">
        <v>56</v>
      </c>
      <c r="F187" s="30" t="n">
        <v>3</v>
      </c>
      <c r="G187" s="30" t="n">
        <v>2</v>
      </c>
      <c r="H187" s="30" t="s">
        <v>71</v>
      </c>
      <c r="I187" s="30" t="n">
        <v>34</v>
      </c>
      <c r="J187" s="30" t="s">
        <v>164</v>
      </c>
      <c r="K187" s="30" t="s">
        <v>157</v>
      </c>
      <c r="L187" s="30"/>
      <c r="M187" s="30" t="s">
        <v>157</v>
      </c>
      <c r="N187" s="30" t="s">
        <v>81</v>
      </c>
      <c r="O187" s="30"/>
      <c r="P187" s="30" t="s">
        <v>156</v>
      </c>
      <c r="Q187" s="30" t="n">
        <v>16.3</v>
      </c>
    </row>
    <row r="188" customFormat="false" ht="15" hidden="false" customHeight="false" outlineLevel="0" collapsed="false">
      <c r="A188" s="30" t="s">
        <v>343</v>
      </c>
      <c r="B188" s="31" t="n">
        <v>46263</v>
      </c>
      <c r="C188" s="30" t="s">
        <v>96</v>
      </c>
      <c r="D188" s="30" t="s">
        <v>45</v>
      </c>
      <c r="E188" s="30" t="s">
        <v>57</v>
      </c>
      <c r="F188" s="30" t="n">
        <v>1</v>
      </c>
      <c r="G188" s="30" t="n">
        <v>0</v>
      </c>
      <c r="H188" s="30" t="s">
        <v>71</v>
      </c>
      <c r="I188" s="30" t="n">
        <v>20</v>
      </c>
      <c r="J188" s="30" t="s">
        <v>155</v>
      </c>
      <c r="K188" s="30" t="s">
        <v>156</v>
      </c>
      <c r="L188" s="30" t="n">
        <v>46</v>
      </c>
      <c r="M188" s="30" t="s">
        <v>156</v>
      </c>
      <c r="N188" s="30"/>
      <c r="O188" s="30" t="n">
        <v>4</v>
      </c>
      <c r="P188" s="30" t="s">
        <v>157</v>
      </c>
      <c r="Q188" s="30" t="n">
        <v>17.1</v>
      </c>
    </row>
    <row r="189" customFormat="false" ht="15" hidden="false" customHeight="false" outlineLevel="0" collapsed="false">
      <c r="A189" s="30" t="s">
        <v>344</v>
      </c>
      <c r="B189" s="31" t="n">
        <v>46263</v>
      </c>
      <c r="C189" s="30" t="s">
        <v>96</v>
      </c>
      <c r="D189" s="30" t="s">
        <v>45</v>
      </c>
      <c r="E189" s="30" t="s">
        <v>57</v>
      </c>
      <c r="F189" s="30" t="n">
        <v>2</v>
      </c>
      <c r="G189" s="30" t="n">
        <v>1</v>
      </c>
      <c r="H189" s="30" t="s">
        <v>71</v>
      </c>
      <c r="I189" s="30" t="n">
        <v>49</v>
      </c>
      <c r="J189" s="30" t="s">
        <v>164</v>
      </c>
      <c r="K189" s="30" t="s">
        <v>156</v>
      </c>
      <c r="L189" s="30" t="n">
        <v>22</v>
      </c>
      <c r="M189" s="30" t="s">
        <v>157</v>
      </c>
      <c r="N189" s="30"/>
      <c r="O189" s="30" t="n">
        <v>4</v>
      </c>
      <c r="P189" s="30" t="s">
        <v>157</v>
      </c>
      <c r="Q189" s="30" t="n">
        <v>14</v>
      </c>
    </row>
    <row r="190" customFormat="false" ht="15" hidden="false" customHeight="false" outlineLevel="0" collapsed="false">
      <c r="A190" s="30" t="s">
        <v>345</v>
      </c>
      <c r="B190" s="31" t="n">
        <v>46263</v>
      </c>
      <c r="C190" s="30" t="s">
        <v>97</v>
      </c>
      <c r="D190" s="30" t="s">
        <v>46</v>
      </c>
      <c r="E190" s="30" t="s">
        <v>56</v>
      </c>
      <c r="F190" s="30" t="n">
        <v>8</v>
      </c>
      <c r="G190" s="30" t="n">
        <v>2</v>
      </c>
      <c r="H190" s="30" t="s">
        <v>71</v>
      </c>
      <c r="I190" s="30" t="n">
        <v>36</v>
      </c>
      <c r="J190" s="30" t="s">
        <v>176</v>
      </c>
      <c r="K190" s="30" t="s">
        <v>156</v>
      </c>
      <c r="L190" s="30" t="n">
        <v>79</v>
      </c>
      <c r="M190" s="30" t="s">
        <v>157</v>
      </c>
      <c r="N190" s="30"/>
      <c r="O190" s="30" t="n">
        <v>3</v>
      </c>
      <c r="P190" s="30" t="s">
        <v>157</v>
      </c>
      <c r="Q190" s="30" t="n">
        <v>7.8</v>
      </c>
    </row>
    <row r="191" customFormat="false" ht="15" hidden="false" customHeight="false" outlineLevel="0" collapsed="false">
      <c r="A191" s="30" t="s">
        <v>346</v>
      </c>
      <c r="B191" s="31" t="n">
        <v>46263</v>
      </c>
      <c r="C191" s="30" t="s">
        <v>98</v>
      </c>
      <c r="D191" s="30" t="s">
        <v>46</v>
      </c>
      <c r="E191" s="30" t="s">
        <v>60</v>
      </c>
      <c r="F191" s="30" t="n">
        <v>2</v>
      </c>
      <c r="G191" s="30" t="n">
        <v>3</v>
      </c>
      <c r="H191" s="30" t="s">
        <v>71</v>
      </c>
      <c r="I191" s="30" t="n">
        <v>25</v>
      </c>
      <c r="J191" s="30" t="s">
        <v>164</v>
      </c>
      <c r="K191" s="30" t="s">
        <v>156</v>
      </c>
      <c r="L191" s="30" t="n">
        <v>49</v>
      </c>
      <c r="M191" s="30" t="s">
        <v>157</v>
      </c>
      <c r="N191" s="30"/>
      <c r="O191" s="30" t="n">
        <v>5</v>
      </c>
      <c r="P191" s="30" t="s">
        <v>156</v>
      </c>
      <c r="Q191" s="30" t="n">
        <v>8.4</v>
      </c>
    </row>
    <row r="192" customFormat="false" ht="15" hidden="false" customHeight="false" outlineLevel="0" collapsed="false">
      <c r="A192" s="30" t="s">
        <v>347</v>
      </c>
      <c r="B192" s="31" t="n">
        <v>46263</v>
      </c>
      <c r="C192" s="30" t="s">
        <v>97</v>
      </c>
      <c r="D192" s="30" t="s">
        <v>46</v>
      </c>
      <c r="E192" s="30" t="s">
        <v>58</v>
      </c>
      <c r="F192" s="30" t="n">
        <v>6</v>
      </c>
      <c r="G192" s="30" t="n">
        <v>2</v>
      </c>
      <c r="H192" s="30" t="s">
        <v>71</v>
      </c>
      <c r="I192" s="30" t="n">
        <v>42</v>
      </c>
      <c r="J192" s="30" t="s">
        <v>176</v>
      </c>
      <c r="K192" s="30" t="s">
        <v>156</v>
      </c>
      <c r="L192" s="30" t="n">
        <v>75</v>
      </c>
      <c r="M192" s="30" t="s">
        <v>156</v>
      </c>
      <c r="N192" s="30"/>
      <c r="O192" s="30" t="n">
        <v>4</v>
      </c>
      <c r="P192" s="30" t="s">
        <v>157</v>
      </c>
      <c r="Q192" s="30" t="n">
        <v>11.2</v>
      </c>
    </row>
    <row r="193" customFormat="false" ht="15" hidden="false" customHeight="false" outlineLevel="0" collapsed="false">
      <c r="A193" s="30" t="s">
        <v>348</v>
      </c>
      <c r="B193" s="31" t="n">
        <v>46264</v>
      </c>
      <c r="C193" s="30" t="s">
        <v>94</v>
      </c>
      <c r="D193" s="30" t="s">
        <v>44</v>
      </c>
      <c r="E193" s="30" t="s">
        <v>57</v>
      </c>
      <c r="F193" s="30" t="n">
        <v>1</v>
      </c>
      <c r="G193" s="30" t="n">
        <v>1</v>
      </c>
      <c r="H193" s="30" t="s">
        <v>70</v>
      </c>
      <c r="I193" s="30" t="n">
        <v>27</v>
      </c>
      <c r="J193" s="30" t="s">
        <v>176</v>
      </c>
      <c r="K193" s="30" t="s">
        <v>156</v>
      </c>
      <c r="L193" s="30" t="n">
        <v>68</v>
      </c>
      <c r="M193" s="30" t="s">
        <v>156</v>
      </c>
      <c r="N193" s="30"/>
      <c r="O193" s="30" t="n">
        <v>4</v>
      </c>
      <c r="P193" s="30" t="s">
        <v>157</v>
      </c>
      <c r="Q193" s="30" t="n">
        <v>15.5</v>
      </c>
    </row>
    <row r="194" customFormat="false" ht="15" hidden="false" customHeight="false" outlineLevel="0" collapsed="false">
      <c r="A194" s="30" t="s">
        <v>349</v>
      </c>
      <c r="B194" s="31" t="n">
        <v>46264</v>
      </c>
      <c r="C194" s="30" t="s">
        <v>94</v>
      </c>
      <c r="D194" s="30" t="s">
        <v>44</v>
      </c>
      <c r="E194" s="30" t="s">
        <v>56</v>
      </c>
      <c r="F194" s="30" t="n">
        <v>13</v>
      </c>
      <c r="G194" s="30" t="n">
        <v>0</v>
      </c>
      <c r="H194" s="30" t="s">
        <v>70</v>
      </c>
      <c r="I194" s="30" t="n">
        <v>33</v>
      </c>
      <c r="J194" s="30" t="s">
        <v>164</v>
      </c>
      <c r="K194" s="30" t="s">
        <v>156</v>
      </c>
      <c r="L194" s="30" t="n">
        <v>23</v>
      </c>
      <c r="M194" s="30" t="s">
        <v>156</v>
      </c>
      <c r="N194" s="30"/>
      <c r="O194" s="30" t="n">
        <v>4</v>
      </c>
      <c r="P194" s="30" t="s">
        <v>157</v>
      </c>
      <c r="Q194" s="30" t="n">
        <v>15.3</v>
      </c>
    </row>
    <row r="195" customFormat="false" ht="15" hidden="false" customHeight="false" outlineLevel="0" collapsed="false">
      <c r="A195" s="30" t="s">
        <v>350</v>
      </c>
      <c r="B195" s="31" t="n">
        <v>46264</v>
      </c>
      <c r="C195" s="30" t="s">
        <v>95</v>
      </c>
      <c r="D195" s="30" t="s">
        <v>44</v>
      </c>
      <c r="E195" s="30" t="s">
        <v>56</v>
      </c>
      <c r="F195" s="30" t="n">
        <v>11</v>
      </c>
      <c r="G195" s="30" t="n">
        <v>1</v>
      </c>
      <c r="H195" s="30" t="s">
        <v>71</v>
      </c>
      <c r="I195" s="30" t="n">
        <v>38</v>
      </c>
      <c r="J195" s="30" t="s">
        <v>164</v>
      </c>
      <c r="K195" s="30" t="s">
        <v>156</v>
      </c>
      <c r="L195" s="30" t="n">
        <v>23</v>
      </c>
      <c r="M195" s="30" t="s">
        <v>157</v>
      </c>
      <c r="N195" s="30"/>
      <c r="O195" s="30" t="n">
        <v>3</v>
      </c>
      <c r="P195" s="30" t="s">
        <v>157</v>
      </c>
      <c r="Q195" s="30" t="n">
        <v>12.6</v>
      </c>
    </row>
    <row r="196" customFormat="false" ht="15" hidden="false" customHeight="false" outlineLevel="0" collapsed="false">
      <c r="A196" s="30" t="s">
        <v>351</v>
      </c>
      <c r="B196" s="31" t="n">
        <v>46264</v>
      </c>
      <c r="C196" s="30" t="s">
        <v>96</v>
      </c>
      <c r="D196" s="30" t="s">
        <v>45</v>
      </c>
      <c r="E196" s="30" t="s">
        <v>59</v>
      </c>
      <c r="F196" s="30" t="n">
        <v>3</v>
      </c>
      <c r="G196" s="30" t="n">
        <v>0</v>
      </c>
      <c r="H196" s="30" t="s">
        <v>71</v>
      </c>
      <c r="I196" s="30" t="n">
        <v>31</v>
      </c>
      <c r="J196" s="30" t="s">
        <v>155</v>
      </c>
      <c r="K196" s="30" t="s">
        <v>156</v>
      </c>
      <c r="L196" s="30" t="n">
        <v>32</v>
      </c>
      <c r="M196" s="30" t="s">
        <v>157</v>
      </c>
      <c r="N196" s="30"/>
      <c r="O196" s="30" t="n">
        <v>4</v>
      </c>
      <c r="P196" s="30" t="s">
        <v>156</v>
      </c>
      <c r="Q196" s="30" t="n">
        <v>17</v>
      </c>
    </row>
    <row r="197" customFormat="false" ht="15" hidden="false" customHeight="false" outlineLevel="0" collapsed="false">
      <c r="A197" s="30" t="s">
        <v>352</v>
      </c>
      <c r="B197" s="31" t="n">
        <v>46264</v>
      </c>
      <c r="C197" s="30" t="s">
        <v>96</v>
      </c>
      <c r="D197" s="30" t="s">
        <v>45</v>
      </c>
      <c r="E197" s="30" t="s">
        <v>58</v>
      </c>
      <c r="F197" s="30" t="n">
        <v>6</v>
      </c>
      <c r="G197" s="30" t="n">
        <v>2</v>
      </c>
      <c r="H197" s="30" t="s">
        <v>70</v>
      </c>
      <c r="I197" s="30" t="n">
        <v>37</v>
      </c>
      <c r="J197" s="30" t="s">
        <v>176</v>
      </c>
      <c r="K197" s="30" t="s">
        <v>157</v>
      </c>
      <c r="L197" s="30"/>
      <c r="M197" s="30" t="s">
        <v>157</v>
      </c>
      <c r="N197" s="30" t="s">
        <v>79</v>
      </c>
      <c r="O197" s="30"/>
      <c r="P197" s="30" t="s">
        <v>156</v>
      </c>
      <c r="Q197" s="30" t="n">
        <v>10.5</v>
      </c>
    </row>
    <row r="198" customFormat="false" ht="15" hidden="false" customHeight="false" outlineLevel="0" collapsed="false">
      <c r="A198" s="30" t="s">
        <v>353</v>
      </c>
      <c r="B198" s="31" t="n">
        <v>46264</v>
      </c>
      <c r="C198" s="30" t="s">
        <v>96</v>
      </c>
      <c r="D198" s="30" t="s">
        <v>45</v>
      </c>
      <c r="E198" s="30" t="s">
        <v>57</v>
      </c>
      <c r="F198" s="30" t="n">
        <v>0</v>
      </c>
      <c r="G198" s="30" t="n">
        <v>2</v>
      </c>
      <c r="H198" s="30" t="s">
        <v>70</v>
      </c>
      <c r="I198" s="30" t="n">
        <v>31</v>
      </c>
      <c r="J198" s="30" t="s">
        <v>159</v>
      </c>
      <c r="K198" s="30" t="s">
        <v>156</v>
      </c>
      <c r="L198" s="30" t="n">
        <v>17</v>
      </c>
      <c r="M198" s="30" t="s">
        <v>157</v>
      </c>
      <c r="N198" s="30"/>
      <c r="O198" s="30" t="n">
        <v>5</v>
      </c>
      <c r="P198" s="30" t="s">
        <v>156</v>
      </c>
      <c r="Q198" s="30" t="n">
        <v>13.9</v>
      </c>
    </row>
    <row r="199" customFormat="false" ht="15" hidden="false" customHeight="false" outlineLevel="0" collapsed="false">
      <c r="A199" s="30" t="s">
        <v>354</v>
      </c>
      <c r="B199" s="31" t="n">
        <v>46264</v>
      </c>
      <c r="C199" s="30" t="s">
        <v>96</v>
      </c>
      <c r="D199" s="30" t="s">
        <v>45</v>
      </c>
      <c r="E199" s="30" t="s">
        <v>60</v>
      </c>
      <c r="F199" s="30" t="n">
        <v>5</v>
      </c>
      <c r="G199" s="30" t="n">
        <v>0</v>
      </c>
      <c r="H199" s="30" t="s">
        <v>71</v>
      </c>
      <c r="I199" s="30" t="n">
        <v>27</v>
      </c>
      <c r="J199" s="30" t="s">
        <v>155</v>
      </c>
      <c r="K199" s="30" t="s">
        <v>157</v>
      </c>
      <c r="L199" s="30"/>
      <c r="M199" s="30" t="s">
        <v>157</v>
      </c>
      <c r="N199" s="30" t="s">
        <v>77</v>
      </c>
      <c r="O199" s="30"/>
      <c r="P199" s="30" t="s">
        <v>157</v>
      </c>
      <c r="Q199" s="30" t="n">
        <v>8.1</v>
      </c>
    </row>
    <row r="200" customFormat="false" ht="15" hidden="false" customHeight="false" outlineLevel="0" collapsed="false">
      <c r="A200" s="30" t="s">
        <v>355</v>
      </c>
      <c r="B200" s="31" t="n">
        <v>46264</v>
      </c>
      <c r="C200" s="30" t="s">
        <v>96</v>
      </c>
      <c r="D200" s="30" t="s">
        <v>45</v>
      </c>
      <c r="E200" s="30" t="s">
        <v>61</v>
      </c>
      <c r="F200" s="30" t="n">
        <v>5</v>
      </c>
      <c r="G200" s="30" t="n">
        <v>1</v>
      </c>
      <c r="H200" s="30" t="s">
        <v>71</v>
      </c>
      <c r="I200" s="30" t="n">
        <v>45</v>
      </c>
      <c r="J200" s="30" t="s">
        <v>155</v>
      </c>
      <c r="K200" s="30" t="s">
        <v>156</v>
      </c>
      <c r="L200" s="30" t="n">
        <v>25</v>
      </c>
      <c r="M200" s="30" t="s">
        <v>157</v>
      </c>
      <c r="N200" s="30"/>
      <c r="O200" s="30" t="n">
        <v>2</v>
      </c>
      <c r="P200" s="30" t="s">
        <v>156</v>
      </c>
      <c r="Q200" s="30" t="n">
        <v>13.5</v>
      </c>
    </row>
    <row r="201" customFormat="false" ht="15" hidden="false" customHeight="false" outlineLevel="0" collapsed="false">
      <c r="A201" s="30" t="s">
        <v>356</v>
      </c>
      <c r="B201" s="31" t="n">
        <v>46264</v>
      </c>
      <c r="C201" s="30" t="s">
        <v>96</v>
      </c>
      <c r="D201" s="30" t="s">
        <v>45</v>
      </c>
      <c r="E201" s="30" t="s">
        <v>58</v>
      </c>
      <c r="F201" s="30" t="n">
        <v>8</v>
      </c>
      <c r="G201" s="30" t="n">
        <v>0</v>
      </c>
      <c r="H201" s="30" t="s">
        <v>71</v>
      </c>
      <c r="I201" s="30" t="n">
        <v>31</v>
      </c>
      <c r="J201" s="30" t="s">
        <v>176</v>
      </c>
      <c r="K201" s="30" t="s">
        <v>157</v>
      </c>
      <c r="L201" s="30"/>
      <c r="M201" s="30" t="s">
        <v>157</v>
      </c>
      <c r="N201" s="30" t="s">
        <v>77</v>
      </c>
      <c r="O201" s="30"/>
      <c r="P201" s="30" t="s">
        <v>157</v>
      </c>
      <c r="Q201" s="30" t="n">
        <v>10.4</v>
      </c>
    </row>
    <row r="202" customFormat="false" ht="15" hidden="false" customHeight="false" outlineLevel="0" collapsed="false">
      <c r="A202" s="30" t="s">
        <v>357</v>
      </c>
      <c r="B202" s="31" t="n">
        <v>46264</v>
      </c>
      <c r="C202" s="30" t="s">
        <v>96</v>
      </c>
      <c r="D202" s="30" t="s">
        <v>45</v>
      </c>
      <c r="E202" s="30" t="s">
        <v>56</v>
      </c>
      <c r="F202" s="30" t="n">
        <v>3</v>
      </c>
      <c r="G202" s="30" t="n">
        <v>3</v>
      </c>
      <c r="H202" s="30" t="s">
        <v>70</v>
      </c>
      <c r="I202" s="30" t="n">
        <v>25</v>
      </c>
      <c r="J202" s="30" t="s">
        <v>155</v>
      </c>
      <c r="K202" s="30" t="s">
        <v>156</v>
      </c>
      <c r="L202" s="30" t="n">
        <v>54</v>
      </c>
      <c r="M202" s="30" t="s">
        <v>157</v>
      </c>
      <c r="N202" s="30"/>
      <c r="O202" s="30" t="n">
        <v>4</v>
      </c>
      <c r="P202" s="30" t="s">
        <v>156</v>
      </c>
      <c r="Q202" s="30" t="n">
        <v>13.1</v>
      </c>
    </row>
    <row r="203" customFormat="false" ht="15" hidden="false" customHeight="false" outlineLevel="0" collapsed="false">
      <c r="A203" s="30" t="s">
        <v>358</v>
      </c>
      <c r="B203" s="31" t="n">
        <v>46264</v>
      </c>
      <c r="C203" s="30" t="s">
        <v>98</v>
      </c>
      <c r="D203" s="30"/>
      <c r="E203" s="30" t="s">
        <v>61</v>
      </c>
      <c r="F203" s="30" t="n">
        <v>3</v>
      </c>
      <c r="G203" s="30" t="n">
        <v>1</v>
      </c>
      <c r="H203" s="30" t="s">
        <v>70</v>
      </c>
      <c r="I203" s="30" t="n">
        <v>38</v>
      </c>
      <c r="J203" s="30" t="s">
        <v>176</v>
      </c>
      <c r="K203" s="30" t="s">
        <v>156</v>
      </c>
      <c r="L203" s="30" t="n">
        <v>18</v>
      </c>
      <c r="M203" s="30" t="s">
        <v>157</v>
      </c>
      <c r="N203" s="30"/>
      <c r="O203" s="30" t="n">
        <v>4</v>
      </c>
      <c r="P203" s="30" t="s">
        <v>157</v>
      </c>
      <c r="Q203" s="30" t="n">
        <v>11.8</v>
      </c>
    </row>
    <row r="204" customFormat="false" ht="15" hidden="false" customHeight="false" outlineLevel="0" collapsed="false">
      <c r="A204" s="30" t="s">
        <v>359</v>
      </c>
      <c r="B204" s="31" t="n">
        <v>46264</v>
      </c>
      <c r="C204" s="30" t="s">
        <v>97</v>
      </c>
      <c r="D204" s="30" t="s">
        <v>46</v>
      </c>
      <c r="E204" s="30" t="s">
        <v>60</v>
      </c>
      <c r="F204" s="30" t="n">
        <v>5</v>
      </c>
      <c r="G204" s="30" t="n">
        <v>0</v>
      </c>
      <c r="H204" s="30" t="s">
        <v>70</v>
      </c>
      <c r="I204" s="30" t="n">
        <v>35</v>
      </c>
      <c r="J204" s="30" t="s">
        <v>155</v>
      </c>
      <c r="K204" s="30" t="s">
        <v>156</v>
      </c>
      <c r="L204" s="30" t="n">
        <v>26</v>
      </c>
      <c r="M204" s="30" t="s">
        <v>157</v>
      </c>
      <c r="N204" s="30"/>
      <c r="O204" s="30" t="n">
        <v>5</v>
      </c>
      <c r="P204" s="30" t="s">
        <v>156</v>
      </c>
      <c r="Q204" s="30" t="n">
        <v>9.5</v>
      </c>
    </row>
    <row r="205" customFormat="false" ht="15" hidden="false" customHeight="false" outlineLevel="0" collapsed="false">
      <c r="A205" s="30" t="s">
        <v>360</v>
      </c>
      <c r="B205" s="31" t="n">
        <v>46264</v>
      </c>
      <c r="C205" s="30" t="s">
        <v>98</v>
      </c>
      <c r="D205" s="30" t="s">
        <v>46</v>
      </c>
      <c r="E205" s="30" t="s">
        <v>57</v>
      </c>
      <c r="F205" s="30" t="n">
        <v>2</v>
      </c>
      <c r="G205" s="30" t="n">
        <v>7</v>
      </c>
      <c r="H205" s="30" t="s">
        <v>70</v>
      </c>
      <c r="I205" s="30" t="n">
        <v>49</v>
      </c>
      <c r="J205" s="30" t="s">
        <v>155</v>
      </c>
      <c r="K205" s="30" t="s">
        <v>156</v>
      </c>
      <c r="L205" s="30" t="n">
        <v>23</v>
      </c>
      <c r="M205" s="30" t="s">
        <v>156</v>
      </c>
      <c r="N205" s="30"/>
      <c r="O205" s="30" t="n">
        <v>4</v>
      </c>
      <c r="P205" s="30" t="s">
        <v>157</v>
      </c>
      <c r="Q205" s="30" t="n">
        <v>6.7</v>
      </c>
    </row>
    <row r="206" customFormat="false" ht="15" hidden="false" customHeight="false" outlineLevel="0" collapsed="false">
      <c r="A206" s="30" t="s">
        <v>361</v>
      </c>
      <c r="B206" s="31" t="n">
        <v>46264</v>
      </c>
      <c r="C206" s="30" t="s">
        <v>98</v>
      </c>
      <c r="D206" s="30" t="s">
        <v>46</v>
      </c>
      <c r="E206" s="30" t="s">
        <v>56</v>
      </c>
      <c r="F206" s="30" t="n">
        <v>14</v>
      </c>
      <c r="G206" s="30" t="n">
        <v>2</v>
      </c>
      <c r="H206" s="30" t="s">
        <v>70</v>
      </c>
      <c r="I206" s="30" t="n">
        <v>49</v>
      </c>
      <c r="J206" s="30" t="s">
        <v>176</v>
      </c>
      <c r="K206" s="30" t="s">
        <v>156</v>
      </c>
      <c r="L206" s="30" t="n">
        <v>6</v>
      </c>
      <c r="M206" s="30" t="s">
        <v>156</v>
      </c>
      <c r="N206" s="30"/>
      <c r="O206" s="30" t="n">
        <v>3</v>
      </c>
      <c r="P206" s="30" t="s">
        <v>157</v>
      </c>
      <c r="Q206" s="30" t="n">
        <v>8.1</v>
      </c>
    </row>
    <row r="207" customFormat="false" ht="15" hidden="false" customHeight="false" outlineLevel="0" collapsed="false">
      <c r="A207" s="30" t="s">
        <v>362</v>
      </c>
      <c r="B207" s="31" t="n">
        <v>46264</v>
      </c>
      <c r="C207" s="30" t="s">
        <v>99</v>
      </c>
      <c r="D207" s="30" t="s">
        <v>47</v>
      </c>
      <c r="E207" s="30" t="s">
        <v>59</v>
      </c>
      <c r="F207" s="30" t="n">
        <v>3</v>
      </c>
      <c r="G207" s="30" t="n">
        <v>1</v>
      </c>
      <c r="H207" s="30" t="s">
        <v>71</v>
      </c>
      <c r="I207" s="30" t="n">
        <v>49</v>
      </c>
      <c r="J207" s="30" t="s">
        <v>155</v>
      </c>
      <c r="K207" s="30" t="s">
        <v>156</v>
      </c>
      <c r="L207" s="30" t="n">
        <v>38</v>
      </c>
      <c r="M207" s="30" t="s">
        <v>156</v>
      </c>
      <c r="N207" s="30"/>
      <c r="O207" s="30" t="n">
        <v>4</v>
      </c>
      <c r="P207" s="30" t="s">
        <v>157</v>
      </c>
      <c r="Q207" s="30" t="n">
        <v>19</v>
      </c>
    </row>
    <row r="208" customFormat="false" ht="15" hidden="false" customHeight="false" outlineLevel="0" collapsed="false">
      <c r="A208" s="30" t="s">
        <v>363</v>
      </c>
      <c r="B208" s="31" t="n">
        <v>46264</v>
      </c>
      <c r="C208" s="30" t="s">
        <v>100</v>
      </c>
      <c r="D208" s="30" t="s">
        <v>47</v>
      </c>
      <c r="E208" s="30" t="s">
        <v>56</v>
      </c>
      <c r="F208" s="30" t="n">
        <v>0</v>
      </c>
      <c r="G208" s="30" t="n">
        <v>2</v>
      </c>
      <c r="H208" s="30" t="s">
        <v>70</v>
      </c>
      <c r="I208" s="30" t="n">
        <v>44</v>
      </c>
      <c r="J208" s="30" t="s">
        <v>176</v>
      </c>
      <c r="K208" s="30" t="s">
        <v>156</v>
      </c>
      <c r="L208" s="30" t="n">
        <v>32</v>
      </c>
      <c r="M208" s="30" t="s">
        <v>157</v>
      </c>
      <c r="N208" s="30"/>
      <c r="O208" s="30" t="n">
        <v>5</v>
      </c>
      <c r="P208" s="30" t="s">
        <v>157</v>
      </c>
      <c r="Q208" s="30" t="n">
        <v>16.6</v>
      </c>
    </row>
    <row r="209" customFormat="false" ht="15" hidden="false" customHeight="false" outlineLevel="0" collapsed="false">
      <c r="A209" s="30" t="s">
        <v>364</v>
      </c>
      <c r="B209" s="31" t="n">
        <v>46264</v>
      </c>
      <c r="C209" s="30" t="s">
        <v>99</v>
      </c>
      <c r="D209" s="30" t="s">
        <v>47</v>
      </c>
      <c r="E209" s="30" t="s">
        <v>60</v>
      </c>
      <c r="F209" s="30" t="n">
        <v>0</v>
      </c>
      <c r="G209" s="30" t="n">
        <v>2</v>
      </c>
      <c r="H209" s="30" t="s">
        <v>71</v>
      </c>
      <c r="I209" s="30" t="n">
        <v>32</v>
      </c>
      <c r="J209" s="30" t="s">
        <v>176</v>
      </c>
      <c r="K209" s="30" t="s">
        <v>156</v>
      </c>
      <c r="L209" s="30" t="n">
        <v>46</v>
      </c>
      <c r="M209" s="30" t="s">
        <v>156</v>
      </c>
      <c r="N209" s="30"/>
      <c r="O209" s="30" t="n">
        <v>4</v>
      </c>
      <c r="P209" s="30" t="s">
        <v>156</v>
      </c>
      <c r="Q209" s="30" t="n">
        <v>14.2</v>
      </c>
    </row>
    <row r="210" customFormat="false" ht="15" hidden="false" customHeight="false" outlineLevel="0" collapsed="false">
      <c r="A210" s="30" t="s">
        <v>365</v>
      </c>
      <c r="B210" s="31" t="n">
        <v>46264</v>
      </c>
      <c r="C210" s="30" t="s">
        <v>100</v>
      </c>
      <c r="D210" s="30" t="s">
        <v>47</v>
      </c>
      <c r="E210" s="30" t="s">
        <v>59</v>
      </c>
      <c r="F210" s="30" t="n">
        <v>3</v>
      </c>
      <c r="G210" s="30" t="n">
        <v>3</v>
      </c>
      <c r="H210" s="30" t="s">
        <v>71</v>
      </c>
      <c r="I210" s="30" t="n">
        <v>24</v>
      </c>
      <c r="J210" s="30" t="s">
        <v>176</v>
      </c>
      <c r="K210" s="30" t="s">
        <v>156</v>
      </c>
      <c r="L210" s="30" t="n">
        <v>60</v>
      </c>
      <c r="M210" s="30" t="s">
        <v>156</v>
      </c>
      <c r="N210" s="30"/>
      <c r="O210" s="30" t="n">
        <v>5</v>
      </c>
      <c r="P210" s="30" t="s">
        <v>156</v>
      </c>
      <c r="Q210" s="30" t="n">
        <v>15.2</v>
      </c>
    </row>
    <row r="211" customFormat="false" ht="15" hidden="false" customHeight="false" outlineLevel="0" collapsed="false">
      <c r="A211" s="30" t="s">
        <v>366</v>
      </c>
      <c r="B211" s="31" t="n">
        <v>46264</v>
      </c>
      <c r="C211" s="30" t="s">
        <v>99</v>
      </c>
      <c r="D211" s="30" t="s">
        <v>47</v>
      </c>
      <c r="E211" s="30" t="s">
        <v>56</v>
      </c>
      <c r="F211" s="30" t="n">
        <v>3</v>
      </c>
      <c r="G211" s="30" t="n">
        <v>0</v>
      </c>
      <c r="H211" s="30" t="s">
        <v>71</v>
      </c>
      <c r="I211" s="30" t="n">
        <v>22</v>
      </c>
      <c r="J211" s="30" t="s">
        <v>159</v>
      </c>
      <c r="K211" s="30" t="s">
        <v>157</v>
      </c>
      <c r="L211" s="30"/>
      <c r="M211" s="30" t="s">
        <v>157</v>
      </c>
      <c r="N211" s="30" t="s">
        <v>79</v>
      </c>
      <c r="O211" s="30"/>
      <c r="P211" s="30" t="s">
        <v>156</v>
      </c>
      <c r="Q211" s="30" t="n">
        <v>17.2</v>
      </c>
    </row>
    <row r="212" customFormat="false" ht="15" hidden="false" customHeight="false" outlineLevel="0" collapsed="false">
      <c r="A212" s="30" t="s">
        <v>367</v>
      </c>
      <c r="B212" s="31" t="n">
        <v>46265</v>
      </c>
      <c r="C212" s="30" t="s">
        <v>95</v>
      </c>
      <c r="D212" s="30" t="s">
        <v>44</v>
      </c>
      <c r="E212" s="30" t="s">
        <v>62</v>
      </c>
      <c r="F212" s="30" t="n">
        <v>3</v>
      </c>
      <c r="G212" s="30" t="n">
        <v>2</v>
      </c>
      <c r="H212" s="30" t="s">
        <v>70</v>
      </c>
      <c r="I212" s="30" t="n">
        <v>42</v>
      </c>
      <c r="J212" s="30" t="s">
        <v>155</v>
      </c>
      <c r="K212" s="30" t="s">
        <v>156</v>
      </c>
      <c r="L212" s="30" t="n">
        <v>58</v>
      </c>
      <c r="M212" s="30" t="s">
        <v>156</v>
      </c>
      <c r="N212" s="30"/>
      <c r="O212" s="30" t="n">
        <v>5</v>
      </c>
      <c r="P212" s="30" t="s">
        <v>157</v>
      </c>
      <c r="Q212" s="30" t="n">
        <v>12.5</v>
      </c>
    </row>
    <row r="213" customFormat="false" ht="15" hidden="false" customHeight="false" outlineLevel="0" collapsed="false">
      <c r="A213" s="30" t="s">
        <v>368</v>
      </c>
      <c r="B213" s="31" t="n">
        <v>46265</v>
      </c>
      <c r="C213" s="30" t="s">
        <v>95</v>
      </c>
      <c r="D213" s="30" t="s">
        <v>44</v>
      </c>
      <c r="E213" s="30" t="s">
        <v>62</v>
      </c>
      <c r="F213" s="30" t="n">
        <v>3</v>
      </c>
      <c r="G213" s="30" t="n">
        <v>2</v>
      </c>
      <c r="H213" s="30" t="s">
        <v>70</v>
      </c>
      <c r="I213" s="30" t="n">
        <v>37</v>
      </c>
      <c r="J213" s="30" t="s">
        <v>159</v>
      </c>
      <c r="K213" s="30" t="s">
        <v>156</v>
      </c>
      <c r="L213" s="30" t="n">
        <v>83</v>
      </c>
      <c r="M213" s="30" t="s">
        <v>157</v>
      </c>
      <c r="N213" s="30"/>
      <c r="O213" s="30" t="n">
        <v>3</v>
      </c>
      <c r="P213" s="30" t="s">
        <v>156</v>
      </c>
      <c r="Q213" s="30" t="n">
        <v>15.3</v>
      </c>
    </row>
    <row r="214" customFormat="false" ht="15" hidden="false" customHeight="false" outlineLevel="0" collapsed="false">
      <c r="A214" s="30" t="s">
        <v>369</v>
      </c>
      <c r="B214" s="31" t="n">
        <v>46265</v>
      </c>
      <c r="C214" s="30" t="s">
        <v>94</v>
      </c>
      <c r="D214" s="30" t="s">
        <v>44</v>
      </c>
      <c r="E214" s="30" t="s">
        <v>61</v>
      </c>
      <c r="F214" s="30" t="n">
        <v>12</v>
      </c>
      <c r="G214" s="30" t="n">
        <v>2</v>
      </c>
      <c r="H214" s="30" t="s">
        <v>70</v>
      </c>
      <c r="I214" s="30" t="n">
        <v>45</v>
      </c>
      <c r="J214" s="30" t="s">
        <v>159</v>
      </c>
      <c r="K214" s="30" t="s">
        <v>156</v>
      </c>
      <c r="L214" s="30" t="n">
        <v>37</v>
      </c>
      <c r="M214" s="30" t="s">
        <v>156</v>
      </c>
      <c r="N214" s="30"/>
      <c r="O214" s="30" t="n">
        <v>4</v>
      </c>
      <c r="P214" s="30" t="s">
        <v>156</v>
      </c>
      <c r="Q214" s="30" t="n">
        <v>13.9</v>
      </c>
    </row>
    <row r="215" customFormat="false" ht="15" hidden="false" customHeight="false" outlineLevel="0" collapsed="false">
      <c r="A215" s="30" t="s">
        <v>370</v>
      </c>
      <c r="B215" s="31" t="n">
        <v>46265</v>
      </c>
      <c r="C215" s="30" t="s">
        <v>94</v>
      </c>
      <c r="D215" s="30" t="s">
        <v>44</v>
      </c>
      <c r="E215" s="30" t="s">
        <v>60</v>
      </c>
      <c r="F215" s="30" t="n">
        <v>12</v>
      </c>
      <c r="G215" s="30" t="n">
        <v>1</v>
      </c>
      <c r="H215" s="30" t="s">
        <v>71</v>
      </c>
      <c r="I215" s="30" t="n">
        <v>33</v>
      </c>
      <c r="J215" s="30" t="s">
        <v>159</v>
      </c>
      <c r="K215" s="30" t="s">
        <v>156</v>
      </c>
      <c r="L215" s="30" t="n">
        <v>69</v>
      </c>
      <c r="M215" s="30" t="s">
        <v>156</v>
      </c>
      <c r="N215" s="30"/>
      <c r="O215" s="30" t="n">
        <v>3</v>
      </c>
      <c r="P215" s="30" t="s">
        <v>157</v>
      </c>
      <c r="Q215" s="30" t="n">
        <v>13.6</v>
      </c>
    </row>
    <row r="216" customFormat="false" ht="15" hidden="false" customHeight="false" outlineLevel="0" collapsed="false">
      <c r="A216" s="30" t="s">
        <v>371</v>
      </c>
      <c r="B216" s="31" t="n">
        <v>46265</v>
      </c>
      <c r="C216" s="30" t="s">
        <v>96</v>
      </c>
      <c r="D216" s="30" t="s">
        <v>45</v>
      </c>
      <c r="E216" s="30" t="s">
        <v>61</v>
      </c>
      <c r="F216" s="30" t="n">
        <v>3</v>
      </c>
      <c r="G216" s="30" t="n">
        <v>1</v>
      </c>
      <c r="H216" s="30" t="s">
        <v>70</v>
      </c>
      <c r="I216" s="30" t="n">
        <v>26</v>
      </c>
      <c r="J216" s="30" t="s">
        <v>155</v>
      </c>
      <c r="K216" s="30" t="s">
        <v>156</v>
      </c>
      <c r="L216" s="30" t="n">
        <v>46</v>
      </c>
      <c r="M216" s="30" t="s">
        <v>157</v>
      </c>
      <c r="N216" s="30"/>
      <c r="O216" s="30" t="n">
        <v>3</v>
      </c>
      <c r="P216" s="30" t="s">
        <v>157</v>
      </c>
      <c r="Q216" s="30" t="n">
        <v>11.4</v>
      </c>
    </row>
    <row r="217" customFormat="false" ht="15" hidden="false" customHeight="false" outlineLevel="0" collapsed="false">
      <c r="A217" s="30" t="s">
        <v>372</v>
      </c>
      <c r="B217" s="31" t="n">
        <v>46265</v>
      </c>
      <c r="C217" s="30" t="s">
        <v>99</v>
      </c>
      <c r="D217" s="30" t="s">
        <v>47</v>
      </c>
      <c r="E217" s="30" t="s">
        <v>58</v>
      </c>
      <c r="F217" s="30" t="n">
        <v>1</v>
      </c>
      <c r="G217" s="30" t="n">
        <v>5</v>
      </c>
      <c r="H217" s="30" t="s">
        <v>71</v>
      </c>
      <c r="I217" s="30" t="n">
        <v>34</v>
      </c>
      <c r="J217" s="30" t="s">
        <v>176</v>
      </c>
      <c r="K217" s="30" t="s">
        <v>156</v>
      </c>
      <c r="L217" s="30" t="n">
        <v>44</v>
      </c>
      <c r="M217" s="30" t="s">
        <v>156</v>
      </c>
      <c r="N217" s="30"/>
      <c r="O217" s="30" t="n">
        <v>5</v>
      </c>
      <c r="P217" s="30" t="s">
        <v>157</v>
      </c>
      <c r="Q217" s="30" t="n">
        <v>13.5</v>
      </c>
    </row>
    <row r="218" customFormat="false" ht="15" hidden="false" customHeight="false" outlineLevel="0" collapsed="false">
      <c r="A218" s="30" t="s">
        <v>373</v>
      </c>
      <c r="B218" s="31" t="n">
        <v>46265</v>
      </c>
      <c r="C218" s="30" t="s">
        <v>99</v>
      </c>
      <c r="D218" s="30" t="s">
        <v>47</v>
      </c>
      <c r="E218" s="30" t="s">
        <v>59</v>
      </c>
      <c r="F218" s="30" t="n">
        <v>10</v>
      </c>
      <c r="G218" s="30" t="n">
        <v>1</v>
      </c>
      <c r="H218" s="30" t="s">
        <v>70</v>
      </c>
      <c r="I218" s="30" t="n">
        <v>47</v>
      </c>
      <c r="J218" s="30" t="s">
        <v>155</v>
      </c>
      <c r="K218" s="30" t="s">
        <v>156</v>
      </c>
      <c r="L218" s="30" t="n">
        <v>5</v>
      </c>
      <c r="M218" s="30" t="s">
        <v>157</v>
      </c>
      <c r="N218" s="30"/>
      <c r="O218" s="30" t="n">
        <v>5</v>
      </c>
      <c r="P218" s="30" t="s">
        <v>157</v>
      </c>
      <c r="Q218" s="30" t="n">
        <v>14.2</v>
      </c>
    </row>
    <row r="219" customFormat="false" ht="15" hidden="false" customHeight="false" outlineLevel="0" collapsed="false">
      <c r="A219" s="30" t="s">
        <v>374</v>
      </c>
      <c r="B219" s="31" t="n">
        <v>46266</v>
      </c>
      <c r="C219" s="30" t="s">
        <v>94</v>
      </c>
      <c r="D219" s="30" t="s">
        <v>44</v>
      </c>
      <c r="E219" s="30" t="s">
        <v>60</v>
      </c>
      <c r="F219" s="30" t="n">
        <v>0</v>
      </c>
      <c r="G219" s="30" t="n">
        <v>0</v>
      </c>
      <c r="H219" s="30" t="s">
        <v>70</v>
      </c>
      <c r="I219" s="30" t="n">
        <v>39</v>
      </c>
      <c r="J219" s="30" t="s">
        <v>155</v>
      </c>
      <c r="K219" s="30" t="s">
        <v>157</v>
      </c>
      <c r="L219" s="30"/>
      <c r="M219" s="30" t="s">
        <v>157</v>
      </c>
      <c r="N219" s="30" t="s">
        <v>79</v>
      </c>
      <c r="O219" s="30"/>
      <c r="P219" s="30" t="s">
        <v>156</v>
      </c>
      <c r="Q219" s="30" t="n">
        <v>10.3</v>
      </c>
    </row>
    <row r="220" customFormat="false" ht="15" hidden="false" customHeight="false" outlineLevel="0" collapsed="false">
      <c r="A220" s="30" t="s">
        <v>375</v>
      </c>
      <c r="B220" s="31" t="n">
        <v>46266</v>
      </c>
      <c r="C220" s="30" t="s">
        <v>94</v>
      </c>
      <c r="D220" s="30" t="s">
        <v>44</v>
      </c>
      <c r="E220" s="30" t="s">
        <v>56</v>
      </c>
      <c r="F220" s="30" t="n">
        <v>3</v>
      </c>
      <c r="G220" s="30" t="n">
        <v>3</v>
      </c>
      <c r="H220" s="30" t="s">
        <v>70</v>
      </c>
      <c r="I220" s="30" t="n">
        <v>26</v>
      </c>
      <c r="J220" s="30" t="s">
        <v>159</v>
      </c>
      <c r="K220" s="30" t="s">
        <v>156</v>
      </c>
      <c r="L220" s="30" t="n">
        <v>45</v>
      </c>
      <c r="M220" s="30" t="s">
        <v>157</v>
      </c>
      <c r="N220" s="30"/>
      <c r="O220" s="30" t="n">
        <v>3</v>
      </c>
      <c r="P220" s="30" t="s">
        <v>157</v>
      </c>
      <c r="Q220" s="30" t="n">
        <v>10.4</v>
      </c>
    </row>
    <row r="221" customFormat="false" ht="15" hidden="false" customHeight="false" outlineLevel="0" collapsed="false">
      <c r="A221" s="30" t="s">
        <v>376</v>
      </c>
      <c r="B221" s="31" t="n">
        <v>46266</v>
      </c>
      <c r="C221" s="30" t="s">
        <v>95</v>
      </c>
      <c r="D221" s="30" t="s">
        <v>44</v>
      </c>
      <c r="E221" s="30" t="s">
        <v>58</v>
      </c>
      <c r="F221" s="30" t="n">
        <v>0</v>
      </c>
      <c r="G221" s="30" t="n">
        <v>0</v>
      </c>
      <c r="H221" s="30" t="s">
        <v>71</v>
      </c>
      <c r="I221" s="30" t="n">
        <v>19</v>
      </c>
      <c r="J221" s="30" t="s">
        <v>155</v>
      </c>
      <c r="K221" s="30" t="s">
        <v>157</v>
      </c>
      <c r="L221" s="30"/>
      <c r="M221" s="30" t="s">
        <v>157</v>
      </c>
      <c r="N221" s="30" t="s">
        <v>81</v>
      </c>
      <c r="O221" s="30"/>
      <c r="P221" s="30" t="s">
        <v>157</v>
      </c>
      <c r="Q221" s="30" t="n">
        <v>8.6</v>
      </c>
    </row>
    <row r="222" customFormat="false" ht="15" hidden="false" customHeight="false" outlineLevel="0" collapsed="false">
      <c r="A222" s="30" t="s">
        <v>377</v>
      </c>
      <c r="B222" s="31" t="n">
        <v>46266</v>
      </c>
      <c r="C222" s="30" t="s">
        <v>94</v>
      </c>
      <c r="D222" s="30" t="s">
        <v>44</v>
      </c>
      <c r="E222" s="30" t="s">
        <v>57</v>
      </c>
      <c r="F222" s="30" t="n">
        <v>2</v>
      </c>
      <c r="G222" s="30" t="n">
        <v>0</v>
      </c>
      <c r="H222" s="30" t="s">
        <v>70</v>
      </c>
      <c r="I222" s="30" t="n">
        <v>62</v>
      </c>
      <c r="J222" s="30" t="s">
        <v>159</v>
      </c>
      <c r="K222" s="30" t="s">
        <v>156</v>
      </c>
      <c r="L222" s="30" t="n">
        <v>51</v>
      </c>
      <c r="M222" s="30" t="s">
        <v>156</v>
      </c>
      <c r="N222" s="30"/>
      <c r="O222" s="30" t="n">
        <v>4</v>
      </c>
      <c r="P222" s="30" t="s">
        <v>157</v>
      </c>
      <c r="Q222" s="30" t="n">
        <v>15.6</v>
      </c>
    </row>
    <row r="223" customFormat="false" ht="15" hidden="false" customHeight="false" outlineLevel="0" collapsed="false">
      <c r="A223" s="30" t="s">
        <v>378</v>
      </c>
      <c r="B223" s="31" t="n">
        <v>46266</v>
      </c>
      <c r="C223" s="30" t="s">
        <v>94</v>
      </c>
      <c r="D223" s="30" t="s">
        <v>44</v>
      </c>
      <c r="E223" s="30" t="s">
        <v>61</v>
      </c>
      <c r="F223" s="30" t="n">
        <v>2</v>
      </c>
      <c r="G223" s="30" t="n">
        <v>2</v>
      </c>
      <c r="H223" s="30" t="s">
        <v>70</v>
      </c>
      <c r="I223" s="30" t="n">
        <v>45</v>
      </c>
      <c r="J223" s="30" t="s">
        <v>176</v>
      </c>
      <c r="K223" s="30" t="s">
        <v>156</v>
      </c>
      <c r="L223" s="30" t="n">
        <v>29</v>
      </c>
      <c r="M223" s="30" t="s">
        <v>156</v>
      </c>
      <c r="N223" s="30"/>
      <c r="O223" s="30" t="n">
        <v>4</v>
      </c>
      <c r="P223" s="30" t="s">
        <v>156</v>
      </c>
      <c r="Q223" s="30" t="n">
        <v>17.3</v>
      </c>
    </row>
    <row r="224" customFormat="false" ht="15" hidden="false" customHeight="false" outlineLevel="0" collapsed="false">
      <c r="A224" s="30" t="s">
        <v>379</v>
      </c>
      <c r="B224" s="31" t="n">
        <v>46266</v>
      </c>
      <c r="C224" s="30" t="s">
        <v>96</v>
      </c>
      <c r="D224" s="30" t="s">
        <v>45</v>
      </c>
      <c r="E224" s="30" t="s">
        <v>57</v>
      </c>
      <c r="F224" s="30" t="n">
        <v>2</v>
      </c>
      <c r="G224" s="30" t="n">
        <v>1</v>
      </c>
      <c r="H224" s="30" t="s">
        <v>71</v>
      </c>
      <c r="I224" s="30" t="n">
        <v>27</v>
      </c>
      <c r="J224" s="30" t="s">
        <v>155</v>
      </c>
      <c r="K224" s="30" t="s">
        <v>156</v>
      </c>
      <c r="L224" s="30" t="n">
        <v>51</v>
      </c>
      <c r="M224" s="30" t="s">
        <v>157</v>
      </c>
      <c r="N224" s="30"/>
      <c r="O224" s="30" t="n">
        <v>3</v>
      </c>
      <c r="P224" s="30" t="s">
        <v>157</v>
      </c>
      <c r="Q224" s="30" t="n">
        <v>8.1</v>
      </c>
    </row>
    <row r="225" customFormat="false" ht="15" hidden="false" customHeight="false" outlineLevel="0" collapsed="false">
      <c r="A225" s="30" t="s">
        <v>380</v>
      </c>
      <c r="B225" s="31" t="n">
        <v>46266</v>
      </c>
      <c r="C225" s="30" t="s">
        <v>96</v>
      </c>
      <c r="D225" s="30" t="s">
        <v>45</v>
      </c>
      <c r="E225" s="30" t="s">
        <v>60</v>
      </c>
      <c r="F225" s="30" t="n">
        <v>1</v>
      </c>
      <c r="G225" s="30" t="n">
        <v>1</v>
      </c>
      <c r="H225" s="30" t="s">
        <v>70</v>
      </c>
      <c r="I225" s="30" t="n">
        <v>37</v>
      </c>
      <c r="J225" s="30" t="s">
        <v>164</v>
      </c>
      <c r="K225" s="30" t="s">
        <v>156</v>
      </c>
      <c r="L225" s="30" t="n">
        <v>79</v>
      </c>
      <c r="M225" s="30" t="s">
        <v>157</v>
      </c>
      <c r="N225" s="30"/>
      <c r="O225" s="30" t="n">
        <v>3</v>
      </c>
      <c r="P225" s="30" t="s">
        <v>157</v>
      </c>
      <c r="Q225" s="30" t="n">
        <v>13.9</v>
      </c>
    </row>
    <row r="226" customFormat="false" ht="15" hidden="false" customHeight="false" outlineLevel="0" collapsed="false">
      <c r="A226" s="30" t="s">
        <v>381</v>
      </c>
      <c r="B226" s="31" t="n">
        <v>46266</v>
      </c>
      <c r="C226" s="30" t="s">
        <v>97</v>
      </c>
      <c r="D226" s="30" t="s">
        <v>46</v>
      </c>
      <c r="E226" s="30" t="s">
        <v>56</v>
      </c>
      <c r="F226" s="30" t="n">
        <v>6</v>
      </c>
      <c r="G226" s="30" t="n">
        <v>1</v>
      </c>
      <c r="H226" s="30" t="s">
        <v>71</v>
      </c>
      <c r="I226" s="30" t="n">
        <v>48</v>
      </c>
      <c r="J226" s="30" t="s">
        <v>159</v>
      </c>
      <c r="K226" s="30" t="s">
        <v>156</v>
      </c>
      <c r="L226" s="30" t="n">
        <v>45</v>
      </c>
      <c r="M226" s="30" t="s">
        <v>156</v>
      </c>
      <c r="N226" s="30"/>
      <c r="O226" s="30" t="n">
        <v>4</v>
      </c>
      <c r="P226" s="30" t="s">
        <v>156</v>
      </c>
      <c r="Q226" s="30" t="n">
        <v>17.6</v>
      </c>
    </row>
    <row r="227" customFormat="false" ht="15" hidden="false" customHeight="false" outlineLevel="0" collapsed="false">
      <c r="A227" s="30" t="s">
        <v>382</v>
      </c>
      <c r="B227" s="31" t="n">
        <v>46266</v>
      </c>
      <c r="C227" s="30" t="s">
        <v>97</v>
      </c>
      <c r="D227" s="30" t="s">
        <v>46</v>
      </c>
      <c r="E227" s="30" t="s">
        <v>62</v>
      </c>
      <c r="F227" s="30" t="n">
        <v>5</v>
      </c>
      <c r="G227" s="30" t="n">
        <v>1</v>
      </c>
      <c r="H227" s="30" t="s">
        <v>71</v>
      </c>
      <c r="I227" s="30" t="n">
        <v>30</v>
      </c>
      <c r="J227" s="30" t="s">
        <v>159</v>
      </c>
      <c r="K227" s="30" t="s">
        <v>156</v>
      </c>
      <c r="L227" s="30" t="n">
        <v>26</v>
      </c>
      <c r="M227" s="30" t="s">
        <v>157</v>
      </c>
      <c r="N227" s="30"/>
      <c r="O227" s="30" t="n">
        <v>5</v>
      </c>
      <c r="P227" s="30" t="s">
        <v>157</v>
      </c>
      <c r="Q227" s="30" t="n">
        <v>8.3</v>
      </c>
    </row>
    <row r="228" customFormat="false" ht="15" hidden="false" customHeight="false" outlineLevel="0" collapsed="false">
      <c r="A228" s="30" t="s">
        <v>383</v>
      </c>
      <c r="B228" s="31" t="n">
        <v>46266</v>
      </c>
      <c r="C228" s="30" t="s">
        <v>98</v>
      </c>
      <c r="D228" s="30" t="s">
        <v>46</v>
      </c>
      <c r="E228" s="30" t="s">
        <v>60</v>
      </c>
      <c r="F228" s="30" t="n">
        <v>2</v>
      </c>
      <c r="G228" s="30" t="n">
        <v>0</v>
      </c>
      <c r="H228" s="30" t="s">
        <v>71</v>
      </c>
      <c r="I228" s="30" t="n">
        <v>34</v>
      </c>
      <c r="J228" s="30" t="s">
        <v>155</v>
      </c>
      <c r="K228" s="30" t="s">
        <v>156</v>
      </c>
      <c r="L228" s="30" t="n">
        <v>9</v>
      </c>
      <c r="M228" s="30" t="s">
        <v>156</v>
      </c>
      <c r="N228" s="30"/>
      <c r="O228" s="30" t="n">
        <v>4</v>
      </c>
      <c r="P228" s="30" t="s">
        <v>157</v>
      </c>
      <c r="Q228" s="30" t="n">
        <v>11.3</v>
      </c>
    </row>
    <row r="229" customFormat="false" ht="15" hidden="false" customHeight="false" outlineLevel="0" collapsed="false">
      <c r="A229" s="30" t="s">
        <v>384</v>
      </c>
      <c r="B229" s="31" t="n">
        <v>46266</v>
      </c>
      <c r="C229" s="30" t="s">
        <v>98</v>
      </c>
      <c r="D229" s="30" t="s">
        <v>46</v>
      </c>
      <c r="E229" s="30" t="s">
        <v>56</v>
      </c>
      <c r="F229" s="30" t="n">
        <v>9</v>
      </c>
      <c r="G229" s="30" t="n">
        <v>3</v>
      </c>
      <c r="H229" s="30" t="s">
        <v>71</v>
      </c>
      <c r="I229" s="30" t="n">
        <v>42</v>
      </c>
      <c r="J229" s="30" t="s">
        <v>176</v>
      </c>
      <c r="K229" s="30" t="s">
        <v>156</v>
      </c>
      <c r="L229" s="30" t="n">
        <v>62</v>
      </c>
      <c r="M229" s="30" t="s">
        <v>157</v>
      </c>
      <c r="N229" s="30"/>
      <c r="O229" s="30" t="n">
        <v>4</v>
      </c>
      <c r="P229" s="30" t="s">
        <v>156</v>
      </c>
      <c r="Q229" s="30" t="n">
        <v>5</v>
      </c>
    </row>
    <row r="230" customFormat="false" ht="15" hidden="false" customHeight="false" outlineLevel="0" collapsed="false">
      <c r="A230" s="30" t="s">
        <v>385</v>
      </c>
      <c r="B230" s="31" t="n">
        <v>46266</v>
      </c>
      <c r="C230" s="30" t="s">
        <v>98</v>
      </c>
      <c r="D230" s="30" t="s">
        <v>46</v>
      </c>
      <c r="E230" s="30" t="s">
        <v>56</v>
      </c>
      <c r="F230" s="30" t="n">
        <v>10</v>
      </c>
      <c r="G230" s="30" t="n">
        <v>2</v>
      </c>
      <c r="H230" s="30" t="s">
        <v>71</v>
      </c>
      <c r="I230" s="30" t="n">
        <v>42</v>
      </c>
      <c r="J230" s="30" t="s">
        <v>176</v>
      </c>
      <c r="K230" s="30" t="s">
        <v>156</v>
      </c>
      <c r="L230" s="30" t="n">
        <v>58</v>
      </c>
      <c r="M230" s="30" t="s">
        <v>157</v>
      </c>
      <c r="N230" s="30"/>
      <c r="O230" s="30" t="n">
        <v>3</v>
      </c>
      <c r="P230" s="30" t="s">
        <v>156</v>
      </c>
      <c r="Q230" s="30" t="n">
        <v>6.6</v>
      </c>
    </row>
    <row r="231" customFormat="false" ht="15" hidden="false" customHeight="false" outlineLevel="0" collapsed="false">
      <c r="A231" s="30" t="s">
        <v>386</v>
      </c>
      <c r="B231" s="31" t="n">
        <v>46266</v>
      </c>
      <c r="C231" s="30" t="s">
        <v>98</v>
      </c>
      <c r="D231" s="30" t="s">
        <v>46</v>
      </c>
      <c r="E231" s="30" t="s">
        <v>60</v>
      </c>
      <c r="F231" s="30" t="n">
        <v>4</v>
      </c>
      <c r="G231" s="30" t="n">
        <v>4</v>
      </c>
      <c r="H231" s="30" t="s">
        <v>70</v>
      </c>
      <c r="I231" s="30" t="n">
        <v>53</v>
      </c>
      <c r="J231" s="30" t="s">
        <v>159</v>
      </c>
      <c r="K231" s="30" t="s">
        <v>156</v>
      </c>
      <c r="L231" s="30" t="n">
        <v>24</v>
      </c>
      <c r="M231" s="30" t="s">
        <v>156</v>
      </c>
      <c r="N231" s="30"/>
      <c r="O231" s="30" t="n">
        <v>4</v>
      </c>
      <c r="P231" s="30" t="s">
        <v>156</v>
      </c>
      <c r="Q231" s="30" t="n">
        <v>4.4</v>
      </c>
    </row>
    <row r="232" customFormat="false" ht="15" hidden="false" customHeight="false" outlineLevel="0" collapsed="false">
      <c r="A232" s="30" t="s">
        <v>387</v>
      </c>
      <c r="B232" s="31" t="n">
        <v>46266</v>
      </c>
      <c r="C232" s="30" t="s">
        <v>100</v>
      </c>
      <c r="D232" s="30" t="s">
        <v>47</v>
      </c>
      <c r="E232" s="30" t="s">
        <v>61</v>
      </c>
      <c r="F232" s="30" t="n">
        <v>6</v>
      </c>
      <c r="G232" s="30" t="n">
        <v>1</v>
      </c>
      <c r="H232" s="30" t="s">
        <v>71</v>
      </c>
      <c r="I232" s="30" t="n">
        <v>40</v>
      </c>
      <c r="J232" s="30" t="s">
        <v>176</v>
      </c>
      <c r="K232" s="30" t="s">
        <v>157</v>
      </c>
      <c r="L232" s="30"/>
      <c r="M232" s="30" t="s">
        <v>157</v>
      </c>
      <c r="N232" s="30" t="s">
        <v>85</v>
      </c>
      <c r="O232" s="30"/>
      <c r="P232" s="30" t="s">
        <v>157</v>
      </c>
      <c r="Q232" s="30" t="n">
        <v>14.5</v>
      </c>
    </row>
    <row r="233" customFormat="false" ht="15" hidden="false" customHeight="false" outlineLevel="0" collapsed="false">
      <c r="A233" s="30" t="s">
        <v>388</v>
      </c>
      <c r="B233" s="31" t="n">
        <v>46266</v>
      </c>
      <c r="C233" s="30" t="s">
        <v>100</v>
      </c>
      <c r="D233" s="30" t="s">
        <v>47</v>
      </c>
      <c r="E233" s="30" t="s">
        <v>56</v>
      </c>
      <c r="F233" s="30" t="n">
        <v>8</v>
      </c>
      <c r="G233" s="30" t="n">
        <v>1</v>
      </c>
      <c r="H233" s="30" t="s">
        <v>71</v>
      </c>
      <c r="I233" s="30" t="n">
        <v>27</v>
      </c>
      <c r="J233" s="30" t="s">
        <v>159</v>
      </c>
      <c r="K233" s="30" t="s">
        <v>157</v>
      </c>
      <c r="L233" s="30"/>
      <c r="M233" s="30" t="s">
        <v>157</v>
      </c>
      <c r="N233" s="30" t="s">
        <v>77</v>
      </c>
      <c r="O233" s="30"/>
      <c r="P233" s="30" t="s">
        <v>156</v>
      </c>
      <c r="Q233" s="30" t="n">
        <v>15.5</v>
      </c>
    </row>
    <row r="234" customFormat="false" ht="15" hidden="false" customHeight="false" outlineLevel="0" collapsed="false">
      <c r="A234" s="30" t="s">
        <v>389</v>
      </c>
      <c r="B234" s="31" t="n">
        <v>46266</v>
      </c>
      <c r="C234" s="30" t="s">
        <v>100</v>
      </c>
      <c r="D234" s="30" t="s">
        <v>47</v>
      </c>
      <c r="E234" s="30" t="s">
        <v>56</v>
      </c>
      <c r="F234" s="30" t="n">
        <v>1</v>
      </c>
      <c r="G234" s="30" t="n">
        <v>2</v>
      </c>
      <c r="H234" s="30" t="s">
        <v>70</v>
      </c>
      <c r="I234" s="30" t="n">
        <v>33</v>
      </c>
      <c r="J234" s="30" t="s">
        <v>155</v>
      </c>
      <c r="K234" s="30" t="s">
        <v>156</v>
      </c>
      <c r="L234" s="30" t="n">
        <v>38</v>
      </c>
      <c r="M234" s="30" t="s">
        <v>156</v>
      </c>
      <c r="N234" s="30"/>
      <c r="O234" s="30" t="n">
        <v>3</v>
      </c>
      <c r="P234" s="30" t="s">
        <v>156</v>
      </c>
      <c r="Q234" s="30" t="n">
        <v>14.1</v>
      </c>
    </row>
    <row r="235" customFormat="false" ht="15" hidden="false" customHeight="false" outlineLevel="0" collapsed="false">
      <c r="A235" s="30" t="s">
        <v>390</v>
      </c>
      <c r="B235" s="31" t="n">
        <v>46266</v>
      </c>
      <c r="C235" s="30" t="s">
        <v>100</v>
      </c>
      <c r="D235" s="30" t="s">
        <v>47</v>
      </c>
      <c r="E235" s="30" t="s">
        <v>57</v>
      </c>
      <c r="F235" s="30" t="n">
        <v>14</v>
      </c>
      <c r="G235" s="30" t="n">
        <v>0</v>
      </c>
      <c r="H235" s="30" t="s">
        <v>71</v>
      </c>
      <c r="I235" s="30" t="n">
        <v>23</v>
      </c>
      <c r="J235" s="30" t="s">
        <v>159</v>
      </c>
      <c r="K235" s="30" t="s">
        <v>157</v>
      </c>
      <c r="L235" s="30"/>
      <c r="M235" s="30" t="s">
        <v>156</v>
      </c>
      <c r="N235" s="30" t="s">
        <v>81</v>
      </c>
      <c r="O235" s="30"/>
      <c r="P235" s="30" t="s">
        <v>156</v>
      </c>
      <c r="Q235" s="30" t="n">
        <v>11.6</v>
      </c>
    </row>
    <row r="236" customFormat="false" ht="15" hidden="false" customHeight="false" outlineLevel="0" collapsed="false">
      <c r="A236" s="30" t="s">
        <v>391</v>
      </c>
      <c r="B236" s="31" t="n">
        <v>46266</v>
      </c>
      <c r="C236" s="30" t="s">
        <v>100</v>
      </c>
      <c r="D236" s="30" t="s">
        <v>47</v>
      </c>
      <c r="E236" s="30" t="s">
        <v>57</v>
      </c>
      <c r="F236" s="30" t="n">
        <v>3</v>
      </c>
      <c r="G236" s="30" t="n">
        <v>2</v>
      </c>
      <c r="H236" s="30" t="s">
        <v>70</v>
      </c>
      <c r="I236" s="30" t="n">
        <v>39</v>
      </c>
      <c r="J236" s="30" t="s">
        <v>155</v>
      </c>
      <c r="K236" s="30" t="s">
        <v>157</v>
      </c>
      <c r="L236" s="30"/>
      <c r="M236" s="30" t="s">
        <v>157</v>
      </c>
      <c r="N236" s="30" t="s">
        <v>81</v>
      </c>
      <c r="O236" s="30"/>
      <c r="P236" s="30" t="s">
        <v>156</v>
      </c>
      <c r="Q236" s="30" t="n">
        <v>18.3</v>
      </c>
    </row>
    <row r="237" customFormat="false" ht="15" hidden="false" customHeight="false" outlineLevel="0" collapsed="false">
      <c r="A237" s="30" t="s">
        <v>392</v>
      </c>
      <c r="B237" s="31" t="n">
        <v>46266</v>
      </c>
      <c r="C237" s="30" t="s">
        <v>99</v>
      </c>
      <c r="D237" s="30" t="s">
        <v>47</v>
      </c>
      <c r="E237" s="30" t="s">
        <v>59</v>
      </c>
      <c r="F237" s="30" t="n">
        <v>4</v>
      </c>
      <c r="G237" s="30" t="n">
        <v>0</v>
      </c>
      <c r="H237" s="30" t="s">
        <v>70</v>
      </c>
      <c r="I237" s="30" t="n">
        <v>59</v>
      </c>
      <c r="J237" s="30" t="s">
        <v>159</v>
      </c>
      <c r="K237" s="30" t="s">
        <v>157</v>
      </c>
      <c r="L237" s="30"/>
      <c r="M237" s="30" t="s">
        <v>157</v>
      </c>
      <c r="N237" s="30" t="s">
        <v>77</v>
      </c>
      <c r="O237" s="30"/>
      <c r="P237" s="30" t="s">
        <v>157</v>
      </c>
      <c r="Q237" s="30" t="n">
        <v>12</v>
      </c>
    </row>
    <row r="238" customFormat="false" ht="15" hidden="false" customHeight="false" outlineLevel="0" collapsed="false">
      <c r="A238" s="30" t="s">
        <v>393</v>
      </c>
      <c r="B238" s="31" t="n">
        <v>46267</v>
      </c>
      <c r="C238" s="30" t="s">
        <v>94</v>
      </c>
      <c r="D238" s="30" t="s">
        <v>44</v>
      </c>
      <c r="E238" s="30" t="s">
        <v>56</v>
      </c>
      <c r="F238" s="30" t="n">
        <v>6</v>
      </c>
      <c r="G238" s="30" t="n">
        <v>1</v>
      </c>
      <c r="H238" s="30" t="s">
        <v>70</v>
      </c>
      <c r="I238" s="30" t="n">
        <v>28</v>
      </c>
      <c r="J238" s="30" t="s">
        <v>164</v>
      </c>
      <c r="K238" s="30" t="s">
        <v>156</v>
      </c>
      <c r="L238" s="30" t="n">
        <v>49</v>
      </c>
      <c r="M238" s="30" t="s">
        <v>156</v>
      </c>
      <c r="N238" s="30"/>
      <c r="O238" s="30" t="n">
        <v>5</v>
      </c>
      <c r="P238" s="30" t="s">
        <v>157</v>
      </c>
      <c r="Q238" s="30" t="n">
        <v>8.1</v>
      </c>
    </row>
    <row r="239" customFormat="false" ht="15" hidden="false" customHeight="false" outlineLevel="0" collapsed="false">
      <c r="A239" s="30" t="s">
        <v>394</v>
      </c>
      <c r="B239" s="31" t="n">
        <v>46267</v>
      </c>
      <c r="C239" s="30" t="s">
        <v>95</v>
      </c>
      <c r="D239" s="30" t="s">
        <v>44</v>
      </c>
      <c r="E239" s="30" t="s">
        <v>61</v>
      </c>
      <c r="F239" s="30" t="n">
        <v>3</v>
      </c>
      <c r="G239" s="30" t="n">
        <v>4</v>
      </c>
      <c r="H239" s="30" t="s">
        <v>70</v>
      </c>
      <c r="I239" s="30" t="n">
        <v>42</v>
      </c>
      <c r="J239" s="30" t="s">
        <v>155</v>
      </c>
      <c r="K239" s="30" t="s">
        <v>157</v>
      </c>
      <c r="L239" s="30"/>
      <c r="M239" s="30" t="s">
        <v>157</v>
      </c>
      <c r="N239" s="30" t="s">
        <v>85</v>
      </c>
      <c r="O239" s="30"/>
      <c r="P239" s="30" t="s">
        <v>157</v>
      </c>
      <c r="Q239" s="30" t="n">
        <v>18.8</v>
      </c>
    </row>
    <row r="240" customFormat="false" ht="15" hidden="false" customHeight="false" outlineLevel="0" collapsed="false">
      <c r="A240" s="30" t="s">
        <v>395</v>
      </c>
      <c r="B240" s="31" t="n">
        <v>46267</v>
      </c>
      <c r="C240" s="30" t="s">
        <v>94</v>
      </c>
      <c r="D240" s="30" t="s">
        <v>44</v>
      </c>
      <c r="E240" s="30" t="s">
        <v>61</v>
      </c>
      <c r="F240" s="30" t="n">
        <v>3</v>
      </c>
      <c r="G240" s="30" t="n">
        <v>2</v>
      </c>
      <c r="H240" s="30" t="s">
        <v>70</v>
      </c>
      <c r="I240" s="30" t="n">
        <v>32</v>
      </c>
      <c r="J240" s="30" t="s">
        <v>176</v>
      </c>
      <c r="K240" s="30" t="s">
        <v>156</v>
      </c>
      <c r="L240" s="30" t="n">
        <v>21</v>
      </c>
      <c r="M240" s="30" t="s">
        <v>156</v>
      </c>
      <c r="N240" s="30"/>
      <c r="O240" s="30" t="n">
        <v>4</v>
      </c>
      <c r="P240" s="30" t="s">
        <v>156</v>
      </c>
      <c r="Q240" s="30" t="n">
        <v>12.5</v>
      </c>
    </row>
    <row r="241" customFormat="false" ht="15" hidden="false" customHeight="false" outlineLevel="0" collapsed="false">
      <c r="A241" s="30" t="s">
        <v>396</v>
      </c>
      <c r="B241" s="31" t="n">
        <v>46267</v>
      </c>
      <c r="C241" s="30" t="s">
        <v>94</v>
      </c>
      <c r="D241" s="30" t="s">
        <v>44</v>
      </c>
      <c r="E241" s="30" t="s">
        <v>58</v>
      </c>
      <c r="F241" s="30" t="n">
        <v>4</v>
      </c>
      <c r="G241" s="30" t="n">
        <v>1</v>
      </c>
      <c r="H241" s="30" t="s">
        <v>70</v>
      </c>
      <c r="I241" s="30" t="n">
        <v>31</v>
      </c>
      <c r="J241" s="30" t="s">
        <v>155</v>
      </c>
      <c r="K241" s="30" t="s">
        <v>156</v>
      </c>
      <c r="L241" s="30" t="n">
        <v>54</v>
      </c>
      <c r="M241" s="30" t="s">
        <v>156</v>
      </c>
      <c r="N241" s="30"/>
      <c r="O241" s="30" t="n">
        <v>5</v>
      </c>
      <c r="P241" s="30" t="s">
        <v>157</v>
      </c>
      <c r="Q241" s="30" t="n">
        <v>7.7</v>
      </c>
    </row>
    <row r="242" customFormat="false" ht="15" hidden="false" customHeight="false" outlineLevel="0" collapsed="false">
      <c r="A242" s="30" t="s">
        <v>397</v>
      </c>
      <c r="B242" s="31" t="n">
        <v>46267</v>
      </c>
      <c r="C242" s="30" t="s">
        <v>96</v>
      </c>
      <c r="D242" s="30" t="s">
        <v>45</v>
      </c>
      <c r="E242" s="30" t="s">
        <v>57</v>
      </c>
      <c r="F242" s="30" t="n">
        <v>4</v>
      </c>
      <c r="G242" s="30" t="n">
        <v>0</v>
      </c>
      <c r="H242" s="30" t="s">
        <v>70</v>
      </c>
      <c r="I242" s="30" t="n">
        <v>43</v>
      </c>
      <c r="J242" s="30" t="s">
        <v>155</v>
      </c>
      <c r="K242" s="30" t="s">
        <v>156</v>
      </c>
      <c r="L242" s="30" t="n">
        <v>9</v>
      </c>
      <c r="M242" s="30" t="s">
        <v>157</v>
      </c>
      <c r="N242" s="30"/>
      <c r="O242" s="30" t="n">
        <v>2</v>
      </c>
      <c r="P242" s="30" t="s">
        <v>157</v>
      </c>
      <c r="Q242" s="30" t="n">
        <v>16.4</v>
      </c>
    </row>
    <row r="243" customFormat="false" ht="15" hidden="false" customHeight="false" outlineLevel="0" collapsed="false">
      <c r="A243" s="30" t="s">
        <v>398</v>
      </c>
      <c r="B243" s="31" t="n">
        <v>46267</v>
      </c>
      <c r="C243" s="30" t="s">
        <v>96</v>
      </c>
      <c r="D243" s="30" t="s">
        <v>45</v>
      </c>
      <c r="E243" s="30" t="s">
        <v>56</v>
      </c>
      <c r="F243" s="30" t="n">
        <v>8</v>
      </c>
      <c r="G243" s="30" t="n">
        <v>2</v>
      </c>
      <c r="H243" s="30" t="s">
        <v>71</v>
      </c>
      <c r="I243" s="30" t="n">
        <v>43</v>
      </c>
      <c r="J243" s="30" t="s">
        <v>155</v>
      </c>
      <c r="K243" s="30" t="s">
        <v>156</v>
      </c>
      <c r="L243" s="30" t="n">
        <v>36</v>
      </c>
      <c r="M243" s="30" t="s">
        <v>157</v>
      </c>
      <c r="N243" s="30"/>
      <c r="O243" s="30" t="n">
        <v>5</v>
      </c>
      <c r="P243" s="30" t="s">
        <v>157</v>
      </c>
      <c r="Q243" s="30" t="n">
        <v>16.9</v>
      </c>
    </row>
    <row r="244" customFormat="false" ht="15" hidden="false" customHeight="false" outlineLevel="0" collapsed="false">
      <c r="A244" s="30" t="s">
        <v>399</v>
      </c>
      <c r="B244" s="31" t="n">
        <v>46267</v>
      </c>
      <c r="C244" s="30" t="s">
        <v>96</v>
      </c>
      <c r="D244" s="30" t="s">
        <v>45</v>
      </c>
      <c r="E244" s="30" t="s">
        <v>61</v>
      </c>
      <c r="F244" s="30" t="n">
        <v>2</v>
      </c>
      <c r="G244" s="30" t="n">
        <v>0</v>
      </c>
      <c r="H244" s="30" t="s">
        <v>71</v>
      </c>
      <c r="I244" s="30" t="n">
        <v>39</v>
      </c>
      <c r="J244" s="30" t="s">
        <v>176</v>
      </c>
      <c r="K244" s="30" t="s">
        <v>156</v>
      </c>
      <c r="L244" s="30" t="n">
        <v>12</v>
      </c>
      <c r="M244" s="30" t="s">
        <v>156</v>
      </c>
      <c r="N244" s="30"/>
      <c r="O244" s="30" t="n">
        <v>1</v>
      </c>
      <c r="P244" s="30" t="s">
        <v>156</v>
      </c>
      <c r="Q244" s="30" t="n">
        <v>17.8</v>
      </c>
    </row>
    <row r="245" customFormat="false" ht="15" hidden="false" customHeight="false" outlineLevel="0" collapsed="false">
      <c r="A245" s="30" t="s">
        <v>400</v>
      </c>
      <c r="B245" s="31" t="n">
        <v>46267</v>
      </c>
      <c r="C245" s="30" t="s">
        <v>96</v>
      </c>
      <c r="D245" s="30" t="s">
        <v>45</v>
      </c>
      <c r="E245" s="30" t="s">
        <v>62</v>
      </c>
      <c r="F245" s="30" t="n">
        <v>2</v>
      </c>
      <c r="G245" s="30" t="n">
        <v>0</v>
      </c>
      <c r="H245" s="30" t="s">
        <v>70</v>
      </c>
      <c r="I245" s="30" t="n">
        <v>40</v>
      </c>
      <c r="J245" s="30" t="s">
        <v>159</v>
      </c>
      <c r="K245" s="30" t="s">
        <v>157</v>
      </c>
      <c r="L245" s="30"/>
      <c r="M245" s="30" t="s">
        <v>157</v>
      </c>
      <c r="N245" s="30" t="s">
        <v>79</v>
      </c>
      <c r="O245" s="30"/>
      <c r="P245" s="30" t="s">
        <v>156</v>
      </c>
      <c r="Q245" s="30" t="n">
        <v>14</v>
      </c>
    </row>
    <row r="246" customFormat="false" ht="15" hidden="false" customHeight="false" outlineLevel="0" collapsed="false">
      <c r="A246" s="30" t="s">
        <v>401</v>
      </c>
      <c r="B246" s="31" t="n">
        <v>46267</v>
      </c>
      <c r="C246" s="30" t="s">
        <v>96</v>
      </c>
      <c r="D246" s="30" t="s">
        <v>45</v>
      </c>
      <c r="E246" s="30" t="s">
        <v>56</v>
      </c>
      <c r="F246" s="30" t="n">
        <v>4</v>
      </c>
      <c r="G246" s="30" t="n">
        <v>2</v>
      </c>
      <c r="H246" s="30" t="s">
        <v>70</v>
      </c>
      <c r="I246" s="30" t="n">
        <v>48</v>
      </c>
      <c r="J246" s="30" t="s">
        <v>159</v>
      </c>
      <c r="K246" s="30" t="s">
        <v>157</v>
      </c>
      <c r="L246" s="30"/>
      <c r="M246" s="30" t="s">
        <v>157</v>
      </c>
      <c r="N246" s="30" t="s">
        <v>79</v>
      </c>
      <c r="O246" s="30"/>
      <c r="P246" s="30" t="s">
        <v>156</v>
      </c>
      <c r="Q246" s="30" t="n">
        <v>17.6</v>
      </c>
    </row>
    <row r="247" customFormat="false" ht="15" hidden="false" customHeight="false" outlineLevel="0" collapsed="false">
      <c r="A247" s="30" t="s">
        <v>402</v>
      </c>
      <c r="B247" s="31" t="n">
        <v>46267</v>
      </c>
      <c r="C247" s="30" t="s">
        <v>98</v>
      </c>
      <c r="D247" s="30" t="s">
        <v>46</v>
      </c>
      <c r="E247" s="30" t="s">
        <v>56</v>
      </c>
      <c r="F247" s="30" t="n">
        <v>26</v>
      </c>
      <c r="G247" s="30" t="n">
        <v>2</v>
      </c>
      <c r="H247" s="30" t="s">
        <v>70</v>
      </c>
      <c r="I247" s="30" t="n">
        <v>37</v>
      </c>
      <c r="J247" s="30" t="s">
        <v>176</v>
      </c>
      <c r="K247" s="30" t="s">
        <v>156</v>
      </c>
      <c r="L247" s="30" t="n">
        <v>61</v>
      </c>
      <c r="M247" s="30" t="s">
        <v>156</v>
      </c>
      <c r="N247" s="30"/>
      <c r="O247" s="30" t="n">
        <v>5</v>
      </c>
      <c r="P247" s="30" t="s">
        <v>157</v>
      </c>
      <c r="Q247" s="30" t="n">
        <v>6.3</v>
      </c>
    </row>
    <row r="248" customFormat="false" ht="15" hidden="false" customHeight="false" outlineLevel="0" collapsed="false">
      <c r="A248" s="30" t="s">
        <v>403</v>
      </c>
      <c r="B248" s="31" t="n">
        <v>46267</v>
      </c>
      <c r="C248" s="30" t="s">
        <v>98</v>
      </c>
      <c r="D248" s="30" t="s">
        <v>46</v>
      </c>
      <c r="E248" s="30" t="s">
        <v>58</v>
      </c>
      <c r="F248" s="30" t="n">
        <v>0</v>
      </c>
      <c r="G248" s="30" t="n">
        <v>2</v>
      </c>
      <c r="H248" s="30" t="s">
        <v>70</v>
      </c>
      <c r="I248" s="30" t="n">
        <v>42</v>
      </c>
      <c r="J248" s="30" t="s">
        <v>155</v>
      </c>
      <c r="K248" s="30" t="s">
        <v>157</v>
      </c>
      <c r="L248" s="30" t="n">
        <v>30</v>
      </c>
      <c r="M248" s="30" t="s">
        <v>157</v>
      </c>
      <c r="N248" s="30" t="s">
        <v>77</v>
      </c>
      <c r="O248" s="30"/>
      <c r="P248" s="30" t="s">
        <v>156</v>
      </c>
      <c r="Q248" s="30" t="n">
        <v>4.7</v>
      </c>
    </row>
    <row r="249" customFormat="false" ht="15" hidden="false" customHeight="false" outlineLevel="0" collapsed="false">
      <c r="A249" s="30" t="s">
        <v>404</v>
      </c>
      <c r="B249" s="31" t="n">
        <v>46267</v>
      </c>
      <c r="C249" s="30" t="s">
        <v>100</v>
      </c>
      <c r="D249" s="30" t="s">
        <v>47</v>
      </c>
      <c r="E249" s="30" t="s">
        <v>60</v>
      </c>
      <c r="F249" s="30" t="n">
        <v>9</v>
      </c>
      <c r="G249" s="30" t="n">
        <v>3</v>
      </c>
      <c r="H249" s="30" t="s">
        <v>71</v>
      </c>
      <c r="I249" s="30" t="n">
        <v>31</v>
      </c>
      <c r="J249" s="30" t="s">
        <v>155</v>
      </c>
      <c r="K249" s="30" t="s">
        <v>156</v>
      </c>
      <c r="L249" s="30" t="n">
        <v>55</v>
      </c>
      <c r="M249" s="30" t="s">
        <v>156</v>
      </c>
      <c r="N249" s="30"/>
      <c r="O249" s="30" t="n">
        <v>4</v>
      </c>
      <c r="P249" s="30" t="s">
        <v>156</v>
      </c>
      <c r="Q249" s="30" t="n">
        <v>13.8</v>
      </c>
    </row>
    <row r="250" customFormat="false" ht="15" hidden="false" customHeight="false" outlineLevel="0" collapsed="false">
      <c r="A250" s="30" t="s">
        <v>405</v>
      </c>
      <c r="B250" s="31" t="n">
        <v>46267</v>
      </c>
      <c r="C250" s="30" t="s">
        <v>99</v>
      </c>
      <c r="D250" s="30" t="s">
        <v>47</v>
      </c>
      <c r="E250" s="30" t="s">
        <v>61</v>
      </c>
      <c r="F250" s="30" t="n">
        <v>3</v>
      </c>
      <c r="G250" s="30" t="n">
        <v>3</v>
      </c>
      <c r="H250" s="30" t="s">
        <v>71</v>
      </c>
      <c r="I250" s="30" t="n">
        <v>37</v>
      </c>
      <c r="J250" s="30" t="s">
        <v>159</v>
      </c>
      <c r="K250" s="30" t="s">
        <v>156</v>
      </c>
      <c r="L250" s="30" t="n">
        <v>56</v>
      </c>
      <c r="M250" s="30" t="s">
        <v>157</v>
      </c>
      <c r="N250" s="30"/>
      <c r="O250" s="30" t="n">
        <v>5</v>
      </c>
      <c r="P250" s="30" t="s">
        <v>156</v>
      </c>
      <c r="Q250" s="30" t="n">
        <v>12.9</v>
      </c>
    </row>
    <row r="251" customFormat="false" ht="15" hidden="false" customHeight="false" outlineLevel="0" collapsed="false">
      <c r="A251" s="30" t="s">
        <v>406</v>
      </c>
      <c r="B251" s="31" t="n">
        <v>46267</v>
      </c>
      <c r="C251" s="30" t="s">
        <v>100</v>
      </c>
      <c r="D251" s="30" t="s">
        <v>47</v>
      </c>
      <c r="E251" s="30" t="s">
        <v>57</v>
      </c>
      <c r="F251" s="30" t="n">
        <v>4</v>
      </c>
      <c r="G251" s="30" t="n">
        <v>0</v>
      </c>
      <c r="H251" s="30" t="s">
        <v>70</v>
      </c>
      <c r="I251" s="30" t="n">
        <v>28</v>
      </c>
      <c r="J251" s="30" t="s">
        <v>155</v>
      </c>
      <c r="K251" s="30" t="s">
        <v>156</v>
      </c>
      <c r="L251" s="30" t="n">
        <v>68</v>
      </c>
      <c r="M251" s="30" t="s">
        <v>157</v>
      </c>
      <c r="N251" s="30"/>
      <c r="O251" s="30" t="n">
        <v>4</v>
      </c>
      <c r="P251" s="30" t="s">
        <v>157</v>
      </c>
      <c r="Q251" s="30" t="n">
        <v>16.7</v>
      </c>
    </row>
    <row r="252" customFormat="false" ht="15" hidden="false" customHeight="false" outlineLevel="0" collapsed="false">
      <c r="A252" s="30" t="s">
        <v>407</v>
      </c>
      <c r="B252" s="31" t="n">
        <v>46267</v>
      </c>
      <c r="C252" s="30" t="s">
        <v>99</v>
      </c>
      <c r="D252" s="30" t="s">
        <v>47</v>
      </c>
      <c r="E252" s="30" t="s">
        <v>61</v>
      </c>
      <c r="F252" s="30" t="n">
        <v>7</v>
      </c>
      <c r="G252" s="30" t="n">
        <v>3</v>
      </c>
      <c r="H252" s="30" t="s">
        <v>70</v>
      </c>
      <c r="I252" s="30" t="n">
        <v>40</v>
      </c>
      <c r="J252" s="30" t="s">
        <v>155</v>
      </c>
      <c r="K252" s="30" t="s">
        <v>156</v>
      </c>
      <c r="L252" s="30" t="n">
        <v>7</v>
      </c>
      <c r="M252" s="30" t="s">
        <v>157</v>
      </c>
      <c r="N252" s="30"/>
      <c r="O252" s="30" t="n">
        <v>3</v>
      </c>
      <c r="P252" s="30" t="s">
        <v>157</v>
      </c>
      <c r="Q252" s="30" t="n">
        <v>17.8</v>
      </c>
    </row>
    <row r="253" customFormat="false" ht="15" hidden="false" customHeight="false" outlineLevel="0" collapsed="false">
      <c r="A253" s="30" t="s">
        <v>408</v>
      </c>
      <c r="B253" s="31" t="n">
        <v>46267</v>
      </c>
      <c r="C253" s="30" t="s">
        <v>100</v>
      </c>
      <c r="D253" s="30" t="s">
        <v>47</v>
      </c>
      <c r="E253" s="30" t="s">
        <v>61</v>
      </c>
      <c r="F253" s="30" t="n">
        <v>4</v>
      </c>
      <c r="G253" s="30" t="n">
        <v>2</v>
      </c>
      <c r="H253" s="30" t="s">
        <v>71</v>
      </c>
      <c r="I253" s="30" t="n">
        <v>59</v>
      </c>
      <c r="J253" s="30" t="s">
        <v>155</v>
      </c>
      <c r="K253" s="30" t="s">
        <v>156</v>
      </c>
      <c r="L253" s="30" t="n">
        <v>51</v>
      </c>
      <c r="M253" s="30" t="s">
        <v>156</v>
      </c>
      <c r="N253" s="30"/>
      <c r="O253" s="30" t="n">
        <v>1</v>
      </c>
      <c r="P253" s="30" t="s">
        <v>156</v>
      </c>
      <c r="Q253" s="30" t="n">
        <v>12.9</v>
      </c>
    </row>
    <row r="254" customFormat="false" ht="15" hidden="false" customHeight="false" outlineLevel="0" collapsed="false">
      <c r="A254" s="30" t="s">
        <v>409</v>
      </c>
      <c r="B254" s="31" t="n">
        <v>46267</v>
      </c>
      <c r="C254" s="30" t="s">
        <v>100</v>
      </c>
      <c r="D254" s="30" t="s">
        <v>47</v>
      </c>
      <c r="E254" s="30" t="s">
        <v>57</v>
      </c>
      <c r="F254" s="30" t="n">
        <v>4</v>
      </c>
      <c r="G254" s="30" t="n">
        <v>1</v>
      </c>
      <c r="H254" s="30" t="s">
        <v>70</v>
      </c>
      <c r="I254" s="30" t="n">
        <v>27</v>
      </c>
      <c r="J254" s="30" t="s">
        <v>176</v>
      </c>
      <c r="K254" s="30" t="s">
        <v>156</v>
      </c>
      <c r="L254" s="30" t="n">
        <v>20</v>
      </c>
      <c r="M254" s="30" t="s">
        <v>157</v>
      </c>
      <c r="N254" s="30"/>
      <c r="O254" s="30" t="n">
        <v>4</v>
      </c>
      <c r="P254" s="30" t="s">
        <v>156</v>
      </c>
      <c r="Q254" s="30" t="n">
        <v>13.7</v>
      </c>
    </row>
    <row r="255" customFormat="false" ht="15" hidden="false" customHeight="false" outlineLevel="0" collapsed="false">
      <c r="A255" s="30" t="s">
        <v>409</v>
      </c>
      <c r="B255" s="31" t="n">
        <v>46267</v>
      </c>
      <c r="C255" s="30" t="s">
        <v>100</v>
      </c>
      <c r="D255" s="30" t="s">
        <v>47</v>
      </c>
      <c r="E255" s="30" t="s">
        <v>57</v>
      </c>
      <c r="F255" s="30" t="n">
        <v>4</v>
      </c>
      <c r="G255" s="30" t="n">
        <v>1</v>
      </c>
      <c r="H255" s="30" t="s">
        <v>70</v>
      </c>
      <c r="I255" s="30" t="n">
        <v>27</v>
      </c>
      <c r="J255" s="30" t="s">
        <v>176</v>
      </c>
      <c r="K255" s="30" t="s">
        <v>156</v>
      </c>
      <c r="L255" s="30" t="n">
        <v>20</v>
      </c>
      <c r="M255" s="30" t="s">
        <v>157</v>
      </c>
      <c r="N255" s="30"/>
      <c r="O255" s="30" t="n">
        <v>4</v>
      </c>
      <c r="P255" s="30" t="s">
        <v>156</v>
      </c>
      <c r="Q255" s="30" t="n">
        <v>13.7</v>
      </c>
    </row>
    <row r="256" customFormat="false" ht="15" hidden="false" customHeight="false" outlineLevel="0" collapsed="false">
      <c r="A256" s="30" t="s">
        <v>410</v>
      </c>
      <c r="B256" s="31" t="n">
        <v>46267</v>
      </c>
      <c r="C256" s="30" t="s">
        <v>99</v>
      </c>
      <c r="D256" s="30" t="s">
        <v>47</v>
      </c>
      <c r="E256" s="30" t="s">
        <v>59</v>
      </c>
      <c r="F256" s="30" t="n">
        <v>12</v>
      </c>
      <c r="G256" s="30" t="n">
        <v>3</v>
      </c>
      <c r="H256" s="30" t="s">
        <v>70</v>
      </c>
      <c r="I256" s="30" t="n">
        <v>29</v>
      </c>
      <c r="J256" s="30" t="s">
        <v>159</v>
      </c>
      <c r="K256" s="30" t="s">
        <v>156</v>
      </c>
      <c r="L256" s="30" t="n">
        <v>46</v>
      </c>
      <c r="M256" s="30" t="s">
        <v>157</v>
      </c>
      <c r="N256" s="30"/>
      <c r="O256" s="30" t="n">
        <v>4</v>
      </c>
      <c r="P256" s="30" t="s">
        <v>157</v>
      </c>
      <c r="Q256" s="30" t="n">
        <v>18</v>
      </c>
    </row>
    <row r="257" customFormat="false" ht="15" hidden="false" customHeight="false" outlineLevel="0" collapsed="false">
      <c r="A257" s="30" t="s">
        <v>411</v>
      </c>
      <c r="B257" s="31" t="n">
        <v>46268</v>
      </c>
      <c r="C257" s="30" t="s">
        <v>95</v>
      </c>
      <c r="D257" s="30" t="s">
        <v>44</v>
      </c>
      <c r="E257" s="30" t="s">
        <v>56</v>
      </c>
      <c r="F257" s="30" t="n">
        <v>10</v>
      </c>
      <c r="G257" s="30" t="n">
        <v>0</v>
      </c>
      <c r="H257" s="30" t="s">
        <v>71</v>
      </c>
      <c r="I257" s="30" t="n">
        <v>34</v>
      </c>
      <c r="J257" s="30" t="s">
        <v>164</v>
      </c>
      <c r="K257" s="30" t="s">
        <v>156</v>
      </c>
      <c r="L257" s="30" t="n">
        <v>72</v>
      </c>
      <c r="M257" s="30" t="s">
        <v>156</v>
      </c>
      <c r="N257" s="30"/>
      <c r="O257" s="30" t="n">
        <v>5</v>
      </c>
      <c r="P257" s="30" t="s">
        <v>157</v>
      </c>
      <c r="Q257" s="30" t="n">
        <v>16.8</v>
      </c>
    </row>
    <row r="258" customFormat="false" ht="15" hidden="false" customHeight="false" outlineLevel="0" collapsed="false">
      <c r="A258" s="30" t="s">
        <v>412</v>
      </c>
      <c r="B258" s="31" t="n">
        <v>46268</v>
      </c>
      <c r="C258" s="30" t="s">
        <v>94</v>
      </c>
      <c r="D258" s="30" t="s">
        <v>44</v>
      </c>
      <c r="E258" s="30" t="s">
        <v>57</v>
      </c>
      <c r="F258" s="30" t="n">
        <v>4</v>
      </c>
      <c r="G258" s="30" t="n">
        <v>3</v>
      </c>
      <c r="H258" s="30" t="s">
        <v>70</v>
      </c>
      <c r="I258" s="30" t="n">
        <v>38</v>
      </c>
      <c r="J258" s="30" t="s">
        <v>176</v>
      </c>
      <c r="K258" s="30" t="s">
        <v>156</v>
      </c>
      <c r="L258" s="30" t="n">
        <v>36</v>
      </c>
      <c r="M258" s="30" t="s">
        <v>156</v>
      </c>
      <c r="N258" s="30"/>
      <c r="O258" s="30" t="n">
        <v>4</v>
      </c>
      <c r="P258" s="30" t="s">
        <v>156</v>
      </c>
      <c r="Q258" s="30" t="n">
        <v>21.1</v>
      </c>
    </row>
    <row r="259" customFormat="false" ht="15" hidden="false" customHeight="false" outlineLevel="0" collapsed="false">
      <c r="A259" s="30" t="s">
        <v>413</v>
      </c>
      <c r="B259" s="31" t="n">
        <v>46268</v>
      </c>
      <c r="C259" s="30" t="s">
        <v>94</v>
      </c>
      <c r="D259" s="30" t="s">
        <v>44</v>
      </c>
      <c r="E259" s="30" t="s">
        <v>58</v>
      </c>
      <c r="F259" s="30" t="n">
        <v>6</v>
      </c>
      <c r="G259" s="30" t="n">
        <v>2</v>
      </c>
      <c r="H259" s="30" t="s">
        <v>71</v>
      </c>
      <c r="I259" s="30" t="n">
        <v>48</v>
      </c>
      <c r="J259" s="30" t="s">
        <v>155</v>
      </c>
      <c r="K259" s="30" t="s">
        <v>156</v>
      </c>
      <c r="L259" s="30" t="n">
        <v>43</v>
      </c>
      <c r="M259" s="30" t="s">
        <v>156</v>
      </c>
      <c r="N259" s="30"/>
      <c r="O259" s="30" t="n">
        <v>4</v>
      </c>
      <c r="P259" s="30" t="s">
        <v>157</v>
      </c>
      <c r="Q259" s="30" t="n">
        <v>14.5</v>
      </c>
    </row>
    <row r="260" customFormat="false" ht="15" hidden="false" customHeight="false" outlineLevel="0" collapsed="false">
      <c r="A260" s="30" t="s">
        <v>414</v>
      </c>
      <c r="B260" s="31" t="n">
        <v>46268</v>
      </c>
      <c r="C260" s="30" t="s">
        <v>95</v>
      </c>
      <c r="D260" s="30" t="s">
        <v>44</v>
      </c>
      <c r="E260" s="30" t="s">
        <v>57</v>
      </c>
      <c r="F260" s="30" t="n">
        <v>3</v>
      </c>
      <c r="G260" s="30" t="n">
        <v>0</v>
      </c>
      <c r="H260" s="30" t="s">
        <v>71</v>
      </c>
      <c r="I260" s="30" t="n">
        <v>26</v>
      </c>
      <c r="J260" s="30" t="s">
        <v>159</v>
      </c>
      <c r="K260" s="30" t="s">
        <v>157</v>
      </c>
      <c r="L260" s="30"/>
      <c r="M260" s="30" t="s">
        <v>156</v>
      </c>
      <c r="N260" s="30" t="s">
        <v>81</v>
      </c>
      <c r="O260" s="30"/>
      <c r="P260" s="30" t="s">
        <v>156</v>
      </c>
      <c r="Q260" s="30" t="n">
        <v>15.2</v>
      </c>
    </row>
    <row r="261" customFormat="false" ht="15" hidden="false" customHeight="false" outlineLevel="0" collapsed="false">
      <c r="A261" s="30" t="s">
        <v>415</v>
      </c>
      <c r="B261" s="31" t="n">
        <v>46268</v>
      </c>
      <c r="C261" s="30" t="s">
        <v>96</v>
      </c>
      <c r="D261" s="30" t="s">
        <v>45</v>
      </c>
      <c r="E261" s="30" t="s">
        <v>57</v>
      </c>
      <c r="F261" s="30" t="n">
        <v>5</v>
      </c>
      <c r="G261" s="30" t="n">
        <v>1</v>
      </c>
      <c r="H261" s="30" t="s">
        <v>71</v>
      </c>
      <c r="I261" s="30" t="n">
        <v>32</v>
      </c>
      <c r="J261" s="30" t="s">
        <v>155</v>
      </c>
      <c r="K261" s="30" t="s">
        <v>156</v>
      </c>
      <c r="L261" s="30" t="n">
        <v>27</v>
      </c>
      <c r="M261" s="30" t="s">
        <v>157</v>
      </c>
      <c r="N261" s="30"/>
      <c r="O261" s="30" t="n">
        <v>3</v>
      </c>
      <c r="P261" s="30" t="s">
        <v>157</v>
      </c>
      <c r="Q261" s="30" t="n">
        <v>15.1</v>
      </c>
    </row>
    <row r="262" customFormat="false" ht="15" hidden="false" customHeight="false" outlineLevel="0" collapsed="false">
      <c r="A262" s="30" t="s">
        <v>416</v>
      </c>
      <c r="B262" s="31" t="n">
        <v>46268</v>
      </c>
      <c r="C262" s="30" t="s">
        <v>96</v>
      </c>
      <c r="D262" s="30" t="s">
        <v>45</v>
      </c>
      <c r="E262" s="30" t="s">
        <v>62</v>
      </c>
      <c r="F262" s="30" t="n">
        <v>2</v>
      </c>
      <c r="G262" s="30" t="n">
        <v>0</v>
      </c>
      <c r="H262" s="30" t="s">
        <v>70</v>
      </c>
      <c r="I262" s="30" t="n">
        <v>34</v>
      </c>
      <c r="J262" s="30" t="s">
        <v>155</v>
      </c>
      <c r="K262" s="30" t="s">
        <v>157</v>
      </c>
      <c r="L262" s="30"/>
      <c r="M262" s="30" t="s">
        <v>157</v>
      </c>
      <c r="N262" s="30" t="s">
        <v>83</v>
      </c>
      <c r="O262" s="30"/>
      <c r="P262" s="30" t="s">
        <v>156</v>
      </c>
      <c r="Q262" s="30" t="n">
        <v>14.8</v>
      </c>
    </row>
    <row r="263" customFormat="false" ht="15" hidden="false" customHeight="false" outlineLevel="0" collapsed="false">
      <c r="A263" s="30" t="s">
        <v>417</v>
      </c>
      <c r="B263" s="31" t="n">
        <v>46268</v>
      </c>
      <c r="C263" s="30" t="s">
        <v>97</v>
      </c>
      <c r="D263" s="30" t="s">
        <v>46</v>
      </c>
      <c r="E263" s="30" t="s">
        <v>57</v>
      </c>
      <c r="F263" s="30" t="n">
        <v>3</v>
      </c>
      <c r="G263" s="30" t="n">
        <v>1</v>
      </c>
      <c r="H263" s="30" t="s">
        <v>71</v>
      </c>
      <c r="I263" s="30" t="n">
        <v>38</v>
      </c>
      <c r="J263" s="30" t="s">
        <v>155</v>
      </c>
      <c r="K263" s="30" t="s">
        <v>156</v>
      </c>
      <c r="L263" s="30" t="n">
        <v>18</v>
      </c>
      <c r="M263" s="30" t="s">
        <v>156</v>
      </c>
      <c r="N263" s="30"/>
      <c r="O263" s="30" t="n">
        <v>5</v>
      </c>
      <c r="P263" s="30" t="s">
        <v>156</v>
      </c>
      <c r="Q263" s="30" t="n">
        <v>13</v>
      </c>
    </row>
    <row r="264" customFormat="false" ht="15" hidden="false" customHeight="false" outlineLevel="0" collapsed="false">
      <c r="A264" s="30" t="s">
        <v>417</v>
      </c>
      <c r="B264" s="31" t="n">
        <v>46268</v>
      </c>
      <c r="C264" s="30" t="s">
        <v>97</v>
      </c>
      <c r="D264" s="30" t="s">
        <v>46</v>
      </c>
      <c r="E264" s="30" t="s">
        <v>57</v>
      </c>
      <c r="F264" s="30" t="n">
        <v>3</v>
      </c>
      <c r="G264" s="30" t="n">
        <v>1</v>
      </c>
      <c r="H264" s="30" t="s">
        <v>71</v>
      </c>
      <c r="I264" s="30" t="n">
        <v>38</v>
      </c>
      <c r="J264" s="30" t="s">
        <v>155</v>
      </c>
      <c r="K264" s="30" t="s">
        <v>156</v>
      </c>
      <c r="L264" s="30" t="n">
        <v>18</v>
      </c>
      <c r="M264" s="30" t="s">
        <v>156</v>
      </c>
      <c r="N264" s="30"/>
      <c r="O264" s="30" t="n">
        <v>5</v>
      </c>
      <c r="P264" s="30" t="s">
        <v>156</v>
      </c>
      <c r="Q264" s="30" t="n">
        <v>13</v>
      </c>
    </row>
    <row r="265" customFormat="false" ht="15" hidden="false" customHeight="false" outlineLevel="0" collapsed="false">
      <c r="A265" s="30" t="s">
        <v>418</v>
      </c>
      <c r="B265" s="31" t="n">
        <v>46268</v>
      </c>
      <c r="C265" s="30" t="s">
        <v>98</v>
      </c>
      <c r="D265" s="30" t="s">
        <v>46</v>
      </c>
      <c r="E265" s="30" t="s">
        <v>57</v>
      </c>
      <c r="F265" s="30" t="n">
        <v>8</v>
      </c>
      <c r="G265" s="30" t="n">
        <v>1</v>
      </c>
      <c r="H265" s="30" t="s">
        <v>70</v>
      </c>
      <c r="I265" s="30" t="n">
        <v>37</v>
      </c>
      <c r="J265" s="30" t="s">
        <v>155</v>
      </c>
      <c r="K265" s="30" t="s">
        <v>156</v>
      </c>
      <c r="L265" s="30" t="n">
        <v>26</v>
      </c>
      <c r="M265" s="30" t="s">
        <v>157</v>
      </c>
      <c r="N265" s="30"/>
      <c r="O265" s="30" t="n">
        <v>4</v>
      </c>
      <c r="P265" s="30" t="s">
        <v>157</v>
      </c>
      <c r="Q265" s="30" t="n">
        <v>4.8</v>
      </c>
    </row>
    <row r="266" customFormat="false" ht="15" hidden="false" customHeight="false" outlineLevel="0" collapsed="false">
      <c r="A266" s="30" t="s">
        <v>419</v>
      </c>
      <c r="B266" s="31" t="n">
        <v>46268</v>
      </c>
      <c r="C266" s="30" t="s">
        <v>98</v>
      </c>
      <c r="D266" s="30" t="s">
        <v>46</v>
      </c>
      <c r="E266" s="30" t="s">
        <v>57</v>
      </c>
      <c r="F266" s="30" t="n">
        <v>3</v>
      </c>
      <c r="G266" s="30" t="n">
        <v>1</v>
      </c>
      <c r="H266" s="30" t="s">
        <v>71</v>
      </c>
      <c r="I266" s="30" t="n">
        <v>38</v>
      </c>
      <c r="J266" s="30" t="s">
        <v>164</v>
      </c>
      <c r="K266" s="30" t="s">
        <v>156</v>
      </c>
      <c r="L266" s="30" t="n">
        <v>51</v>
      </c>
      <c r="M266" s="30" t="s">
        <v>156</v>
      </c>
      <c r="N266" s="30"/>
      <c r="O266" s="30" t="n">
        <v>4</v>
      </c>
      <c r="P266" s="30" t="s">
        <v>157</v>
      </c>
      <c r="Q266" s="30" t="n">
        <v>2.5</v>
      </c>
    </row>
    <row r="267" customFormat="false" ht="15" hidden="false" customHeight="false" outlineLevel="0" collapsed="false">
      <c r="A267" s="30" t="s">
        <v>420</v>
      </c>
      <c r="B267" s="31" t="n">
        <v>46268</v>
      </c>
      <c r="C267" s="30" t="s">
        <v>98</v>
      </c>
      <c r="D267" s="30" t="s">
        <v>46</v>
      </c>
      <c r="E267" s="30" t="s">
        <v>58</v>
      </c>
      <c r="F267" s="30" t="n">
        <v>1</v>
      </c>
      <c r="G267" s="30" t="n">
        <v>1</v>
      </c>
      <c r="H267" s="30" t="s">
        <v>71</v>
      </c>
      <c r="I267" s="30" t="n">
        <v>26</v>
      </c>
      <c r="J267" s="30" t="s">
        <v>176</v>
      </c>
      <c r="K267" s="30" t="s">
        <v>156</v>
      </c>
      <c r="L267" s="30" t="n">
        <v>19</v>
      </c>
      <c r="M267" s="30" t="s">
        <v>157</v>
      </c>
      <c r="N267" s="30"/>
      <c r="O267" s="30" t="n">
        <v>5</v>
      </c>
      <c r="P267" s="30" t="s">
        <v>157</v>
      </c>
      <c r="Q267" s="30" t="n">
        <v>2.5</v>
      </c>
    </row>
    <row r="268" customFormat="false" ht="15" hidden="false" customHeight="false" outlineLevel="0" collapsed="false">
      <c r="A268" s="30" t="s">
        <v>421</v>
      </c>
      <c r="B268" s="31" t="n">
        <v>46268</v>
      </c>
      <c r="C268" s="30" t="s">
        <v>98</v>
      </c>
      <c r="D268" s="30" t="s">
        <v>46</v>
      </c>
      <c r="E268" s="30" t="s">
        <v>61</v>
      </c>
      <c r="F268" s="30" t="n">
        <v>2</v>
      </c>
      <c r="G268" s="30" t="n">
        <v>4</v>
      </c>
      <c r="H268" s="30" t="s">
        <v>71</v>
      </c>
      <c r="I268" s="30" t="n">
        <v>38</v>
      </c>
      <c r="J268" s="30" t="s">
        <v>159</v>
      </c>
      <c r="K268" s="30" t="s">
        <v>156</v>
      </c>
      <c r="L268" s="30" t="n">
        <v>11</v>
      </c>
      <c r="M268" s="30" t="s">
        <v>157</v>
      </c>
      <c r="N268" s="30"/>
      <c r="O268" s="30" t="n">
        <v>4</v>
      </c>
      <c r="P268" s="30" t="s">
        <v>157</v>
      </c>
      <c r="Q268" s="30" t="n">
        <v>4.8</v>
      </c>
    </row>
    <row r="269" customFormat="false" ht="15" hidden="false" customHeight="false" outlineLevel="0" collapsed="false">
      <c r="A269" s="30" t="s">
        <v>422</v>
      </c>
      <c r="B269" s="31" t="n">
        <v>46268</v>
      </c>
      <c r="C269" s="30" t="s">
        <v>97</v>
      </c>
      <c r="D269" s="30" t="s">
        <v>46</v>
      </c>
      <c r="E269" s="30" t="s">
        <v>57</v>
      </c>
      <c r="F269" s="30" t="n">
        <v>5</v>
      </c>
      <c r="G269" s="30" t="n">
        <v>3</v>
      </c>
      <c r="H269" s="30" t="s">
        <v>70</v>
      </c>
      <c r="I269" s="30" t="n">
        <v>26</v>
      </c>
      <c r="J269" s="30" t="s">
        <v>159</v>
      </c>
      <c r="K269" s="30" t="s">
        <v>156</v>
      </c>
      <c r="L269" s="30" t="n">
        <v>43</v>
      </c>
      <c r="M269" s="30" t="s">
        <v>156</v>
      </c>
      <c r="N269" s="30"/>
      <c r="O269" s="30" t="n">
        <v>3</v>
      </c>
      <c r="P269" s="30" t="s">
        <v>157</v>
      </c>
      <c r="Q269" s="30" t="n">
        <v>19.1</v>
      </c>
    </row>
    <row r="270" customFormat="false" ht="15" hidden="false" customHeight="false" outlineLevel="0" collapsed="false">
      <c r="A270" s="30" t="s">
        <v>423</v>
      </c>
      <c r="B270" s="31" t="n">
        <v>46268</v>
      </c>
      <c r="C270" s="30" t="s">
        <v>97</v>
      </c>
      <c r="D270" s="30" t="s">
        <v>46</v>
      </c>
      <c r="E270" s="30" t="s">
        <v>57</v>
      </c>
      <c r="F270" s="30" t="n">
        <v>3</v>
      </c>
      <c r="G270" s="30" t="n">
        <v>3</v>
      </c>
      <c r="H270" s="30" t="s">
        <v>70</v>
      </c>
      <c r="I270" s="30" t="n">
        <v>43</v>
      </c>
      <c r="J270" s="30" t="s">
        <v>176</v>
      </c>
      <c r="K270" s="30" t="s">
        <v>156</v>
      </c>
      <c r="L270" s="30" t="n">
        <v>17</v>
      </c>
      <c r="M270" s="30" t="s">
        <v>156</v>
      </c>
      <c r="N270" s="30"/>
      <c r="O270" s="30" t="n">
        <v>2</v>
      </c>
      <c r="P270" s="30" t="s">
        <v>156</v>
      </c>
      <c r="Q270" s="30" t="n">
        <v>15.5</v>
      </c>
    </row>
    <row r="271" customFormat="false" ht="15" hidden="false" customHeight="false" outlineLevel="0" collapsed="false">
      <c r="A271" s="30" t="s">
        <v>424</v>
      </c>
      <c r="B271" s="31" t="n">
        <v>46268</v>
      </c>
      <c r="C271" s="30" t="s">
        <v>99</v>
      </c>
      <c r="D271" s="30" t="s">
        <v>47</v>
      </c>
      <c r="E271" s="30" t="s">
        <v>57</v>
      </c>
      <c r="F271" s="30" t="n">
        <v>6</v>
      </c>
      <c r="G271" s="30" t="n">
        <v>3</v>
      </c>
      <c r="H271" s="30" t="s">
        <v>71</v>
      </c>
      <c r="I271" s="30" t="n">
        <v>46</v>
      </c>
      <c r="J271" s="30" t="s">
        <v>164</v>
      </c>
      <c r="K271" s="30" t="s">
        <v>156</v>
      </c>
      <c r="L271" s="30" t="n">
        <v>62</v>
      </c>
      <c r="M271" s="30" t="s">
        <v>157</v>
      </c>
      <c r="N271" s="30"/>
      <c r="O271" s="30" t="n">
        <v>5</v>
      </c>
      <c r="P271" s="30" t="s">
        <v>156</v>
      </c>
      <c r="Q271" s="30" t="n">
        <v>13.5</v>
      </c>
    </row>
    <row r="272" customFormat="false" ht="15" hidden="false" customHeight="false" outlineLevel="0" collapsed="false">
      <c r="A272" s="30" t="s">
        <v>425</v>
      </c>
      <c r="B272" s="31" t="n">
        <v>46269</v>
      </c>
      <c r="C272" s="30" t="s">
        <v>94</v>
      </c>
      <c r="D272" s="30" t="s">
        <v>44</v>
      </c>
      <c r="E272" s="30" t="s">
        <v>56</v>
      </c>
      <c r="F272" s="30" t="n">
        <v>1</v>
      </c>
      <c r="G272" s="30" t="n">
        <v>1</v>
      </c>
      <c r="H272" s="30" t="s">
        <v>70</v>
      </c>
      <c r="I272" s="30" t="n">
        <v>38</v>
      </c>
      <c r="J272" s="30" t="s">
        <v>176</v>
      </c>
      <c r="K272" s="30" t="s">
        <v>156</v>
      </c>
      <c r="L272" s="30" t="n">
        <v>67</v>
      </c>
      <c r="M272" s="30" t="s">
        <v>157</v>
      </c>
      <c r="N272" s="30"/>
      <c r="O272" s="30" t="n">
        <v>5</v>
      </c>
      <c r="P272" s="30" t="s">
        <v>157</v>
      </c>
      <c r="Q272" s="30" t="n">
        <v>13.2</v>
      </c>
    </row>
    <row r="273" customFormat="false" ht="15" hidden="false" customHeight="false" outlineLevel="0" collapsed="false">
      <c r="A273" s="30" t="s">
        <v>426</v>
      </c>
      <c r="B273" s="31" t="n">
        <v>46269</v>
      </c>
      <c r="C273" s="30" t="s">
        <v>95</v>
      </c>
      <c r="D273" s="30" t="s">
        <v>44</v>
      </c>
      <c r="E273" s="30" t="s">
        <v>60</v>
      </c>
      <c r="F273" s="30" t="n">
        <v>3</v>
      </c>
      <c r="G273" s="30" t="n">
        <v>4</v>
      </c>
      <c r="H273" s="30" t="s">
        <v>71</v>
      </c>
      <c r="I273" s="30" t="n">
        <v>53</v>
      </c>
      <c r="J273" s="30" t="s">
        <v>155</v>
      </c>
      <c r="K273" s="30" t="s">
        <v>156</v>
      </c>
      <c r="L273" s="30" t="n">
        <v>53</v>
      </c>
      <c r="M273" s="30" t="s">
        <v>156</v>
      </c>
      <c r="N273" s="30"/>
      <c r="O273" s="30" t="n">
        <v>4</v>
      </c>
      <c r="P273" s="30" t="s">
        <v>157</v>
      </c>
      <c r="Q273" s="30" t="n">
        <v>15.6</v>
      </c>
    </row>
    <row r="274" customFormat="false" ht="15" hidden="false" customHeight="false" outlineLevel="0" collapsed="false">
      <c r="A274" s="30" t="s">
        <v>427</v>
      </c>
      <c r="B274" s="31" t="n">
        <v>46269</v>
      </c>
      <c r="C274" s="30" t="s">
        <v>94</v>
      </c>
      <c r="D274" s="30" t="s">
        <v>44</v>
      </c>
      <c r="E274" s="30" t="s">
        <v>56</v>
      </c>
      <c r="F274" s="30" t="n">
        <v>3</v>
      </c>
      <c r="G274" s="30" t="n">
        <v>1</v>
      </c>
      <c r="H274" s="30" t="s">
        <v>71</v>
      </c>
      <c r="I274" s="30" t="n">
        <v>42</v>
      </c>
      <c r="J274" s="30" t="s">
        <v>176</v>
      </c>
      <c r="K274" s="30" t="s">
        <v>156</v>
      </c>
      <c r="L274" s="30" t="n">
        <v>58</v>
      </c>
      <c r="M274" s="30" t="s">
        <v>157</v>
      </c>
      <c r="N274" s="30"/>
      <c r="O274" s="30" t="n">
        <v>4</v>
      </c>
      <c r="P274" s="30" t="s">
        <v>157</v>
      </c>
      <c r="Q274" s="30" t="n">
        <v>15.2</v>
      </c>
    </row>
    <row r="275" customFormat="false" ht="15" hidden="false" customHeight="false" outlineLevel="0" collapsed="false">
      <c r="A275" s="30" t="s">
        <v>428</v>
      </c>
      <c r="B275" s="31" t="n">
        <v>46269</v>
      </c>
      <c r="C275" s="30" t="s">
        <v>94</v>
      </c>
      <c r="D275" s="30" t="s">
        <v>44</v>
      </c>
      <c r="E275" s="30" t="s">
        <v>56</v>
      </c>
      <c r="F275" s="30" t="n">
        <v>4</v>
      </c>
      <c r="G275" s="30" t="n">
        <v>0</v>
      </c>
      <c r="H275" s="30" t="s">
        <v>70</v>
      </c>
      <c r="I275" s="30" t="n">
        <v>34</v>
      </c>
      <c r="J275" s="30" t="s">
        <v>155</v>
      </c>
      <c r="K275" s="30" t="s">
        <v>156</v>
      </c>
      <c r="L275" s="30" t="n">
        <v>32</v>
      </c>
      <c r="M275" s="30" t="s">
        <v>156</v>
      </c>
      <c r="N275" s="30"/>
      <c r="O275" s="30" t="n">
        <v>3</v>
      </c>
      <c r="P275" s="30" t="s">
        <v>156</v>
      </c>
      <c r="Q275" s="30" t="n">
        <v>11.8</v>
      </c>
    </row>
    <row r="276" customFormat="false" ht="15" hidden="false" customHeight="false" outlineLevel="0" collapsed="false">
      <c r="A276" s="30" t="s">
        <v>429</v>
      </c>
      <c r="B276" s="31" t="n">
        <v>46269</v>
      </c>
      <c r="C276" s="30" t="s">
        <v>95</v>
      </c>
      <c r="D276" s="30" t="s">
        <v>44</v>
      </c>
      <c r="E276" s="30" t="s">
        <v>56</v>
      </c>
      <c r="F276" s="30" t="n">
        <v>2</v>
      </c>
      <c r="G276" s="30" t="n">
        <v>0</v>
      </c>
      <c r="H276" s="30" t="s">
        <v>70</v>
      </c>
      <c r="I276" s="30" t="n">
        <v>19</v>
      </c>
      <c r="J276" s="30" t="s">
        <v>159</v>
      </c>
      <c r="K276" s="30" t="s">
        <v>156</v>
      </c>
      <c r="L276" s="30" t="n">
        <v>59</v>
      </c>
      <c r="M276" s="30" t="s">
        <v>157</v>
      </c>
      <c r="N276" s="30"/>
      <c r="O276" s="30" t="n">
        <v>5</v>
      </c>
      <c r="P276" s="30" t="s">
        <v>157</v>
      </c>
      <c r="Q276" s="30" t="n">
        <v>13.4</v>
      </c>
    </row>
    <row r="277" customFormat="false" ht="15" hidden="false" customHeight="false" outlineLevel="0" collapsed="false">
      <c r="A277" s="30" t="s">
        <v>430</v>
      </c>
      <c r="B277" s="31" t="n">
        <v>46269</v>
      </c>
      <c r="C277" s="30" t="s">
        <v>95</v>
      </c>
      <c r="D277" s="30" t="s">
        <v>44</v>
      </c>
      <c r="E277" s="30" t="s">
        <v>56</v>
      </c>
      <c r="F277" s="30" t="n">
        <v>2</v>
      </c>
      <c r="G277" s="30" t="n">
        <v>3</v>
      </c>
      <c r="H277" s="30" t="s">
        <v>70</v>
      </c>
      <c r="I277" s="30" t="n">
        <v>31</v>
      </c>
      <c r="J277" s="30" t="s">
        <v>155</v>
      </c>
      <c r="K277" s="30" t="s">
        <v>156</v>
      </c>
      <c r="L277" s="30" t="n">
        <v>28</v>
      </c>
      <c r="M277" s="30" t="s">
        <v>156</v>
      </c>
      <c r="N277" s="30"/>
      <c r="O277" s="30" t="n">
        <v>3</v>
      </c>
      <c r="P277" s="30" t="s">
        <v>157</v>
      </c>
      <c r="Q277" s="30" t="n">
        <v>14.6</v>
      </c>
    </row>
    <row r="278" customFormat="false" ht="15" hidden="false" customHeight="false" outlineLevel="0" collapsed="false">
      <c r="A278" s="30" t="s">
        <v>431</v>
      </c>
      <c r="B278" s="31" t="n">
        <v>46269</v>
      </c>
      <c r="C278" s="30" t="s">
        <v>95</v>
      </c>
      <c r="D278" s="30" t="s">
        <v>44</v>
      </c>
      <c r="E278" s="30" t="s">
        <v>57</v>
      </c>
      <c r="F278" s="30" t="n">
        <v>4</v>
      </c>
      <c r="G278" s="30" t="n">
        <v>1</v>
      </c>
      <c r="H278" s="30" t="s">
        <v>71</v>
      </c>
      <c r="I278" s="30" t="n">
        <v>64</v>
      </c>
      <c r="J278" s="30" t="s">
        <v>155</v>
      </c>
      <c r="K278" s="30" t="s">
        <v>156</v>
      </c>
      <c r="L278" s="30" t="n">
        <v>36</v>
      </c>
      <c r="M278" s="30" t="s">
        <v>157</v>
      </c>
      <c r="N278" s="30"/>
      <c r="O278" s="30" t="n">
        <v>1</v>
      </c>
      <c r="P278" s="30" t="s">
        <v>157</v>
      </c>
      <c r="Q278" s="30" t="n">
        <v>10.5</v>
      </c>
    </row>
    <row r="279" customFormat="false" ht="15" hidden="false" customHeight="false" outlineLevel="0" collapsed="false">
      <c r="A279" s="30" t="s">
        <v>432</v>
      </c>
      <c r="B279" s="31" t="n">
        <v>46269</v>
      </c>
      <c r="C279" s="30" t="s">
        <v>95</v>
      </c>
      <c r="D279" s="30" t="s">
        <v>44</v>
      </c>
      <c r="E279" s="30" t="s">
        <v>60</v>
      </c>
      <c r="F279" s="30" t="n">
        <v>9</v>
      </c>
      <c r="G279" s="30" t="n">
        <v>0</v>
      </c>
      <c r="H279" s="30" t="s">
        <v>71</v>
      </c>
      <c r="I279" s="30" t="n">
        <v>31</v>
      </c>
      <c r="J279" s="30" t="s">
        <v>159</v>
      </c>
      <c r="K279" s="30" t="s">
        <v>156</v>
      </c>
      <c r="L279" s="30" t="n">
        <v>53</v>
      </c>
      <c r="M279" s="30" t="s">
        <v>156</v>
      </c>
      <c r="N279" s="30"/>
      <c r="O279" s="30" t="n">
        <v>5</v>
      </c>
      <c r="P279" s="30" t="s">
        <v>157</v>
      </c>
      <c r="Q279" s="30" t="n">
        <v>13</v>
      </c>
    </row>
    <row r="280" customFormat="false" ht="15" hidden="false" customHeight="false" outlineLevel="0" collapsed="false">
      <c r="A280" s="30" t="s">
        <v>433</v>
      </c>
      <c r="B280" s="31" t="n">
        <v>46269</v>
      </c>
      <c r="C280" s="30" t="s">
        <v>94</v>
      </c>
      <c r="D280" s="30" t="s">
        <v>44</v>
      </c>
      <c r="E280" s="30" t="s">
        <v>56</v>
      </c>
      <c r="F280" s="30" t="n">
        <v>14</v>
      </c>
      <c r="G280" s="30" t="n">
        <v>1</v>
      </c>
      <c r="H280" s="30" t="s">
        <v>70</v>
      </c>
      <c r="I280" s="30" t="n">
        <v>33</v>
      </c>
      <c r="J280" s="30" t="s">
        <v>159</v>
      </c>
      <c r="K280" s="30" t="s">
        <v>156</v>
      </c>
      <c r="L280" s="30" t="n">
        <v>26</v>
      </c>
      <c r="M280" s="30" t="s">
        <v>156</v>
      </c>
      <c r="N280" s="30"/>
      <c r="O280" s="30" t="n">
        <v>3</v>
      </c>
      <c r="P280" s="30" t="s">
        <v>156</v>
      </c>
      <c r="Q280" s="30" t="n">
        <v>11.3</v>
      </c>
    </row>
    <row r="281" customFormat="false" ht="15" hidden="false" customHeight="false" outlineLevel="0" collapsed="false">
      <c r="A281" s="30" t="s">
        <v>434</v>
      </c>
      <c r="B281" s="31" t="n">
        <v>46269</v>
      </c>
      <c r="C281" s="30" t="s">
        <v>95</v>
      </c>
      <c r="D281" s="30" t="s">
        <v>44</v>
      </c>
      <c r="E281" s="30" t="s">
        <v>61</v>
      </c>
      <c r="F281" s="30" t="n">
        <v>0</v>
      </c>
      <c r="G281" s="30" t="n">
        <v>0</v>
      </c>
      <c r="H281" s="30" t="s">
        <v>71</v>
      </c>
      <c r="I281" s="30" t="n">
        <v>35</v>
      </c>
      <c r="J281" s="30" t="s">
        <v>155</v>
      </c>
      <c r="K281" s="30" t="s">
        <v>156</v>
      </c>
      <c r="L281" s="30" t="n">
        <v>47</v>
      </c>
      <c r="M281" s="30" t="s">
        <v>157</v>
      </c>
      <c r="N281" s="30"/>
      <c r="O281" s="30" t="n">
        <v>5</v>
      </c>
      <c r="P281" s="30" t="s">
        <v>157</v>
      </c>
      <c r="Q281" s="30" t="n">
        <v>12.2</v>
      </c>
    </row>
    <row r="282" customFormat="false" ht="15" hidden="false" customHeight="false" outlineLevel="0" collapsed="false">
      <c r="A282" s="30" t="s">
        <v>435</v>
      </c>
      <c r="B282" s="31" t="n">
        <v>46269</v>
      </c>
      <c r="C282" s="30" t="s">
        <v>96</v>
      </c>
      <c r="D282" s="30" t="s">
        <v>45</v>
      </c>
      <c r="E282" s="30" t="s">
        <v>59</v>
      </c>
      <c r="F282" s="30" t="n">
        <v>6</v>
      </c>
      <c r="G282" s="30" t="n">
        <v>2</v>
      </c>
      <c r="H282" s="30" t="s">
        <v>70</v>
      </c>
      <c r="I282" s="30" t="n">
        <v>20</v>
      </c>
      <c r="J282" s="30" t="s">
        <v>159</v>
      </c>
      <c r="K282" s="30" t="s">
        <v>156</v>
      </c>
      <c r="L282" s="30" t="n">
        <v>32</v>
      </c>
      <c r="M282" s="30" t="s">
        <v>157</v>
      </c>
      <c r="N282" s="30"/>
      <c r="O282" s="30" t="n">
        <v>5</v>
      </c>
      <c r="P282" s="30" t="s">
        <v>156</v>
      </c>
      <c r="Q282" s="30" t="n">
        <v>17</v>
      </c>
    </row>
    <row r="283" customFormat="false" ht="15" hidden="false" customHeight="false" outlineLevel="0" collapsed="false">
      <c r="A283" s="30" t="s">
        <v>436</v>
      </c>
      <c r="B283" s="31" t="n">
        <v>46269</v>
      </c>
      <c r="C283" s="30" t="s">
        <v>96</v>
      </c>
      <c r="D283" s="30" t="s">
        <v>45</v>
      </c>
      <c r="E283" s="30" t="s">
        <v>57</v>
      </c>
      <c r="F283" s="30" t="n">
        <v>4</v>
      </c>
      <c r="G283" s="30" t="n">
        <v>3</v>
      </c>
      <c r="H283" s="30" t="s">
        <v>71</v>
      </c>
      <c r="I283" s="30" t="n">
        <v>40</v>
      </c>
      <c r="J283" s="30" t="s">
        <v>155</v>
      </c>
      <c r="K283" s="30" t="s">
        <v>156</v>
      </c>
      <c r="L283" s="30" t="n">
        <v>34</v>
      </c>
      <c r="M283" s="30" t="s">
        <v>157</v>
      </c>
      <c r="N283" s="30"/>
      <c r="O283" s="30" t="n">
        <v>3</v>
      </c>
      <c r="P283" s="30" t="s">
        <v>156</v>
      </c>
      <c r="Q283" s="30" t="n">
        <v>12</v>
      </c>
    </row>
    <row r="284" customFormat="false" ht="15" hidden="false" customHeight="false" outlineLevel="0" collapsed="false">
      <c r="A284" s="30" t="s">
        <v>437</v>
      </c>
      <c r="B284" s="31" t="n">
        <v>46269</v>
      </c>
      <c r="C284" s="30" t="s">
        <v>98</v>
      </c>
      <c r="D284" s="30"/>
      <c r="E284" s="30" t="s">
        <v>57</v>
      </c>
      <c r="F284" s="30" t="n">
        <v>9</v>
      </c>
      <c r="G284" s="30" t="n">
        <v>2</v>
      </c>
      <c r="H284" s="30" t="s">
        <v>70</v>
      </c>
      <c r="I284" s="30" t="n">
        <v>27</v>
      </c>
      <c r="J284" s="30" t="s">
        <v>159</v>
      </c>
      <c r="K284" s="30" t="s">
        <v>156</v>
      </c>
      <c r="L284" s="30" t="n">
        <v>38</v>
      </c>
      <c r="M284" s="30" t="s">
        <v>156</v>
      </c>
      <c r="N284" s="30"/>
      <c r="O284" s="30" t="n">
        <v>5</v>
      </c>
      <c r="P284" s="30" t="s">
        <v>157</v>
      </c>
      <c r="Q284" s="30" t="n">
        <v>5.9</v>
      </c>
    </row>
    <row r="285" customFormat="false" ht="15" hidden="false" customHeight="false" outlineLevel="0" collapsed="false">
      <c r="A285" s="30" t="s">
        <v>438</v>
      </c>
      <c r="B285" s="31" t="n">
        <v>46269</v>
      </c>
      <c r="C285" s="30" t="s">
        <v>97</v>
      </c>
      <c r="D285" s="30" t="s">
        <v>46</v>
      </c>
      <c r="E285" s="30" t="s">
        <v>56</v>
      </c>
      <c r="F285" s="30" t="n">
        <v>4</v>
      </c>
      <c r="G285" s="30" t="n">
        <v>1</v>
      </c>
      <c r="H285" s="30" t="s">
        <v>71</v>
      </c>
      <c r="I285" s="30" t="n">
        <v>43</v>
      </c>
      <c r="J285" s="30" t="s">
        <v>159</v>
      </c>
      <c r="K285" s="30" t="s">
        <v>157</v>
      </c>
      <c r="L285" s="30"/>
      <c r="M285" s="30" t="s">
        <v>157</v>
      </c>
      <c r="N285" s="30" t="s">
        <v>85</v>
      </c>
      <c r="O285" s="30"/>
      <c r="P285" s="30" t="s">
        <v>156</v>
      </c>
      <c r="Q285" s="30" t="n">
        <v>14.8</v>
      </c>
    </row>
    <row r="286" customFormat="false" ht="15" hidden="false" customHeight="false" outlineLevel="0" collapsed="false">
      <c r="A286" s="30" t="s">
        <v>439</v>
      </c>
      <c r="B286" s="31" t="n">
        <v>46269</v>
      </c>
      <c r="C286" s="30" t="s">
        <v>98</v>
      </c>
      <c r="D286" s="30" t="s">
        <v>46</v>
      </c>
      <c r="E286" s="30" t="s">
        <v>57</v>
      </c>
      <c r="F286" s="30" t="n">
        <v>9</v>
      </c>
      <c r="G286" s="30" t="n">
        <v>1</v>
      </c>
      <c r="H286" s="30" t="s">
        <v>71</v>
      </c>
      <c r="I286" s="30" t="n">
        <v>42</v>
      </c>
      <c r="J286" s="30" t="s">
        <v>155</v>
      </c>
      <c r="K286" s="30" t="s">
        <v>156</v>
      </c>
      <c r="L286" s="30" t="n">
        <v>20</v>
      </c>
      <c r="M286" s="30" t="s">
        <v>157</v>
      </c>
      <c r="N286" s="30"/>
      <c r="O286" s="30" t="n">
        <v>4</v>
      </c>
      <c r="P286" s="30" t="s">
        <v>156</v>
      </c>
      <c r="Q286" s="30" t="n">
        <v>11</v>
      </c>
    </row>
    <row r="287" customFormat="false" ht="15" hidden="false" customHeight="false" outlineLevel="0" collapsed="false">
      <c r="A287" s="30" t="s">
        <v>440</v>
      </c>
      <c r="B287" s="31" t="n">
        <v>46269</v>
      </c>
      <c r="C287" s="30" t="s">
        <v>99</v>
      </c>
      <c r="D287" s="30" t="s">
        <v>47</v>
      </c>
      <c r="E287" s="30" t="s">
        <v>61</v>
      </c>
      <c r="F287" s="30" t="n">
        <v>7</v>
      </c>
      <c r="G287" s="30" t="n">
        <v>3</v>
      </c>
      <c r="H287" s="30" t="s">
        <v>71</v>
      </c>
      <c r="I287" s="30" t="n">
        <v>53</v>
      </c>
      <c r="J287" s="30" t="s">
        <v>155</v>
      </c>
      <c r="K287" s="30" t="s">
        <v>157</v>
      </c>
      <c r="L287" s="30"/>
      <c r="M287" s="30" t="s">
        <v>156</v>
      </c>
      <c r="N287" s="30" t="s">
        <v>85</v>
      </c>
      <c r="O287" s="30"/>
      <c r="P287" s="30" t="s">
        <v>157</v>
      </c>
      <c r="Q287" s="30" t="n">
        <v>13.5</v>
      </c>
    </row>
    <row r="288" customFormat="false" ht="15" hidden="false" customHeight="false" outlineLevel="0" collapsed="false">
      <c r="A288" s="30" t="s">
        <v>441</v>
      </c>
      <c r="B288" s="31" t="n">
        <v>46269</v>
      </c>
      <c r="C288" s="30" t="s">
        <v>99</v>
      </c>
      <c r="D288" s="30" t="s">
        <v>47</v>
      </c>
      <c r="E288" s="30" t="s">
        <v>58</v>
      </c>
      <c r="F288" s="30" t="n">
        <v>9</v>
      </c>
      <c r="G288" s="30" t="n">
        <v>3</v>
      </c>
      <c r="H288" s="30" t="s">
        <v>71</v>
      </c>
      <c r="I288" s="30" t="n">
        <v>36</v>
      </c>
      <c r="J288" s="30" t="s">
        <v>155</v>
      </c>
      <c r="K288" s="30" t="s">
        <v>157</v>
      </c>
      <c r="L288" s="30"/>
      <c r="M288" s="30" t="s">
        <v>157</v>
      </c>
      <c r="N288" s="30" t="s">
        <v>77</v>
      </c>
      <c r="O288" s="30"/>
      <c r="P288" s="30" t="s">
        <v>156</v>
      </c>
      <c r="Q288" s="30" t="n">
        <v>18.2</v>
      </c>
    </row>
    <row r="289" customFormat="false" ht="15" hidden="false" customHeight="false" outlineLevel="0" collapsed="false">
      <c r="A289" s="30" t="s">
        <v>442</v>
      </c>
      <c r="B289" s="31" t="n">
        <v>46269</v>
      </c>
      <c r="C289" s="30" t="s">
        <v>100</v>
      </c>
      <c r="D289" s="30" t="s">
        <v>47</v>
      </c>
      <c r="E289" s="30" t="s">
        <v>57</v>
      </c>
      <c r="F289" s="30" t="n">
        <v>8</v>
      </c>
      <c r="G289" s="30" t="n">
        <v>3</v>
      </c>
      <c r="H289" s="30" t="s">
        <v>70</v>
      </c>
      <c r="I289" s="30" t="n">
        <v>46</v>
      </c>
      <c r="J289" s="30" t="s">
        <v>159</v>
      </c>
      <c r="K289" s="30" t="s">
        <v>156</v>
      </c>
      <c r="L289" s="30" t="n">
        <v>33</v>
      </c>
      <c r="M289" s="30" t="s">
        <v>156</v>
      </c>
      <c r="N289" s="30"/>
      <c r="O289" s="30" t="n">
        <v>5</v>
      </c>
      <c r="P289" s="30" t="s">
        <v>157</v>
      </c>
      <c r="Q289" s="30" t="n">
        <v>15.5</v>
      </c>
    </row>
    <row r="290" customFormat="false" ht="15" hidden="false" customHeight="false" outlineLevel="0" collapsed="false">
      <c r="A290" s="30" t="s">
        <v>443</v>
      </c>
      <c r="B290" s="31" t="n">
        <v>46269</v>
      </c>
      <c r="C290" s="30" t="s">
        <v>99</v>
      </c>
      <c r="D290" s="30" t="s">
        <v>47</v>
      </c>
      <c r="E290" s="30" t="s">
        <v>56</v>
      </c>
      <c r="F290" s="30" t="n">
        <v>2</v>
      </c>
      <c r="G290" s="30" t="n">
        <v>0</v>
      </c>
      <c r="H290" s="30" t="s">
        <v>71</v>
      </c>
      <c r="I290" s="30" t="n">
        <v>22</v>
      </c>
      <c r="J290" s="30" t="s">
        <v>155</v>
      </c>
      <c r="K290" s="30" t="s">
        <v>156</v>
      </c>
      <c r="L290" s="30" t="n">
        <v>42</v>
      </c>
      <c r="M290" s="30" t="s">
        <v>157</v>
      </c>
      <c r="N290" s="30"/>
      <c r="O290" s="30" t="n">
        <v>3</v>
      </c>
      <c r="P290" s="30" t="s">
        <v>156</v>
      </c>
      <c r="Q290" s="30" t="n">
        <v>10</v>
      </c>
    </row>
    <row r="291" customFormat="false" ht="15" hidden="false" customHeight="false" outlineLevel="0" collapsed="false">
      <c r="A291" s="30" t="s">
        <v>444</v>
      </c>
      <c r="B291" s="31" t="n">
        <v>46270</v>
      </c>
      <c r="C291" s="30" t="s">
        <v>94</v>
      </c>
      <c r="D291" s="30" t="s">
        <v>44</v>
      </c>
      <c r="E291" s="30" t="s">
        <v>56</v>
      </c>
      <c r="F291" s="30" t="n">
        <v>9</v>
      </c>
      <c r="G291" s="30" t="n">
        <v>1</v>
      </c>
      <c r="H291" s="30" t="s">
        <v>70</v>
      </c>
      <c r="I291" s="30" t="n">
        <v>31</v>
      </c>
      <c r="J291" s="30" t="s">
        <v>159</v>
      </c>
      <c r="K291" s="30" t="s">
        <v>156</v>
      </c>
      <c r="L291" s="30" t="n">
        <v>61</v>
      </c>
      <c r="M291" s="30" t="s">
        <v>157</v>
      </c>
      <c r="N291" s="30"/>
      <c r="O291" s="30" t="n">
        <v>3</v>
      </c>
      <c r="P291" s="30" t="s">
        <v>157</v>
      </c>
      <c r="Q291" s="30" t="n">
        <v>12</v>
      </c>
    </row>
    <row r="292" customFormat="false" ht="15" hidden="false" customHeight="false" outlineLevel="0" collapsed="false">
      <c r="A292" s="30" t="s">
        <v>445</v>
      </c>
      <c r="B292" s="31" t="n">
        <v>46270</v>
      </c>
      <c r="C292" s="30" t="s">
        <v>94</v>
      </c>
      <c r="D292" s="30" t="s">
        <v>44</v>
      </c>
      <c r="E292" s="30" t="s">
        <v>57</v>
      </c>
      <c r="F292" s="30" t="n">
        <v>4</v>
      </c>
      <c r="G292" s="30" t="n">
        <v>4</v>
      </c>
      <c r="H292" s="30" t="s">
        <v>71</v>
      </c>
      <c r="I292" s="30" t="n">
        <v>45</v>
      </c>
      <c r="J292" s="30" t="s">
        <v>155</v>
      </c>
      <c r="K292" s="30" t="s">
        <v>156</v>
      </c>
      <c r="L292" s="30" t="n">
        <v>59</v>
      </c>
      <c r="M292" s="30" t="s">
        <v>157</v>
      </c>
      <c r="N292" s="30"/>
      <c r="O292" s="30" t="n">
        <v>5</v>
      </c>
      <c r="P292" s="30" t="s">
        <v>157</v>
      </c>
      <c r="Q292" s="30" t="n">
        <v>17.8</v>
      </c>
    </row>
    <row r="293" customFormat="false" ht="15" hidden="false" customHeight="false" outlineLevel="0" collapsed="false">
      <c r="A293" s="30" t="s">
        <v>446</v>
      </c>
      <c r="B293" s="31" t="n">
        <v>46270</v>
      </c>
      <c r="C293" s="30" t="s">
        <v>95</v>
      </c>
      <c r="D293" s="30" t="s">
        <v>44</v>
      </c>
      <c r="E293" s="30" t="s">
        <v>60</v>
      </c>
      <c r="F293" s="30" t="n">
        <v>12</v>
      </c>
      <c r="G293" s="30" t="n">
        <v>1</v>
      </c>
      <c r="H293" s="30" t="s">
        <v>70</v>
      </c>
      <c r="I293" s="30" t="n">
        <v>31</v>
      </c>
      <c r="J293" s="30" t="s">
        <v>155</v>
      </c>
      <c r="K293" s="30" t="s">
        <v>156</v>
      </c>
      <c r="L293" s="30" t="n">
        <v>37</v>
      </c>
      <c r="M293" s="30" t="s">
        <v>156</v>
      </c>
      <c r="N293" s="30"/>
      <c r="O293" s="30" t="n">
        <v>4</v>
      </c>
      <c r="P293" s="30" t="s">
        <v>157</v>
      </c>
      <c r="Q293" s="30" t="n">
        <v>17.4</v>
      </c>
    </row>
    <row r="294" customFormat="false" ht="15" hidden="false" customHeight="false" outlineLevel="0" collapsed="false">
      <c r="A294" s="30" t="s">
        <v>447</v>
      </c>
      <c r="B294" s="31" t="n">
        <v>46270</v>
      </c>
      <c r="C294" s="30" t="s">
        <v>95</v>
      </c>
      <c r="D294" s="30" t="s">
        <v>44</v>
      </c>
      <c r="E294" s="30" t="s">
        <v>56</v>
      </c>
      <c r="F294" s="30" t="n">
        <v>3</v>
      </c>
      <c r="G294" s="30" t="n">
        <v>0</v>
      </c>
      <c r="H294" s="30" t="s">
        <v>70</v>
      </c>
      <c r="I294" s="30" t="n">
        <v>52</v>
      </c>
      <c r="J294" s="30" t="s">
        <v>176</v>
      </c>
      <c r="K294" s="30" t="s">
        <v>156</v>
      </c>
      <c r="L294" s="30" t="n">
        <v>49</v>
      </c>
      <c r="M294" s="30" t="s">
        <v>157</v>
      </c>
      <c r="N294" s="30"/>
      <c r="O294" s="30" t="n">
        <v>5</v>
      </c>
      <c r="P294" s="30" t="s">
        <v>157</v>
      </c>
      <c r="Q294" s="30" t="n">
        <v>8</v>
      </c>
    </row>
    <row r="295" customFormat="false" ht="15" hidden="false" customHeight="false" outlineLevel="0" collapsed="false">
      <c r="A295" s="30" t="s">
        <v>448</v>
      </c>
      <c r="B295" s="31" t="n">
        <v>46270</v>
      </c>
      <c r="C295" s="30" t="s">
        <v>96</v>
      </c>
      <c r="D295" s="30" t="s">
        <v>45</v>
      </c>
      <c r="E295" s="30" t="s">
        <v>59</v>
      </c>
      <c r="F295" s="30" t="n">
        <v>2</v>
      </c>
      <c r="G295" s="30" t="n">
        <v>3</v>
      </c>
      <c r="H295" s="30" t="s">
        <v>71</v>
      </c>
      <c r="I295" s="30" t="n">
        <v>30</v>
      </c>
      <c r="J295" s="30" t="s">
        <v>159</v>
      </c>
      <c r="K295" s="30" t="s">
        <v>157</v>
      </c>
      <c r="L295" s="30"/>
      <c r="M295" s="30" t="s">
        <v>157</v>
      </c>
      <c r="N295" s="30" t="s">
        <v>79</v>
      </c>
      <c r="O295" s="30"/>
      <c r="P295" s="30" t="s">
        <v>156</v>
      </c>
      <c r="Q295" s="30" t="n">
        <v>9.2</v>
      </c>
    </row>
    <row r="296" customFormat="false" ht="15" hidden="false" customHeight="false" outlineLevel="0" collapsed="false">
      <c r="A296" s="30" t="s">
        <v>448</v>
      </c>
      <c r="B296" s="31" t="n">
        <v>46270</v>
      </c>
      <c r="C296" s="30" t="s">
        <v>96</v>
      </c>
      <c r="D296" s="30" t="s">
        <v>45</v>
      </c>
      <c r="E296" s="30" t="s">
        <v>59</v>
      </c>
      <c r="F296" s="30" t="n">
        <v>2</v>
      </c>
      <c r="G296" s="30" t="n">
        <v>3</v>
      </c>
      <c r="H296" s="30" t="s">
        <v>71</v>
      </c>
      <c r="I296" s="30" t="n">
        <v>30</v>
      </c>
      <c r="J296" s="30" t="s">
        <v>159</v>
      </c>
      <c r="K296" s="30" t="s">
        <v>157</v>
      </c>
      <c r="L296" s="30"/>
      <c r="M296" s="30" t="s">
        <v>157</v>
      </c>
      <c r="N296" s="30" t="s">
        <v>79</v>
      </c>
      <c r="O296" s="30"/>
      <c r="P296" s="30" t="s">
        <v>156</v>
      </c>
      <c r="Q296" s="30" t="n">
        <v>9.2</v>
      </c>
    </row>
    <row r="297" customFormat="false" ht="15" hidden="false" customHeight="false" outlineLevel="0" collapsed="false">
      <c r="A297" s="30" t="s">
        <v>449</v>
      </c>
      <c r="B297" s="31" t="n">
        <v>46270</v>
      </c>
      <c r="C297" s="30" t="s">
        <v>97</v>
      </c>
      <c r="D297" s="30" t="s">
        <v>46</v>
      </c>
      <c r="E297" s="30" t="s">
        <v>58</v>
      </c>
      <c r="F297" s="30" t="n">
        <v>4</v>
      </c>
      <c r="G297" s="30" t="n">
        <v>3</v>
      </c>
      <c r="H297" s="30" t="s">
        <v>71</v>
      </c>
      <c r="I297" s="30" t="n">
        <v>48</v>
      </c>
      <c r="J297" s="30" t="s">
        <v>159</v>
      </c>
      <c r="K297" s="30" t="s">
        <v>157</v>
      </c>
      <c r="L297" s="30"/>
      <c r="M297" s="30" t="s">
        <v>157</v>
      </c>
      <c r="N297" s="30" t="s">
        <v>83</v>
      </c>
      <c r="O297" s="30"/>
      <c r="P297" s="30" t="s">
        <v>157</v>
      </c>
      <c r="Q297" s="30" t="n">
        <v>14.9</v>
      </c>
    </row>
    <row r="298" customFormat="false" ht="15" hidden="false" customHeight="false" outlineLevel="0" collapsed="false">
      <c r="A298" s="30" t="s">
        <v>450</v>
      </c>
      <c r="B298" s="31" t="n">
        <v>46270</v>
      </c>
      <c r="C298" s="30" t="s">
        <v>98</v>
      </c>
      <c r="D298" s="30" t="s">
        <v>46</v>
      </c>
      <c r="E298" s="30" t="s">
        <v>61</v>
      </c>
      <c r="F298" s="30" t="n">
        <v>1</v>
      </c>
      <c r="G298" s="30" t="n">
        <v>2</v>
      </c>
      <c r="H298" s="30" t="s">
        <v>71</v>
      </c>
      <c r="I298" s="30" t="n">
        <v>33</v>
      </c>
      <c r="J298" s="30" t="s">
        <v>176</v>
      </c>
      <c r="K298" s="30" t="s">
        <v>156</v>
      </c>
      <c r="L298" s="30" t="n">
        <v>22</v>
      </c>
      <c r="M298" s="30" t="s">
        <v>157</v>
      </c>
      <c r="N298" s="30"/>
      <c r="O298" s="30" t="n">
        <v>3</v>
      </c>
      <c r="P298" s="30" t="s">
        <v>157</v>
      </c>
      <c r="Q298" s="30" t="n">
        <v>11.1</v>
      </c>
    </row>
    <row r="299" customFormat="false" ht="15" hidden="false" customHeight="false" outlineLevel="0" collapsed="false">
      <c r="A299" s="30" t="s">
        <v>451</v>
      </c>
      <c r="B299" s="31" t="n">
        <v>46270</v>
      </c>
      <c r="C299" s="30" t="s">
        <v>97</v>
      </c>
      <c r="D299" s="30" t="s">
        <v>46</v>
      </c>
      <c r="E299" s="30" t="s">
        <v>59</v>
      </c>
      <c r="F299" s="30" t="n">
        <v>0</v>
      </c>
      <c r="G299" s="30" t="n">
        <v>3</v>
      </c>
      <c r="H299" s="30" t="s">
        <v>70</v>
      </c>
      <c r="I299" s="30" t="n">
        <v>34</v>
      </c>
      <c r="J299" s="30" t="s">
        <v>176</v>
      </c>
      <c r="K299" s="30" t="s">
        <v>156</v>
      </c>
      <c r="L299" s="30" t="n">
        <v>43</v>
      </c>
      <c r="M299" s="30" t="s">
        <v>156</v>
      </c>
      <c r="N299" s="30"/>
      <c r="O299" s="30" t="n">
        <v>5</v>
      </c>
      <c r="P299" s="30" t="s">
        <v>157</v>
      </c>
      <c r="Q299" s="30" t="n">
        <v>12.1</v>
      </c>
    </row>
    <row r="300" customFormat="false" ht="15" hidden="false" customHeight="false" outlineLevel="0" collapsed="false">
      <c r="A300" s="30" t="s">
        <v>452</v>
      </c>
      <c r="B300" s="31" t="n">
        <v>46270</v>
      </c>
      <c r="C300" s="30" t="s">
        <v>98</v>
      </c>
      <c r="D300" s="30" t="s">
        <v>46</v>
      </c>
      <c r="E300" s="30" t="s">
        <v>58</v>
      </c>
      <c r="F300" s="30" t="n">
        <v>4</v>
      </c>
      <c r="G300" s="30" t="n">
        <v>5</v>
      </c>
      <c r="H300" s="30" t="s">
        <v>71</v>
      </c>
      <c r="I300" s="30" t="n">
        <v>36</v>
      </c>
      <c r="J300" s="30" t="s">
        <v>155</v>
      </c>
      <c r="K300" s="30" t="s">
        <v>157</v>
      </c>
      <c r="L300" s="30"/>
      <c r="M300" s="30" t="s">
        <v>157</v>
      </c>
      <c r="N300" s="30" t="s">
        <v>77</v>
      </c>
      <c r="O300" s="30"/>
      <c r="P300" s="30" t="s">
        <v>156</v>
      </c>
      <c r="Q300" s="30" t="n">
        <v>7.3</v>
      </c>
    </row>
    <row r="301" customFormat="false" ht="15" hidden="false" customHeight="false" outlineLevel="0" collapsed="false">
      <c r="A301" s="30" t="s">
        <v>453</v>
      </c>
      <c r="B301" s="31" t="n">
        <v>46270</v>
      </c>
      <c r="C301" s="30" t="s">
        <v>98</v>
      </c>
      <c r="D301" s="30" t="s">
        <v>46</v>
      </c>
      <c r="E301" s="30" t="s">
        <v>56</v>
      </c>
      <c r="F301" s="30" t="n">
        <v>7</v>
      </c>
      <c r="G301" s="30" t="n">
        <v>2</v>
      </c>
      <c r="H301" s="30" t="s">
        <v>71</v>
      </c>
      <c r="I301" s="30" t="n">
        <v>49</v>
      </c>
      <c r="J301" s="30" t="s">
        <v>176</v>
      </c>
      <c r="K301" s="30" t="s">
        <v>156</v>
      </c>
      <c r="L301" s="30" t="n">
        <v>26</v>
      </c>
      <c r="M301" s="30" t="s">
        <v>157</v>
      </c>
      <c r="N301" s="30"/>
      <c r="O301" s="30" t="n">
        <v>4</v>
      </c>
      <c r="P301" s="30" t="s">
        <v>157</v>
      </c>
      <c r="Q301" s="30" t="n">
        <v>5.1</v>
      </c>
    </row>
    <row r="302" customFormat="false" ht="15" hidden="false" customHeight="false" outlineLevel="0" collapsed="false">
      <c r="A302" s="30" t="s">
        <v>454</v>
      </c>
      <c r="B302" s="31" t="n">
        <v>46270</v>
      </c>
      <c r="C302" s="30" t="s">
        <v>100</v>
      </c>
      <c r="D302" s="30" t="s">
        <v>47</v>
      </c>
      <c r="E302" s="30" t="s">
        <v>56</v>
      </c>
      <c r="F302" s="30" t="n">
        <v>6</v>
      </c>
      <c r="G302" s="30" t="n">
        <v>3</v>
      </c>
      <c r="H302" s="30" t="s">
        <v>70</v>
      </c>
      <c r="I302" s="30" t="n">
        <v>47</v>
      </c>
      <c r="J302" s="30" t="s">
        <v>159</v>
      </c>
      <c r="K302" s="30" t="s">
        <v>156</v>
      </c>
      <c r="L302" s="30" t="n">
        <v>56</v>
      </c>
      <c r="M302" s="30" t="s">
        <v>156</v>
      </c>
      <c r="N302" s="30"/>
      <c r="O302" s="30" t="n">
        <v>3</v>
      </c>
      <c r="P302" s="30" t="s">
        <v>157</v>
      </c>
      <c r="Q302" s="30" t="n">
        <v>14.2</v>
      </c>
    </row>
    <row r="303" customFormat="false" ht="15" hidden="false" customHeight="false" outlineLevel="0" collapsed="false">
      <c r="A303" s="30" t="s">
        <v>455</v>
      </c>
      <c r="B303" s="31" t="n">
        <v>46270</v>
      </c>
      <c r="C303" s="30" t="s">
        <v>99</v>
      </c>
      <c r="D303" s="30" t="s">
        <v>47</v>
      </c>
      <c r="E303" s="30" t="s">
        <v>56</v>
      </c>
      <c r="F303" s="30" t="n">
        <v>8</v>
      </c>
      <c r="G303" s="30" t="n">
        <v>3</v>
      </c>
      <c r="H303" s="30" t="s">
        <v>71</v>
      </c>
      <c r="I303" s="30" t="n">
        <v>43</v>
      </c>
      <c r="J303" s="30" t="s">
        <v>159</v>
      </c>
      <c r="K303" s="30" t="s">
        <v>156</v>
      </c>
      <c r="L303" s="30" t="n">
        <v>28</v>
      </c>
      <c r="M303" s="30" t="s">
        <v>156</v>
      </c>
      <c r="N303" s="30"/>
      <c r="O303" s="30" t="n">
        <v>4</v>
      </c>
      <c r="P303" s="30" t="s">
        <v>156</v>
      </c>
      <c r="Q303" s="30" t="n">
        <v>13.7</v>
      </c>
    </row>
    <row r="304" customFormat="false" ht="15" hidden="false" customHeight="false" outlineLevel="0" collapsed="false">
      <c r="A304" s="30" t="s">
        <v>456</v>
      </c>
      <c r="B304" s="31" t="n">
        <v>46270</v>
      </c>
      <c r="C304" s="30" t="s">
        <v>99</v>
      </c>
      <c r="D304" s="30" t="s">
        <v>47</v>
      </c>
      <c r="E304" s="30" t="s">
        <v>60</v>
      </c>
      <c r="F304" s="30" t="n">
        <v>2</v>
      </c>
      <c r="G304" s="30" t="n">
        <v>1</v>
      </c>
      <c r="H304" s="30" t="s">
        <v>71</v>
      </c>
      <c r="I304" s="30" t="n">
        <v>26</v>
      </c>
      <c r="J304" s="30" t="s">
        <v>164</v>
      </c>
      <c r="K304" s="30" t="s">
        <v>156</v>
      </c>
      <c r="L304" s="30" t="n">
        <v>30</v>
      </c>
      <c r="M304" s="30" t="s">
        <v>156</v>
      </c>
      <c r="N304" s="30"/>
      <c r="O304" s="30" t="n">
        <v>2</v>
      </c>
      <c r="P304" s="30" t="s">
        <v>157</v>
      </c>
      <c r="Q304" s="30" t="n">
        <v>17.4</v>
      </c>
    </row>
    <row r="305" customFormat="false" ht="15" hidden="false" customHeight="false" outlineLevel="0" collapsed="false">
      <c r="A305" s="30" t="s">
        <v>457</v>
      </c>
      <c r="B305" s="31" t="n">
        <v>46270</v>
      </c>
      <c r="C305" s="30" t="s">
        <v>99</v>
      </c>
      <c r="D305" s="30" t="s">
        <v>47</v>
      </c>
      <c r="E305" s="30" t="s">
        <v>60</v>
      </c>
      <c r="F305" s="30" t="n">
        <v>9</v>
      </c>
      <c r="G305" s="30" t="n">
        <v>3</v>
      </c>
      <c r="H305" s="30" t="s">
        <v>71</v>
      </c>
      <c r="I305" s="30" t="n">
        <v>34</v>
      </c>
      <c r="J305" s="30" t="s">
        <v>155</v>
      </c>
      <c r="K305" s="30" t="s">
        <v>156</v>
      </c>
      <c r="L305" s="30" t="n">
        <v>5</v>
      </c>
      <c r="M305" s="30" t="s">
        <v>157</v>
      </c>
      <c r="N305" s="30"/>
      <c r="O305" s="30" t="n">
        <v>5</v>
      </c>
      <c r="P305" s="30" t="s">
        <v>157</v>
      </c>
      <c r="Q305" s="30" t="n">
        <v>13.4</v>
      </c>
    </row>
    <row r="306" customFormat="false" ht="15" hidden="false" customHeight="false" outlineLevel="0" collapsed="false">
      <c r="A306" s="30" t="s">
        <v>458</v>
      </c>
      <c r="B306" s="31" t="n">
        <v>46271</v>
      </c>
      <c r="C306" s="30" t="s">
        <v>94</v>
      </c>
      <c r="D306" s="30" t="s">
        <v>44</v>
      </c>
      <c r="E306" s="30" t="s">
        <v>58</v>
      </c>
      <c r="F306" s="30" t="n">
        <v>9</v>
      </c>
      <c r="G306" s="30" t="n">
        <v>2</v>
      </c>
      <c r="H306" s="30" t="s">
        <v>71</v>
      </c>
      <c r="I306" s="30" t="n">
        <v>32</v>
      </c>
      <c r="J306" s="30" t="s">
        <v>159</v>
      </c>
      <c r="K306" s="30" t="s">
        <v>157</v>
      </c>
      <c r="L306" s="30"/>
      <c r="M306" s="30" t="s">
        <v>157</v>
      </c>
      <c r="N306" s="30" t="s">
        <v>81</v>
      </c>
      <c r="O306" s="30"/>
      <c r="P306" s="30" t="s">
        <v>157</v>
      </c>
      <c r="Q306" s="30" t="n">
        <v>11.8</v>
      </c>
    </row>
    <row r="307" customFormat="false" ht="15" hidden="false" customHeight="false" outlineLevel="0" collapsed="false">
      <c r="A307" s="30" t="s">
        <v>459</v>
      </c>
      <c r="B307" s="31" t="n">
        <v>46271</v>
      </c>
      <c r="C307" s="30" t="s">
        <v>95</v>
      </c>
      <c r="D307" s="30" t="s">
        <v>44</v>
      </c>
      <c r="E307" s="30" t="s">
        <v>56</v>
      </c>
      <c r="F307" s="30" t="n">
        <v>6</v>
      </c>
      <c r="G307" s="30" t="n">
        <v>1</v>
      </c>
      <c r="H307" s="30" t="s">
        <v>71</v>
      </c>
      <c r="I307" s="30" t="n">
        <v>41</v>
      </c>
      <c r="J307" s="30" t="s">
        <v>176</v>
      </c>
      <c r="K307" s="30" t="s">
        <v>156</v>
      </c>
      <c r="L307" s="30" t="n">
        <v>34</v>
      </c>
      <c r="M307" s="30" t="s">
        <v>156</v>
      </c>
      <c r="N307" s="30"/>
      <c r="O307" s="30" t="n">
        <v>4</v>
      </c>
      <c r="P307" s="30" t="s">
        <v>156</v>
      </c>
      <c r="Q307" s="30" t="n">
        <v>16.2</v>
      </c>
    </row>
    <row r="308" customFormat="false" ht="15" hidden="false" customHeight="false" outlineLevel="0" collapsed="false">
      <c r="A308" s="30" t="s">
        <v>460</v>
      </c>
      <c r="B308" s="31" t="n">
        <v>46271</v>
      </c>
      <c r="C308" s="30" t="s">
        <v>95</v>
      </c>
      <c r="D308" s="30" t="s">
        <v>44</v>
      </c>
      <c r="E308" s="30" t="s">
        <v>60</v>
      </c>
      <c r="F308" s="30" t="n">
        <v>12</v>
      </c>
      <c r="G308" s="30" t="n">
        <v>2</v>
      </c>
      <c r="H308" s="30" t="s">
        <v>70</v>
      </c>
      <c r="I308" s="30" t="n">
        <v>43</v>
      </c>
      <c r="J308" s="30" t="s">
        <v>176</v>
      </c>
      <c r="K308" s="30" t="s">
        <v>156</v>
      </c>
      <c r="L308" s="30" t="n">
        <v>51</v>
      </c>
      <c r="M308" s="30" t="s">
        <v>156</v>
      </c>
      <c r="N308" s="30"/>
      <c r="O308" s="30" t="n">
        <v>4</v>
      </c>
      <c r="P308" s="30" t="s">
        <v>157</v>
      </c>
      <c r="Q308" s="30" t="n">
        <v>15.1</v>
      </c>
    </row>
    <row r="309" customFormat="false" ht="15" hidden="false" customHeight="false" outlineLevel="0" collapsed="false">
      <c r="A309" s="30" t="s">
        <v>461</v>
      </c>
      <c r="B309" s="31" t="n">
        <v>46271</v>
      </c>
      <c r="C309" s="30" t="s">
        <v>95</v>
      </c>
      <c r="D309" s="30" t="s">
        <v>44</v>
      </c>
      <c r="E309" s="30" t="s">
        <v>59</v>
      </c>
      <c r="F309" s="30" t="n">
        <v>28</v>
      </c>
      <c r="G309" s="30" t="n">
        <v>1</v>
      </c>
      <c r="H309" s="30" t="s">
        <v>71</v>
      </c>
      <c r="I309" s="30" t="n">
        <v>55</v>
      </c>
      <c r="J309" s="30" t="s">
        <v>159</v>
      </c>
      <c r="K309" s="30" t="s">
        <v>156</v>
      </c>
      <c r="L309" s="30" t="n">
        <v>63</v>
      </c>
      <c r="M309" s="30" t="s">
        <v>156</v>
      </c>
      <c r="N309" s="30"/>
      <c r="O309" s="30" t="n">
        <v>4</v>
      </c>
      <c r="P309" s="30" t="s">
        <v>156</v>
      </c>
      <c r="Q309" s="30" t="n">
        <v>12.1</v>
      </c>
    </row>
    <row r="310" customFormat="false" ht="15" hidden="false" customHeight="false" outlineLevel="0" collapsed="false">
      <c r="A310" s="30" t="s">
        <v>462</v>
      </c>
      <c r="B310" s="31" t="n">
        <v>46271</v>
      </c>
      <c r="C310" s="30" t="s">
        <v>96</v>
      </c>
      <c r="D310" s="30" t="s">
        <v>45</v>
      </c>
      <c r="E310" s="30" t="s">
        <v>58</v>
      </c>
      <c r="F310" s="30" t="n">
        <v>4</v>
      </c>
      <c r="G310" s="30" t="n">
        <v>0</v>
      </c>
      <c r="H310" s="30" t="s">
        <v>70</v>
      </c>
      <c r="I310" s="30" t="n">
        <v>36</v>
      </c>
      <c r="J310" s="30" t="s">
        <v>164</v>
      </c>
      <c r="K310" s="30" t="s">
        <v>156</v>
      </c>
      <c r="L310" s="30" t="n">
        <v>40</v>
      </c>
      <c r="M310" s="30" t="s">
        <v>156</v>
      </c>
      <c r="N310" s="30"/>
      <c r="O310" s="30" t="n">
        <v>5</v>
      </c>
      <c r="P310" s="30" t="s">
        <v>156</v>
      </c>
      <c r="Q310" s="30" t="n">
        <v>11.8</v>
      </c>
    </row>
    <row r="311" customFormat="false" ht="15" hidden="false" customHeight="false" outlineLevel="0" collapsed="false">
      <c r="A311" s="30" t="s">
        <v>463</v>
      </c>
      <c r="B311" s="31" t="n">
        <v>46271</v>
      </c>
      <c r="C311" s="30" t="s">
        <v>98</v>
      </c>
      <c r="D311" s="30" t="s">
        <v>46</v>
      </c>
      <c r="E311" s="30" t="s">
        <v>61</v>
      </c>
      <c r="F311" s="30" t="n">
        <v>5</v>
      </c>
      <c r="G311" s="30" t="n">
        <v>3</v>
      </c>
      <c r="H311" s="30" t="s">
        <v>70</v>
      </c>
      <c r="I311" s="30" t="n">
        <v>37</v>
      </c>
      <c r="J311" s="30" t="s">
        <v>159</v>
      </c>
      <c r="K311" s="30" t="s">
        <v>156</v>
      </c>
      <c r="L311" s="30" t="n">
        <v>19</v>
      </c>
      <c r="M311" s="30" t="s">
        <v>156</v>
      </c>
      <c r="N311" s="30"/>
      <c r="O311" s="30" t="n">
        <v>5</v>
      </c>
      <c r="P311" s="30" t="s">
        <v>157</v>
      </c>
      <c r="Q311" s="30" t="n">
        <v>8.8</v>
      </c>
    </row>
    <row r="312" customFormat="false" ht="15" hidden="false" customHeight="false" outlineLevel="0" collapsed="false">
      <c r="A312" s="30" t="s">
        <v>464</v>
      </c>
      <c r="B312" s="31" t="n">
        <v>46271</v>
      </c>
      <c r="C312" s="30" t="s">
        <v>99</v>
      </c>
      <c r="D312" s="30" t="s">
        <v>47</v>
      </c>
      <c r="E312" s="30" t="s">
        <v>60</v>
      </c>
      <c r="F312" s="30" t="n">
        <v>1</v>
      </c>
      <c r="G312" s="30" t="n">
        <v>3</v>
      </c>
      <c r="H312" s="30" t="s">
        <v>71</v>
      </c>
      <c r="I312" s="30" t="n">
        <v>37</v>
      </c>
      <c r="J312" s="30" t="s">
        <v>155</v>
      </c>
      <c r="K312" s="30" t="s">
        <v>156</v>
      </c>
      <c r="L312" s="30" t="n">
        <v>45</v>
      </c>
      <c r="M312" s="30" t="s">
        <v>156</v>
      </c>
      <c r="N312" s="30"/>
      <c r="O312" s="30" t="n">
        <v>3</v>
      </c>
      <c r="P312" s="30" t="s">
        <v>157</v>
      </c>
      <c r="Q312" s="30" t="n">
        <v>13.6</v>
      </c>
    </row>
    <row r="313" customFormat="false" ht="15" hidden="false" customHeight="false" outlineLevel="0" collapsed="false">
      <c r="A313" s="30" t="s">
        <v>465</v>
      </c>
      <c r="B313" s="31" t="n">
        <v>46271</v>
      </c>
      <c r="C313" s="30" t="s">
        <v>100</v>
      </c>
      <c r="D313" s="30" t="s">
        <v>47</v>
      </c>
      <c r="E313" s="30" t="s">
        <v>57</v>
      </c>
      <c r="F313" s="30" t="n">
        <v>6</v>
      </c>
      <c r="G313" s="30" t="n">
        <v>3</v>
      </c>
      <c r="H313" s="30" t="s">
        <v>70</v>
      </c>
      <c r="I313" s="30" t="n">
        <v>38</v>
      </c>
      <c r="J313" s="30" t="s">
        <v>159</v>
      </c>
      <c r="K313" s="30" t="s">
        <v>156</v>
      </c>
      <c r="L313" s="30" t="n">
        <v>36</v>
      </c>
      <c r="M313" s="30" t="s">
        <v>157</v>
      </c>
      <c r="N313" s="30"/>
      <c r="O313" s="30" t="n">
        <v>4</v>
      </c>
      <c r="P313" s="30" t="s">
        <v>157</v>
      </c>
      <c r="Q313" s="30" t="n">
        <v>9.7</v>
      </c>
    </row>
    <row r="314" customFormat="false" ht="15" hidden="false" customHeight="false" outlineLevel="0" collapsed="false">
      <c r="A314" s="30" t="s">
        <v>466</v>
      </c>
      <c r="B314" s="31" t="n">
        <v>46271</v>
      </c>
      <c r="C314" s="30" t="s">
        <v>100</v>
      </c>
      <c r="D314" s="30" t="s">
        <v>47</v>
      </c>
      <c r="E314" s="30" t="s">
        <v>56</v>
      </c>
      <c r="F314" s="30" t="n">
        <v>6</v>
      </c>
      <c r="G314" s="30" t="n">
        <v>2</v>
      </c>
      <c r="H314" s="30" t="s">
        <v>70</v>
      </c>
      <c r="I314" s="30" t="n">
        <v>56</v>
      </c>
      <c r="J314" s="30" t="s">
        <v>155</v>
      </c>
      <c r="K314" s="30" t="s">
        <v>156</v>
      </c>
      <c r="L314" s="30" t="n">
        <v>33</v>
      </c>
      <c r="M314" s="30" t="s">
        <v>157</v>
      </c>
      <c r="N314" s="30"/>
      <c r="O314" s="30" t="n">
        <v>5</v>
      </c>
      <c r="P314" s="30" t="s">
        <v>156</v>
      </c>
      <c r="Q314" s="30" t="n">
        <v>19.6</v>
      </c>
    </row>
    <row r="315" customFormat="false" ht="15" hidden="false" customHeight="false" outlineLevel="0" collapsed="false">
      <c r="A315" s="30" t="s">
        <v>467</v>
      </c>
      <c r="B315" s="31" t="n">
        <v>46271</v>
      </c>
      <c r="C315" s="30" t="s">
        <v>100</v>
      </c>
      <c r="D315" s="30" t="s">
        <v>47</v>
      </c>
      <c r="E315" s="30" t="s">
        <v>56</v>
      </c>
      <c r="F315" s="30" t="n">
        <v>5</v>
      </c>
      <c r="G315" s="30" t="n">
        <v>0</v>
      </c>
      <c r="H315" s="30" t="s">
        <v>70</v>
      </c>
      <c r="I315" s="30" t="n">
        <v>21</v>
      </c>
      <c r="J315" s="30" t="s">
        <v>155</v>
      </c>
      <c r="K315" s="30" t="s">
        <v>156</v>
      </c>
      <c r="L315" s="30" t="n">
        <v>48</v>
      </c>
      <c r="M315" s="30" t="s">
        <v>156</v>
      </c>
      <c r="N315" s="30"/>
      <c r="O315" s="30" t="n">
        <v>4</v>
      </c>
      <c r="P315" s="30" t="s">
        <v>157</v>
      </c>
      <c r="Q315" s="30" t="n">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2026-10-18T07:26:36Z</dcterms:created>
  <dc:creator>openpyxl</dc:creator>
  <dc:description/>
  <dc:language>en-US</dc:language>
  <cp:lastModifiedBy/>
  <dcterms:modified xsi:type="dcterms:W3CDTF">2026-10-18T07:26:39Z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