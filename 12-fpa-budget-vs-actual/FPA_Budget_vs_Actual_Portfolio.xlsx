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Assumptions" sheetId="3" state="visible" r:id="rId5"/>
    <sheet name="Budget" sheetId="4" state="visible" r:id="rId6"/>
    <sheet name="Actuals" sheetId="5" state="visible" r:id="rId7"/>
    <sheet name="Variance" sheetId="6" state="visible" r:id="rId8"/>
    <sheet name="Foreca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<sst xmlns="http://schemas.openxmlformats.org/spreadsheetml/2006/main" count="296" uniqueCount="169">
  <si>
    <t xml:space="preserve">FP&amp;A Budget vs Actual and Rolling Forecast – Finance Analytics Portfolio Project</t>
  </si>
  <si>
    <t xml:space="preserve">BZME Insights  |  Sector: Finance / FP&amp;A  |  Tool: Excel (formula-driven)</t>
  </si>
  <si>
    <t xml:space="preserve">BUSINESS PROBLEM</t>
  </si>
  <si>
    <t xml:space="preserve">A distributor's sales are on budget, but profit is falling behind. Finance managers need to see where the gap comes from and how the full year will end up.</t>
  </si>
  <si>
    <t xml:space="preserve">BUSINESS QUESTIONS</t>
  </si>
  <si>
    <t xml:space="preserve">1. How do revenue, margin, costs and profit compare with budget, month by month and year to date?</t>
  </si>
  <si>
    <t xml:space="preserve">2. Which lines explain the profit gap, and which variances matter most?</t>
  </si>
  <si>
    <t xml:space="preserve">3. How will the full year finish if the current run-rate continues?</t>
  </si>
  <si>
    <t xml:space="preserve">4. How does the outlook change under Upside and Downside scenarios?</t>
  </si>
  <si>
    <t xml:space="preserve">5. What should management do next?</t>
  </si>
  <si>
    <t xml:space="preserve">HOW THE WORKBOOK IS BUILT</t>
  </si>
  <si>
    <t xml:space="preserve">Budget: monthly P&amp;L for Jan-Dec 2026 (revenue by segment, COGS, operating costs, depreciation, finance costs, tax).</t>
  </si>
  <si>
    <t xml:space="preserve">Actuals: the same P&amp;L for Jan-Sep 2026. COGS, tax and all totals are formulas.</t>
  </si>
  <si>
    <t xml:space="preserve">Variance: year-to-date actual vs budget for every line, with favourable/adverse status and a driver comment.</t>
  </si>
  <si>
    <t xml:space="preserve">Forecast: Jan-Sep actuals plus Oct-Dec forecast, compared with the full-year budget. The scenario is chosen on Assumptions (cell B18).</t>
  </si>
  <si>
    <t xml:space="preserve">Dashboard: KPIs, FY outlook, charts and key findings, all linked to the other sheets. Blue cells are hardcoded inputs; black cells are formulas; green cells link to other sheets.</t>
  </si>
  <si>
    <t xml:space="preserve">KEY DEFINITIONS</t>
  </si>
  <si>
    <t xml:space="preserve">Variance: positive = favourable to profit, negative = adverse. Income lines: actual minus budget. Cost lines: budget minus actual.</t>
  </si>
  <si>
    <t xml:space="preserve">On budget: variance within +/-1% of budget.</t>
  </si>
  <si>
    <t xml:space="preserve">EBITDA: gross profit minus operating expenses (before depreciation, finance costs and tax).</t>
  </si>
  <si>
    <t xml:space="preserve">Rolling forecast: actuals to date plus a forecast for the remaining months, updated as new actuals arrive.</t>
  </si>
  <si>
    <t xml:space="preserve">Scenario multiplier: Base 1.00, Upside 1.05, Downside 0.92, applied to Oct-Dec revenue run-rate.</t>
  </si>
  <si>
    <t xml:space="preserve">IMPORTANT NOTES</t>
  </si>
  <si>
    <t xml:space="preserve">All data is synthetic and generated for demonstration. No real company data is used.</t>
  </si>
  <si>
    <t xml:space="preserve">Budgets, COGS percentages, tax rate (30%) and scenario multipliers are illustrative assumptions.</t>
  </si>
  <si>
    <t xml:space="preserve">Forecast method is deliberately simple: budget month x segment YTD actual/budget ratio x scenario multiplier; opex lines use their YTD run-rate vs budget.</t>
  </si>
  <si>
    <t xml:space="preserve">Tax is applied monthly to positive profit before tax (simplified).</t>
  </si>
  <si>
    <t xml:space="preserve">Findings update live when assumptions change.</t>
  </si>
  <si>
    <t xml:space="preserve">RECOMMENDATIONS (FRAMEWORK)</t>
  </si>
  <si>
    <t xml:space="preserve">Renegotiate fuel and route contracts and consolidate deliveries to bring logistics back toward budget.</t>
  </si>
  <si>
    <t xml:space="preserve">Review wholesale contract pricing to protect margin on new volume.</t>
  </si>
  <si>
    <t xml:space="preserve">Accelerate the e-commerce recovery with targeted promotions inside the marketing budget.</t>
  </si>
  <si>
    <t xml:space="preserve">Phase marketing spend evenly across months to avoid catch-up overspend.</t>
  </si>
  <si>
    <t xml:space="preserve">Re-forecast monthly and track actuals against the Upside/Downside range.</t>
  </si>
  <si>
    <t xml:space="preserve">Budget vs Actual &amp; Rolling Forecast Dashboard</t>
  </si>
  <si>
    <t xml:space="preserve">Fictional Kenyan FMCG distributor (Savanna Fresh Foods Ltd)  |  Synthetic data  |  YTD to 30 Sep 2026, KES '000  |  Prepared by BZME Insights</t>
  </si>
  <si>
    <t xml:space="preserve">Forecast scenario:</t>
  </si>
  <si>
    <t xml:space="preserve">YTD Performance (Jan-Sep 2026)</t>
  </si>
  <si>
    <t xml:space="preserve">KPI</t>
  </si>
  <si>
    <t xml:space="preserve">Actual</t>
  </si>
  <si>
    <t xml:space="preserve">Budget</t>
  </si>
  <si>
    <t xml:space="preserve">Variance</t>
  </si>
  <si>
    <t xml:space="preserve">Var %</t>
  </si>
  <si>
    <t xml:space="preserve">Status</t>
  </si>
  <si>
    <t xml:space="preserve">Revenue</t>
  </si>
  <si>
    <t xml:space="preserve">Gross Profit</t>
  </si>
  <si>
    <t xml:space="preserve">Gross Margin %</t>
  </si>
  <si>
    <t xml:space="preserve">pp</t>
  </si>
  <si>
    <t xml:space="preserve">Operating Expenses</t>
  </si>
  <si>
    <t xml:space="preserve">EBITDA</t>
  </si>
  <si>
    <t xml:space="preserve">EBITDA Margin %</t>
  </si>
  <si>
    <t xml:space="preserve">Net Profit</t>
  </si>
  <si>
    <t xml:space="preserve">FY2026 Outlook (Actual Jan-Sep + Forecast Oct-Dec)</t>
  </si>
  <si>
    <t xml:space="preserve">Outlook</t>
  </si>
  <si>
    <t xml:space="preserve">Margin variances in percentage points. Variance column: positive = favourable.</t>
  </si>
  <si>
    <t xml:space="preserve">Key findings</t>
  </si>
  <si>
    <t xml:space="preserve">Recommended actions</t>
  </si>
  <si>
    <t xml:space="preserve">1. Renegotiate fuel and route contracts and consolidate deliveries to bring logistics back toward budget.</t>
  </si>
  <si>
    <t xml:space="preserve">2. Review wholesale contract pricing to protect margin on the new hotel-chain volume.</t>
  </si>
  <si>
    <t xml:space="preserve">3. Accelerate the e-commerce recovery with targeted Q4 promotions inside the marketing budget.</t>
  </si>
  <si>
    <t xml:space="preserve">4. Phase marketing spend evenly across months to avoid catch-up overspend.</t>
  </si>
  <si>
    <t xml:space="preserve">5. Re-forecast monthly and track actuals against the Upside/Downside range on the Assumptions sheet.</t>
  </si>
  <si>
    <t xml:space="preserve">Sheets: Assumptions (inputs &amp; method) | Budget | Actuals | Variance | Forecast. All figures synthetic. Change the scenario on Assumptions!B18.</t>
  </si>
  <si>
    <t xml:space="preserve">Assumptions &amp; Methodology</t>
  </si>
  <si>
    <t xml:space="preserve">Blue = hardcoded input | Yellow = cell to change | Black = formula</t>
  </si>
  <si>
    <t xml:space="preserve">General</t>
  </si>
  <si>
    <t xml:space="preserve">Company (fictional)</t>
  </si>
  <si>
    <t xml:space="preserve">Savanna Fresh Foods Ltd</t>
  </si>
  <si>
    <t xml:space="preserve">Reporting currency / units</t>
  </si>
  <si>
    <t xml:space="preserve">KES '000</t>
  </si>
  <si>
    <t xml:space="preserve">Financial year</t>
  </si>
  <si>
    <t xml:space="preserve">FY2026 (Jan-Dec)</t>
  </si>
  <si>
    <t xml:space="preserve">Actuals through</t>
  </si>
  <si>
    <t xml:space="preserve">September 2026</t>
  </si>
  <si>
    <t xml:space="preserve">Budget COGS as % of revenue</t>
  </si>
  <si>
    <t xml:space="preserve">Retail Distribution</t>
  </si>
  <si>
    <t xml:space="preserve">Synthetic assumption set at budget stage</t>
  </si>
  <si>
    <t xml:space="preserve">Wholesale</t>
  </si>
  <si>
    <t xml:space="preserve">E-commerce</t>
  </si>
  <si>
    <t xml:space="preserve">Tax</t>
  </si>
  <si>
    <t xml:space="preserve">Corporate income tax rate</t>
  </si>
  <si>
    <t xml:space="preserve">Assumed 30% (simplified; applied monthly to positive profit before tax)</t>
  </si>
  <si>
    <t xml:space="preserve">Forecast scenario</t>
  </si>
  <si>
    <t xml:space="preserve">Selected scenario</t>
  </si>
  <si>
    <t xml:space="preserve">Base</t>
  </si>
  <si>
    <t xml:space="preserve">Revenue multiplier applied to Q4 run-rate</t>
  </si>
  <si>
    <t xml:space="preserve">Scenario</t>
  </si>
  <si>
    <t xml:space="preserve">Multiplier</t>
  </si>
  <si>
    <t xml:space="preserve">Description</t>
  </si>
  <si>
    <t xml:space="preserve">Q4 revenue follows each segment's YTD run-rate versus budget</t>
  </si>
  <si>
    <t xml:space="preserve">Upside</t>
  </si>
  <si>
    <t xml:space="preserve">Festive demand and faster e-commerce recovery beat the run-rate</t>
  </si>
  <si>
    <t xml:space="preserve">Downside</t>
  </si>
  <si>
    <t xml:space="preserve">Weaker consumer spending and supply disruption</t>
  </si>
  <si>
    <t xml:space="preserve">Methodology notes</t>
  </si>
  <si>
    <t xml:space="preserve">1. All figures are SYNTHETIC, created for portfolio purposes. No real company data is used.</t>
  </si>
  <si>
    <t xml:space="preserve">2. Variance convention: positive = favourable to profit, negative = adverse (income lines: Actual - Budget; cost lines: Budget - Actual).</t>
  </si>
  <si>
    <t xml:space="preserve">3. Status 'On budget' means variance within +/-1% of budget.</t>
  </si>
  <si>
    <t xml:space="preserve">4. Forecast Oct-Dec revenue = budget month x segment YTD actual/budget ratio x scenario multiplier.</t>
  </si>
  <si>
    <t xml:space="preserve">5. Forecast COGS % = segment YTD actual COGS % of revenue.</t>
  </si>
  <si>
    <t xml:space="preserve">6. Forecast opex lines = budget month x line's YTD actual/budget ratio (run-rate assumption). Depreciation = budget. Finance costs = budget.</t>
  </si>
  <si>
    <t xml:space="preserve">7. Margin variances on the Dashboard are shown in percentage points (actual % minus budget %).</t>
  </si>
  <si>
    <t xml:space="preserve">FY2026 Budget - Monthly P&amp;L</t>
  </si>
  <si>
    <t xml:space="preserve">Synthetic data. Blue = hardcoded budget inputs; black = formulas.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</si>
  <si>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</si>
  <si>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</si>
  <si>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</si>
  <si>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</si>
  <si>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</si>
  <si>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</si>
  <si>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</si>
  <si>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</si>
  <si>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</si>
  <si>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</si>
  <si>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</si>
  <si>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</si>
  <si>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FY2026</t>
  </si>
  <si>
    <t xml:space="preserve">YTD Sep</t>
  </si>
  <si>
    <t xml:space="preserve">Retail Distribution revenue</t>
  </si>
  <si>
    <t xml:space="preserve">Wholesale revenue</t>
  </si>
  <si>
    <t xml:space="preserve">E-commerce revenue</t>
  </si>
  <si>
    <t xml:space="preserve">Total Revenue</t>
  </si>
  <si>
    <t xml:space="preserve">COGS - Retail Distribution</t>
  </si>
  <si>
    <t xml:space="preserve">COGS - Wholesale</t>
  </si>
  <si>
    <t xml:space="preserve">COGS - E-commerce</t>
  </si>
  <si>
    <t xml:space="preserve">Total COGS</t>
  </si>
  <si>
    <t xml:space="preserve">Salaries &amp; Benefits</t>
  </si>
  <si>
    <t xml:space="preserve">Marketing &amp; Promotions</t>
  </si>
  <si>
    <t xml:space="preserve">Logistics &amp; Distribution</t>
  </si>
  <si>
    <t xml:space="preserve">Rent &amp; Utilities</t>
  </si>
  <si>
    <t xml:space="preserve">Admin &amp; IT</t>
  </si>
  <si>
    <t xml:space="preserve">Total Operating Expenses</t>
  </si>
  <si>
    <t xml:space="preserve">Depreciation</t>
  </si>
  <si>
    <t xml:space="preserve">Operating Profit (EBIT)</t>
  </si>
  <si>
    <t xml:space="preserve">Finance Costs</t>
  </si>
  <si>
    <t xml:space="preserve">Profit Before Tax</t>
  </si>
  <si>
    <t xml:space="preserve">Income Tax</t>
  </si>
  <si>
    <t xml:space="preserve">Budget lines 8-10 (COGS) = segment revenue x COGS % on Assumptions. Revenue, opex, depreciation and finance costs are synthetic inputs.</t>
  </si>
  <si>
    <t xml:space="preserve">FY2026 Actuals - Jan to Sep</t>
  </si>
  <si>
    <t xml:space="preserve">Synthetic data. Blue = hardcoded actuals; black = formulas.</t>
  </si>
  <si>
    <t xml:space="preserve">YTD Variance Analysis - Actual vs Budget (Jan-Sep 2026)</t>
  </si>
  <si>
    <t xml:space="preserve">Variance: positive = favourable to profit, negative = adverse. On budget = within +/-1%.</t>
  </si>
  <si>
    <t xml:space="preserve">Line (KES '000)</t>
  </si>
  <si>
    <t xml:space="preserve">Type</t>
  </si>
  <si>
    <t xml:space="preserve">Actual YTD</t>
  </si>
  <si>
    <t xml:space="preserve">Budget YTD</t>
  </si>
  <si>
    <t xml:space="preserve">Variance %</t>
  </si>
  <si>
    <t xml:space="preserve">Driver / commentary</t>
  </si>
  <si>
    <t xml:space="preserve">Income</t>
  </si>
  <si>
    <t xml:space="preserve">Retail weaker footfall in Q2; promotions limited</t>
  </si>
  <si>
    <t xml:space="preserve">New hotel-chain contract from March, lifting volume</t>
  </si>
  <si>
    <t xml:space="preserve">App relaunch delayed to June; recovering through Q3</t>
  </si>
  <si>
    <t xml:space="preserve">Wholesale growth outweighs e-commerce and retail shortfalls</t>
  </si>
  <si>
    <t xml:space="preserve">Cost</t>
  </si>
  <si>
    <t xml:space="preserve">Input cost inflation plus lower-margin wholesale mix</t>
  </si>
  <si>
    <t xml:space="preserve">Volume gains offset by margin pressure</t>
  </si>
  <si>
    <t xml:space="preserve">Two sales hires brought forward</t>
  </si>
  <si>
    <t xml:space="preserve">Underspent Jan-Apr, catch-up in Aug-Sep</t>
  </si>
  <si>
    <t xml:space="preserve">Higher fuel prices and longer delivery routes</t>
  </si>
  <si>
    <t xml:space="preserve">Utility tariff increase from April</t>
  </si>
  <si>
    <t xml:space="preserve">Software renewals delayed</t>
  </si>
  <si>
    <t xml:space="preserve">Logistics overspend partly offset by savings</t>
  </si>
  <si>
    <t xml:space="preserve">Slightly higher borrowing cost</t>
  </si>
  <si>
    <t xml:space="preserve">FY2026 Rolling Forecast - Actuals (Jan-Sep) + Forecast (Oct-Dec)</t>
  </si>
  <si>
    <t xml:space="preserve">Scenario is selected on the Assumptions sheet (cell B18). Green = linked from Actuals/Budget.</t>
  </si>
  <si>
    <t xml:space="preserve">FY Outlook</t>
  </si>
  <si>
    <t xml:space="preserve">FY Budget</t>
  </si>
  <si>
    <t xml:space="preserve">Var (Out-Bud)</t>
  </si>
  <si>
    <t xml:space="preserve">Oct-Dec (brown headers) are forecast; see Assumptions for method. Margin variance (rows 13, 21) is in percentage points.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</si>
</sst>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"/>
    <numFmt numFmtId="168" formatCode="0.0%"/>
    <numFmt numFmtId="169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5B1A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5B1A1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5B1A1E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5B1A1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B1A1E"/>
        <bgColor rgb="FF800000"/>
      </patternFill>
    </fill>
    <fill>
      <patternFill patternType="solid">
        <fgColor rgb="FFF6EFE2"/>
        <bgColor rgb="FFF6EFE0"/>
      </patternFill>
    </fill>
    <fill>
      <patternFill patternType="solid">
        <fgColor rgb="FFC9A66B"/>
        <bgColor rgb="FFBBBBBB"/>
      </patternFill>
    </fill>
    <fill>
      <patternFill patternType="solid">
        <fgColor rgb="FFF6EFE0"/>
        <bgColor rgb="FFF6EFE2"/>
      </patternFill>
    </fill>
    <fill>
      <patternFill patternType="solid">
        <fgColor rgb="FFFFFF00"/>
        <bgColor rgb="FFFFFF00"/>
      </patternFill>
    </fill>
    <fill>
      <patternFill patternType="solid">
        <fgColor rgb="FF8A5A3C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1E7B34"/>
      </font>
    </dxf>
    <dxf>
      <font>
        <name val="Arial"/>
        <charset val="1"/>
        <family val="0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34"/>
      <rgbColor rgb="FFBBBBBB"/>
      <rgbColor rgb="FF878787"/>
      <rgbColor rgb="FF9999FF"/>
      <rgbColor rgb="FF8A5A3C"/>
      <rgbColor rgb="FFF6EF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6EF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66B"/>
      <rgbColor rgb="FF003366"/>
      <rgbColor rgb="FF339966"/>
      <rgbColor rgb="FF003300"/>
      <rgbColor rgb="FF333300"/>
      <rgbColor rgb="FFC0392B"/>
      <rgbColor rgb="FF993366"/>
      <rgbColor rgb="FF333399"/>
      <rgbColor rgb="FF5B1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Actual vs Budget (KES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c9a66b"/>
            </a:solidFill>
            <a:ln w="28080">
              <a:solidFill>
                <a:srgbClr val="c9a66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Budget!$B$3:$J$3</c:f>
              <c:multiLvlStrCache>
                <c:ptCount val="1"/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Budget!$B$7:$J$7</c:f>
              <c:numCache>
                <c:formatCode>#,##0;\(#,##0\);\-</c:formatCode>
                <c:ptCount val="9"/>
                <c:pt idx="0">
                  <c:v>100580</c:v>
                </c:pt>
                <c:pt idx="1">
                  <c:v>98960</c:v>
                </c:pt>
                <c:pt idx="2">
                  <c:v>104890</c:v>
                </c:pt>
                <c:pt idx="3">
                  <c:v>106530</c:v>
                </c:pt>
                <c:pt idx="4">
                  <c:v>109260</c:v>
                </c:pt>
                <c:pt idx="5">
                  <c:v>108730</c:v>
                </c:pt>
                <c:pt idx="6">
                  <c:v>111490</c:v>
                </c:pt>
                <c:pt idx="7">
                  <c:v>113170</c:v>
                </c:pt>
                <c:pt idx="8">
                  <c:v>114870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5b1a1e"/>
            </a:solidFill>
            <a:ln w="28080">
              <a:solidFill>
                <a:srgbClr val="5b1a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Budget!$B$3:$J$3</c:f>
              <c:multiLvlStrCache>
                <c:ptCount val="1"/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Actuals!$B$7:$J$7</c:f>
              <c:numCache>
                <c:formatCode>#,##0;\(#,##0\);\-</c:formatCode>
                <c:ptCount val="9"/>
                <c:pt idx="0">
                  <c:v>97957</c:v>
                </c:pt>
                <c:pt idx="1">
                  <c:v>97271</c:v>
                </c:pt>
                <c:pt idx="2">
                  <c:v>106290</c:v>
                </c:pt>
                <c:pt idx="3">
                  <c:v>107454</c:v>
                </c:pt>
                <c:pt idx="4">
                  <c:v>110112</c:v>
                </c:pt>
                <c:pt idx="5">
                  <c:v>110445</c:v>
                </c:pt>
                <c:pt idx="6">
                  <c:v>113699</c:v>
                </c:pt>
                <c:pt idx="7">
                  <c:v>116716</c:v>
                </c:pt>
                <c:pt idx="8">
                  <c:v>116841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025497"/>
        <c:axId val="94057730"/>
      </c:lineChart>
      <c:catAx>
        <c:axId val="85025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57730"/>
        <c:crosses val="autoZero"/>
        <c:auto val="1"/>
        <c:lblAlgn val="ctr"/>
        <c:lblOffset val="100"/>
        <c:noMultiLvlLbl val="0"/>
      </c:catAx>
      <c:valAx>
        <c:axId val="94057730"/>
        <c:scaling>
          <c:orientation val="minMax"/>
          <c:min val="8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254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Opex Variance (+ favourable / - adverse, KES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"Variance"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5b1a1e"/>
            </a:solidFill>
            <a:ln w="0">
              <a:solidFill>
                <a:srgbClr val="5b1a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Variance!$A$11:$A$15</c:f>
              <c:strCache>
                <c:ptCount val="5"/>
                <c:pt idx="0">
                  <c:v>Salaries &amp; Benefits</c:v>
                </c:pt>
                <c:pt idx="1">
                  <c:v>Marketing &amp; Promotions</c:v>
                </c:pt>
                <c:pt idx="2">
                  <c:v>Logistics &amp; Distribution</c:v>
                </c:pt>
                <c:pt idx="3">
                  <c:v>Rent &amp; Utilities</c:v>
                </c:pt>
                <c:pt idx="4">
                  <c:v>Admin &amp; IT</c:v>
                </c:pt>
              </c:strCache>
            </c:strRef>
          </c:cat>
          <c:val>
            <c:numRef>
              <c:f>Variance!$E$11:$E$15</c:f>
              <c:numCache>
                <c:formatCode>#,##0;\(#,##0\);\-</c:formatCode>
                <c:ptCount val="5"/>
                <c:pt idx="0">
                  <c:v>-2565</c:v>
                </c:pt>
                <c:pt idx="1">
                  <c:v>911</c:v>
                </c:pt>
                <c:pt idx="2">
                  <c:v>-4009</c:v>
                </c:pt>
                <c:pt idx="3">
                  <c:v>-552</c:v>
                </c:pt>
                <c:pt idx="4">
                  <c:v>931</c:v>
                </c:pt>
              </c:numCache>
            </c:numRef>
          </c:val>
        </c:ser>
        <c:gapWidth val="150"/>
        <c:overlap val="0"/>
        <c:axId val="58110520"/>
        <c:axId val="19013975"/>
      </c:barChart>
      <c:catAx>
        <c:axId val="5811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13975"/>
        <c:crosses val="autoZero"/>
        <c:auto val="1"/>
        <c:lblAlgn val="ctr"/>
        <c:lblOffset val="100"/>
        <c:noMultiLvlLbl val="0"/>
      </c:catAx>
      <c:valAx>
        <c:axId val="19013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10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FY2026 Outlook vs Budget (KES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"Outlook"</c:f>
              <c:strCache>
                <c:ptCount val="1"/>
                <c:pt idx="0">
                  <c:v>Outlook</c:v>
                </c:pt>
              </c:strCache>
            </c:strRef>
          </c:tx>
          <c:spPr>
            <a:solidFill>
              <a:srgbClr val="5b1a1e"/>
            </a:solidFill>
            <a:ln w="0">
              <a:solidFill>
                <a:srgbClr val="5b1a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Dashboard!$B$17:$B$19</c:f>
              <c:strCache>
                <c:ptCount val="3"/>
                <c:pt idx="0">
                  <c:v>Gross Profit</c:v>
                </c:pt>
                <c:pt idx="1">
                  <c:v>EBITDA</c:v>
                </c:pt>
                <c:pt idx="2">
                  <c:v>Net Profit</c:v>
                </c:pt>
              </c:strCache>
            </c:strRef>
          </c:cat>
          <c:val>
            <c:numRef>
              <c:f>Dashboard!$C$17:$C$19</c:f>
              <c:numCache>
                <c:formatCode>#,##0;\(#,##0\);\-</c:formatCode>
                <c:ptCount val="3"/>
                <c:pt idx="0">
                  <c:v>381859.358709614</c:v>
                </c:pt>
                <c:pt idx="1">
                  <c:v>103794.617293317</c:v>
                </c:pt>
                <c:pt idx="2">
                  <c:v>47272.1321053219</c:v>
                </c:pt>
              </c:numCache>
            </c:numRef>
          </c:val>
        </c:ser>
        <c:ser>
          <c:idx val="1"/>
          <c:order val="1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c9a66b"/>
            </a:solidFill>
            <a:ln w="0">
              <a:solidFill>
                <a:srgbClr val="c9a6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Dashboard!$B$17:$B$19</c:f>
              <c:strCache>
                <c:ptCount val="3"/>
                <c:pt idx="0">
                  <c:v>Gross Profit</c:v>
                </c:pt>
                <c:pt idx="1">
                  <c:v>EBITDA</c:v>
                </c:pt>
                <c:pt idx="2">
                  <c:v>Net Profit</c:v>
                </c:pt>
              </c:strCache>
            </c:strRef>
          </c:cat>
          <c:val>
            <c:numRef>
              <c:f>Dashboard!$D$17:$D$19</c:f>
              <c:numCache>
                <c:formatCode>#,##0;\(#,##0\);\-</c:formatCode>
                <c:ptCount val="3"/>
                <c:pt idx="0">
                  <c:v>393047.2</c:v>
                </c:pt>
                <c:pt idx="1">
                  <c:v>122117.2</c:v>
                </c:pt>
                <c:pt idx="2">
                  <c:v>60366.04</c:v>
                </c:pt>
              </c:numCache>
            </c:numRef>
          </c:val>
        </c:ser>
        <c:gapWidth val="150"/>
        <c:overlap val="0"/>
        <c:axId val="89331018"/>
        <c:axId val="97000038"/>
      </c:barChart>
      <c:catAx>
        <c:axId val="89331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00038"/>
        <c:crosses val="autoZero"/>
        <c:auto val="1"/>
        <c:lblAlgn val="ctr"/>
        <c:lblOffset val="100"/>
        <c:noMultiLvlLbl val="0"/>
      </c:catAx>
      <c:valAx>
        <c:axId val="97000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310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15</xdr:col>
      <xdr:colOff>692280</xdr:colOff>
      <xdr:row>18</xdr:row>
      <xdr:rowOff>32760</xdr:rowOff>
    </xdr:to>
    <xdr:graphicFrame>
      <xdr:nvGraphicFramePr>
        <xdr:cNvPr id="0" name="Chart 1"/>
        <xdr:cNvGraphicFramePr/>
      </xdr:nvGraphicFramePr>
      <xdr:xfrm>
        <a:off x="7048440" y="9716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339840</xdr:colOff>
      <xdr:row>36</xdr:row>
      <xdr:rowOff>32760</xdr:rowOff>
    </xdr:to>
    <xdr:graphicFrame>
      <xdr:nvGraphicFramePr>
        <xdr:cNvPr id="1" name="Chart 2"/>
        <xdr:cNvGraphicFramePr/>
      </xdr:nvGraphicFramePr>
      <xdr:xfrm>
        <a:off x="141120" y="44006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15</xdr:col>
      <xdr:colOff>692280</xdr:colOff>
      <xdr:row>36</xdr:row>
      <xdr:rowOff>32760</xdr:rowOff>
    </xdr:to>
    <xdr:graphicFrame>
      <xdr:nvGraphicFramePr>
        <xdr:cNvPr id="2" name="Chart 3"/>
        <xdr:cNvGraphicFramePr/>
      </xdr:nvGraphicFramePr>
      <xdr:xfrm>
        <a:off x="7048440" y="44006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1A1E"/>
    <pageSetUpPr fitToPage="false"/>
  </sheetPr>
  <dimension ref="A1:B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25.5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/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7" t="s">
        <v>3</v>
      </c>
    </row>
    <row r="7" customFormat="false" ht="15" hidden="false" customHeight="false" outlineLevel="0" collapsed="false">
      <c r="A7" s="5" t="s">
        <v>4</v>
      </c>
      <c r="B7" s="6"/>
    </row>
    <row r="8" customFormat="false" ht="15" hidden="false" customHeight="false" outlineLevel="0" collapsed="false">
      <c r="A8" s="7" t="s">
        <v>5</v>
      </c>
    </row>
    <row r="9" customFormat="false" ht="15" hidden="false" customHeight="false" outlineLevel="0" collapsed="false">
      <c r="A9" s="7" t="s">
        <v>6</v>
      </c>
    </row>
    <row r="10" customFormat="false" ht="15" hidden="false" customHeight="false" outlineLevel="0" collapsed="false">
      <c r="A10" s="7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4" customFormat="false" ht="15" hidden="false" customHeight="false" outlineLevel="0" collapsed="false">
      <c r="A14" s="5" t="s">
        <v>10</v>
      </c>
      <c r="B14" s="6"/>
    </row>
    <row r="15" customFormat="false" ht="15" hidden="false" customHeight="false" outlineLevel="0" collapsed="false">
      <c r="A15" s="7" t="s">
        <v>11</v>
      </c>
    </row>
    <row r="16" customFormat="false" ht="15" hidden="false" customHeight="false" outlineLevel="0" collapsed="false">
      <c r="A16" s="7" t="s">
        <v>12</v>
      </c>
    </row>
    <row r="17" customFormat="false" ht="15" hidden="false" customHeight="false" outlineLevel="0" collapsed="false">
      <c r="A17" s="7" t="s">
        <v>13</v>
      </c>
    </row>
    <row r="18" customFormat="false" ht="15" hidden="false" customHeight="false" outlineLevel="0" collapsed="false">
      <c r="A18" s="7" t="s">
        <v>14</v>
      </c>
    </row>
    <row r="19" customFormat="false" ht="15" hidden="false" customHeight="false" outlineLevel="0" collapsed="false">
      <c r="A19" s="7" t="s">
        <v>15</v>
      </c>
    </row>
    <row r="21" customFormat="false" ht="15" hidden="false" customHeight="false" outlineLevel="0" collapsed="false">
      <c r="A21" s="5" t="s">
        <v>16</v>
      </c>
      <c r="B21" s="6"/>
    </row>
    <row r="22" customFormat="false" ht="15" hidden="false" customHeight="false" outlineLevel="0" collapsed="false">
      <c r="A22" s="7" t="s">
        <v>17</v>
      </c>
    </row>
    <row r="23" customFormat="false" ht="15" hidden="false" customHeight="false" outlineLevel="0" collapsed="false">
      <c r="A23" s="7" t="s">
        <v>18</v>
      </c>
    </row>
    <row r="24" customFormat="false" ht="15" hidden="false" customHeight="false" outlineLevel="0" collapsed="false">
      <c r="A24" s="7" t="s">
        <v>19</v>
      </c>
    </row>
    <row r="25" customFormat="false" ht="15" hidden="false" customHeight="false" outlineLevel="0" collapsed="false">
      <c r="A25" s="7" t="s">
        <v>20</v>
      </c>
    </row>
    <row r="26" customFormat="false" ht="15" hidden="false" customHeight="false" outlineLevel="0" collapsed="false">
      <c r="A26" s="7" t="s">
        <v>21</v>
      </c>
    </row>
    <row r="28" customFormat="false" ht="15" hidden="false" customHeight="false" outlineLevel="0" collapsed="false">
      <c r="A28" s="5" t="s">
        <v>22</v>
      </c>
      <c r="B28" s="6"/>
    </row>
    <row r="29" customFormat="false" ht="15" hidden="false" customHeight="false" outlineLevel="0" collapsed="false">
      <c r="A29" s="7" t="s">
        <v>23</v>
      </c>
    </row>
    <row r="30" customFormat="false" ht="15" hidden="false" customHeight="false" outlineLevel="0" collapsed="false">
      <c r="A30" s="7" t="s">
        <v>24</v>
      </c>
    </row>
    <row r="31" customFormat="false" ht="15" hidden="false" customHeight="false" outlineLevel="0" collapsed="false">
      <c r="A31" s="7" t="s">
        <v>25</v>
      </c>
    </row>
    <row r="32" customFormat="false" ht="15" hidden="false" customHeight="false" outlineLevel="0" collapsed="false">
      <c r="A32" s="7" t="s">
        <v>26</v>
      </c>
    </row>
    <row r="33" customFormat="false" ht="15" hidden="false" customHeight="false" outlineLevel="0" collapsed="false">
      <c r="A33" s="7" t="s">
        <v>27</v>
      </c>
    </row>
    <row r="35" customFormat="false" ht="15" hidden="false" customHeight="false" outlineLevel="0" collapsed="false">
      <c r="A35" s="5" t="s">
        <v>28</v>
      </c>
      <c r="B35" s="6"/>
    </row>
    <row r="36" customFormat="false" ht="15" hidden="false" customHeight="false" outlineLevel="0" collapsed="false">
      <c r="A36" s="7" t="s">
        <v>29</v>
      </c>
    </row>
    <row r="37" customFormat="false" ht="15" hidden="false" customHeight="false" outlineLevel="0" collapsed="false">
      <c r="A37" s="7" t="s">
        <v>30</v>
      </c>
    </row>
    <row r="38" customFormat="false" ht="15" hidden="false" customHeight="false" outlineLevel="0" collapsed="false">
      <c r="A38" s="7" t="s">
        <v>31</v>
      </c>
    </row>
    <row r="39" customFormat="false" ht="15" hidden="false" customHeight="false" outlineLevel="0" collapsed="false">
      <c r="A39" s="7" t="s">
        <v>32</v>
      </c>
    </row>
    <row r="40" customFormat="false" ht="15" hidden="false" customHeight="false" outlineLevel="0" collapsed="false">
      <c r="A40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1A1E"/>
    <pageSetUpPr fitToPage="false"/>
  </sheetPr>
  <dimension ref="B1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  <col collapsed="false" customWidth="true" hidden="false" outlineLevel="0" max="16" min="9" style="0" width="11"/>
  </cols>
  <sheetData>
    <row r="1" customFormat="false" ht="31.5" hidden="false" customHeight="true" outlineLevel="0" collapsed="false">
      <c r="B1" s="8" t="s">
        <v>34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false" outlineLevel="0" collapsed="false">
      <c r="B2" s="9" t="s">
        <v>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15" hidden="false" customHeight="false" outlineLevel="0" collapsed="false">
      <c r="B3" s="10" t="s">
        <v>36</v>
      </c>
      <c r="C3" s="11" t="str">
        <f aca="false">Assumptions!B18</f>
        <v>Base</v>
      </c>
    </row>
    <row r="5" customFormat="false" ht="15" hidden="false" customHeight="false" outlineLevel="0" collapsed="false">
      <c r="B5" s="12" t="s">
        <v>37</v>
      </c>
    </row>
    <row r="6" customFormat="false" ht="15" hidden="false" customHeight="false" outlineLevel="0" collapsed="false">
      <c r="B6" s="13" t="s">
        <v>38</v>
      </c>
      <c r="C6" s="14" t="s">
        <v>39</v>
      </c>
      <c r="D6" s="14" t="s">
        <v>40</v>
      </c>
      <c r="E6" s="14" t="s">
        <v>41</v>
      </c>
      <c r="F6" s="14" t="s">
        <v>42</v>
      </c>
      <c r="G6" s="14" t="s">
        <v>43</v>
      </c>
    </row>
    <row r="7" customFormat="false" ht="15" hidden="false" customHeight="false" outlineLevel="0" collapsed="false">
      <c r="B7" s="15" t="s">
        <v>44</v>
      </c>
      <c r="C7" s="16" t="n">
        <f aca="false">Actuals!K7</f>
        <v>976785</v>
      </c>
      <c r="D7" s="16" t="n">
        <f aca="false">Budget!O7</f>
        <v>968480</v>
      </c>
      <c r="E7" s="16" t="n">
        <f aca="false">Variance!E8</f>
        <v>8305</v>
      </c>
      <c r="F7" s="17" t="n">
        <f aca="false">Variance!F8</f>
        <v>0.00857529324301999</v>
      </c>
      <c r="G7" s="18" t="str">
        <f aca="false">Variance!G8</f>
        <v>On budget</v>
      </c>
    </row>
    <row r="8" customFormat="false" ht="15" hidden="false" customHeight="false" outlineLevel="0" collapsed="false">
      <c r="B8" s="19" t="s">
        <v>45</v>
      </c>
      <c r="C8" s="16" t="n">
        <f aca="false">Actuals!K12</f>
        <v>276809</v>
      </c>
      <c r="D8" s="16" t="n">
        <f aca="false">Budget!O12</f>
        <v>284858.8</v>
      </c>
      <c r="E8" s="16" t="n">
        <f aca="false">Variance!E10</f>
        <v>-8049.79999999999</v>
      </c>
      <c r="F8" s="17" t="n">
        <f aca="false">Variance!F10</f>
        <v>-0.028258912836816</v>
      </c>
      <c r="G8" s="18" t="str">
        <f aca="false">Variance!G10</f>
        <v>Adverse</v>
      </c>
    </row>
    <row r="9" customFormat="false" ht="15" hidden="false" customHeight="false" outlineLevel="0" collapsed="false">
      <c r="B9" s="19" t="s">
        <v>46</v>
      </c>
      <c r="C9" s="17" t="n">
        <f aca="false">Actuals!K13</f>
        <v>0.283387848912504</v>
      </c>
      <c r="D9" s="17" t="n">
        <f aca="false">Budget!O13</f>
        <v>0.294129770361804</v>
      </c>
      <c r="E9" s="20" t="n">
        <f aca="false">C9-D9</f>
        <v>-0.0107419214493003</v>
      </c>
      <c r="F9" s="21" t="s">
        <v>47</v>
      </c>
      <c r="G9" s="21" t="str">
        <f aca="false">IF(ABS(E9)&lt;=0.001,"On budget",IF(E9&gt;0,"Favourable","Adverse"))</f>
        <v>Adverse</v>
      </c>
    </row>
    <row r="10" customFormat="false" ht="15" hidden="false" customHeight="false" outlineLevel="0" collapsed="false">
      <c r="B10" s="19" t="s">
        <v>48</v>
      </c>
      <c r="C10" s="16" t="n">
        <f aca="false">Actuals!K19</f>
        <v>203774</v>
      </c>
      <c r="D10" s="16" t="n">
        <f aca="false">Budget!O19</f>
        <v>198490</v>
      </c>
      <c r="E10" s="16" t="n">
        <f aca="false">Variance!E16</f>
        <v>-5284</v>
      </c>
      <c r="F10" s="17" t="n">
        <f aca="false">Variance!F16</f>
        <v>-0.0266209884628949</v>
      </c>
      <c r="G10" s="18" t="str">
        <f aca="false">Variance!G16</f>
        <v>Adverse</v>
      </c>
    </row>
    <row r="11" customFormat="false" ht="15" hidden="false" customHeight="false" outlineLevel="0" collapsed="false">
      <c r="B11" s="15" t="s">
        <v>49</v>
      </c>
      <c r="C11" s="16" t="n">
        <f aca="false">Actuals!K20</f>
        <v>73035</v>
      </c>
      <c r="D11" s="16" t="n">
        <f aca="false">Budget!O20</f>
        <v>86368.8</v>
      </c>
      <c r="E11" s="16" t="n">
        <f aca="false">Variance!E17</f>
        <v>-13333.8</v>
      </c>
      <c r="F11" s="17" t="n">
        <f aca="false">Variance!F17</f>
        <v>-0.154382137994275</v>
      </c>
      <c r="G11" s="18" t="str">
        <f aca="false">Variance!G17</f>
        <v>Adverse</v>
      </c>
    </row>
    <row r="12" customFormat="false" ht="15" hidden="false" customHeight="false" outlineLevel="0" collapsed="false">
      <c r="B12" s="19" t="s">
        <v>50</v>
      </c>
      <c r="C12" s="17" t="n">
        <f aca="false">Actuals!K21</f>
        <v>0.0747708042199665</v>
      </c>
      <c r="D12" s="17" t="n">
        <f aca="false">Budget!O21</f>
        <v>0.0891797455807038</v>
      </c>
      <c r="E12" s="20" t="n">
        <f aca="false">C12-D12</f>
        <v>-0.0144089413607372</v>
      </c>
      <c r="F12" s="21" t="s">
        <v>47</v>
      </c>
      <c r="G12" s="21" t="str">
        <f aca="false">IF(ABS(E12)&lt;=0.001,"On budget",IF(E12&gt;0,"Favourable","Adverse"))</f>
        <v>Adverse</v>
      </c>
    </row>
    <row r="13" customFormat="false" ht="15" hidden="false" customHeight="false" outlineLevel="0" collapsed="false">
      <c r="B13" s="15" t="s">
        <v>51</v>
      </c>
      <c r="C13" s="16" t="n">
        <f aca="false">Actuals!K27</f>
        <v>31830.4</v>
      </c>
      <c r="D13" s="16" t="n">
        <f aca="false">Budget!O27</f>
        <v>41432.16</v>
      </c>
      <c r="E13" s="16" t="n">
        <f aca="false">Variance!E23</f>
        <v>-9601.75999999998</v>
      </c>
      <c r="F13" s="17" t="n">
        <f aca="false">Variance!F23</f>
        <v>-0.231746546643959</v>
      </c>
      <c r="G13" s="18" t="str">
        <f aca="false">Variance!G23</f>
        <v>Adverse</v>
      </c>
    </row>
    <row r="15" customFormat="false" ht="15" hidden="false" customHeight="false" outlineLevel="0" collapsed="false">
      <c r="B15" s="12" t="s">
        <v>52</v>
      </c>
    </row>
    <row r="16" customFormat="false" ht="15" hidden="false" customHeight="false" outlineLevel="0" collapsed="false">
      <c r="B16" s="13" t="s">
        <v>38</v>
      </c>
      <c r="C16" s="14" t="s">
        <v>53</v>
      </c>
      <c r="D16" s="14" t="s">
        <v>40</v>
      </c>
      <c r="E16" s="14" t="s">
        <v>41</v>
      </c>
      <c r="F16" s="14" t="s">
        <v>42</v>
      </c>
    </row>
    <row r="17" customFormat="false" ht="15" hidden="false" customHeight="false" outlineLevel="0" collapsed="false">
      <c r="B17" s="19" t="s">
        <v>45</v>
      </c>
      <c r="C17" s="16" t="n">
        <f aca="false">Forecast!N12</f>
        <v>381859.358709614</v>
      </c>
      <c r="D17" s="16" t="n">
        <f aca="false">Forecast!O12</f>
        <v>393047.2</v>
      </c>
      <c r="E17" s="22" t="n">
        <f aca="false">C17-D17</f>
        <v>-11187.8412903862</v>
      </c>
      <c r="F17" s="20" t="n">
        <f aca="false">IF(D17=0,0,E17/ABS(D17))</f>
        <v>-0.0284643709213199</v>
      </c>
    </row>
    <row r="18" customFormat="false" ht="15" hidden="false" customHeight="false" outlineLevel="0" collapsed="false">
      <c r="B18" s="19" t="s">
        <v>49</v>
      </c>
      <c r="C18" s="16" t="n">
        <f aca="false">Forecast!N20</f>
        <v>103794.617293317</v>
      </c>
      <c r="D18" s="16" t="n">
        <f aca="false">Forecast!O20</f>
        <v>122117.2</v>
      </c>
      <c r="E18" s="22" t="n">
        <f aca="false">C18-D18</f>
        <v>-18322.582706683</v>
      </c>
      <c r="F18" s="20" t="n">
        <f aca="false">IF(D18=0,0,E18/ABS(D18))</f>
        <v>-0.15004096643784</v>
      </c>
    </row>
    <row r="19" customFormat="false" ht="15" hidden="false" customHeight="false" outlineLevel="0" collapsed="false">
      <c r="B19" s="19" t="s">
        <v>51</v>
      </c>
      <c r="C19" s="16" t="n">
        <f aca="false">Forecast!N27</f>
        <v>47272.1321053219</v>
      </c>
      <c r="D19" s="16" t="n">
        <f aca="false">Forecast!O27</f>
        <v>60366.04</v>
      </c>
      <c r="E19" s="22" t="n">
        <f aca="false">C19-D19</f>
        <v>-13093.9078946781</v>
      </c>
      <c r="F19" s="20" t="n">
        <f aca="false">IF(D19=0,0,E19/ABS(D19))</f>
        <v>-0.216908511717484</v>
      </c>
    </row>
    <row r="20" customFormat="false" ht="15" hidden="false" customHeight="false" outlineLevel="0" collapsed="false">
      <c r="B20" s="19" t="s">
        <v>44</v>
      </c>
      <c r="C20" s="16" t="n">
        <f aca="false">Forecast!N7</f>
        <v>1346892.01817644</v>
      </c>
      <c r="D20" s="16" t="n">
        <f aca="false">Forecast!O7</f>
        <v>1335790</v>
      </c>
      <c r="E20" s="22" t="n">
        <f aca="false">C20-D20</f>
        <v>11102.0181764404</v>
      </c>
      <c r="F20" s="20" t="n">
        <f aca="false">IF(D20=0,0,E20/ABS(D20))</f>
        <v>0.00831120024587726</v>
      </c>
    </row>
    <row r="21" customFormat="false" ht="15" hidden="false" customHeight="false" outlineLevel="0" collapsed="false">
      <c r="B21" s="23" t="s">
        <v>54</v>
      </c>
    </row>
    <row r="40" customFormat="false" ht="15" hidden="false" customHeight="false" outlineLevel="0" collapsed="false">
      <c r="B40" s="12" t="s">
        <v>55</v>
      </c>
    </row>
    <row r="41" customFormat="false" ht="30" hidden="false" customHeight="true" outlineLevel="0" collapsed="false">
      <c r="B41" s="24" t="str">
        <f aca="false">"1. Revenue is "&amp;TEXT(ABS(Variance!F8),"0.0%")&amp;IF(Variance!E8&gt;=0," above"," below")&amp;" budget YTD (KES "&amp;TEXT(ABS(Variance!E8),"#,##0")&amp;"k). Wholesale ("&amp;TEXT(Variance!F6,"+0.0%;-0.0%")&amp;") is the growth driver; E-commerce ("&amp;TEXT(Variance!F7,"+0.0%;-0.0%")&amp;") and Retail ("&amp;TEXT(Variance!F5,"+0.0%;-0.0%")&amp;") are behind."</f>
        <v>1. Revenue is 0.9% above budget YTD (KES 8,305k). Wholesale (+5.2%) is the growth driver; E-commerce (-7.5%) and Retail (-2.4%) are behind.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customFormat="false" ht="30" hidden="false" customHeight="true" outlineLevel="0" collapsed="false">
      <c r="B42" s="24" t="str">
        <f aca="false">"2. Gross margin is "&amp;TEXT(Actuals!K13,"0.0%")&amp;" versus a budget of "&amp;TEXT(Budget!O13,"0.0%")&amp;": input cost inflation and lower-margin wholesale volume changed margin by "&amp;TEXT((Actuals!K13-Budget!O13)*100,"+0.0;-0.0")&amp;" percentage points."</f>
        <v>2. Gross margin is 28.3% versus a budget of 29.4%: input cost inflation and lower-margin wholesale volume changed margin by -1.1 percentage points.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customFormat="false" ht="30" hidden="false" customHeight="true" outlineLevel="0" collapsed="false">
      <c r="B43" s="24" t="str">
        <f aca="false">"3. Operating expenses are "&amp;TEXT(ABS(Variance!F16),"0.0%")&amp;IF(Variance!E16&gt;=0," under"," over")&amp;" budget. Logistics is "&amp;TEXT(ABS(Variance!F13),"0.0%")&amp;IF(Variance!E13&gt;=0," under"," over")&amp;" budget (fuel and routing); salaries are "&amp;TEXT(ABS(Variance!F11),"0.0%")&amp;IF(Variance!E11&gt;=0," under"," over")&amp;" budget (early hires)."</f>
        <v>3. Operating expenses are 2.7% over budget. Logistics is 8.0% over budget (fuel and routing); salaries are 3.1% over budget (early hires).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customFormat="false" ht="30" hidden="false" customHeight="true" outlineLevel="0" collapsed="false">
      <c r="B44" s="24" t="str">
        <f aca="false">"4. EBITDA is KES "&amp;TEXT(Actuals!K20,"#,##0")&amp;"k YTD ("&amp;TEXT(Actuals!K21,"0.0%")&amp;" margin) versus a budget of KES "&amp;TEXT(Budget!O20,"#,##0")&amp;"k ("&amp;TEXT(Budget!O21,"0.0%")&amp;")."</f>
        <v>4. EBITDA is KES 73,035k YTD (7.5% margin) versus a budget of KES 86,369k (8.9%).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customFormat="false" ht="30" hidden="false" customHeight="true" outlineLevel="0" collapsed="false">
      <c r="B45" s="24" t="str">
        <f aca="false">"5. Under the "&amp;Assumptions!B18&amp;" scenario, FY2026 net profit is forecast at KES "&amp;TEXT(Forecast!N27,"#,##0")&amp;"k, "&amp;TEXT(ABS(Forecast!Q27),"0.0%")&amp;IF(Forecast!P27&gt;=0," above"," below")&amp;" the budget of KES "&amp;TEXT(Forecast!O27,"#,##0")&amp;"k."</f>
        <v>5. Under the Base scenario, FY2026 net profit is forecast at KES 47,272k, 21.7% below the budget of KES 60,366k.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7" customFormat="false" ht="15" hidden="false" customHeight="false" outlineLevel="0" collapsed="false">
      <c r="B47" s="12" t="s">
        <v>56</v>
      </c>
    </row>
    <row r="48" customFormat="false" ht="18" hidden="false" customHeight="true" outlineLevel="0" collapsed="false">
      <c r="B48" s="24" t="s">
        <v>57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customFormat="false" ht="18" hidden="false" customHeight="true" outlineLevel="0" collapsed="false">
      <c r="B49" s="24" t="s">
        <v>58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customFormat="false" ht="18" hidden="false" customHeight="true" outlineLevel="0" collapsed="false">
      <c r="B50" s="24" t="s">
        <v>59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customFormat="false" ht="18" hidden="false" customHeight="true" outlineLevel="0" collapsed="false">
      <c r="B51" s="24" t="s">
        <v>60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customFormat="false" ht="18" hidden="false" customHeight="true" outlineLevel="0" collapsed="false">
      <c r="B52" s="24" t="s">
        <v>61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4" customFormat="false" ht="15" hidden="false" customHeight="false" outlineLevel="0" collapsed="false">
      <c r="B54" s="23" t="s">
        <v>62</v>
      </c>
    </row>
  </sheetData>
  <mergeCells count="12">
    <mergeCell ref="B1:P1"/>
    <mergeCell ref="B2:P2"/>
    <mergeCell ref="B41:P41"/>
    <mergeCell ref="B42:P42"/>
    <mergeCell ref="B43:P43"/>
    <mergeCell ref="B44:P44"/>
    <mergeCell ref="B45:P45"/>
    <mergeCell ref="B48:P48"/>
    <mergeCell ref="B49:P49"/>
    <mergeCell ref="B50:P50"/>
    <mergeCell ref="B51:P51"/>
    <mergeCell ref="B52:P52"/>
  </mergeCells>
  <conditionalFormatting sqref="E7:F13">
    <cfRule type="cellIs" priority="2" operator="greaterThan" aboveAverage="0" equalAverage="0" bottom="0" percent="0" rank="0" text="" dxfId="0">
      <formula>0.00001</formula>
    </cfRule>
    <cfRule type="cellIs" priority="3" operator="lessThan" aboveAverage="0" equalAverage="0" bottom="0" percent="0" rank="0" text="" dxfId="1">
      <formula>-0.00001</formula>
    </cfRule>
  </conditionalFormatting>
  <conditionalFormatting sqref="E17:F20">
    <cfRule type="cellIs" priority="4" operator="greaterThan" aboveAverage="0" equalAverage="0" bottom="0" percent="0" rank="0" text="" dxfId="0">
      <formula>0.00001</formula>
    </cfRule>
    <cfRule type="cellIs" priority="5" operator="lessThan" aboveAverage="0" equalAverage="0" bottom="0" percent="0" rank="0" text="" dxfId="1">
      <formula>-0.00001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25" t="s">
        <v>63</v>
      </c>
    </row>
    <row r="2" customFormat="false" ht="15" hidden="false" customHeight="false" outlineLevel="0" collapsed="false">
      <c r="A2" s="26" t="s">
        <v>64</v>
      </c>
    </row>
    <row r="3" customFormat="false" ht="15" hidden="false" customHeight="false" outlineLevel="0" collapsed="false">
      <c r="A3" s="27" t="s">
        <v>65</v>
      </c>
    </row>
    <row r="4" customFormat="false" ht="15" hidden="false" customHeight="false" outlineLevel="0" collapsed="false">
      <c r="A4" s="28" t="s">
        <v>66</v>
      </c>
      <c r="B4" s="29" t="s">
        <v>67</v>
      </c>
    </row>
    <row r="5" customFormat="false" ht="15" hidden="false" customHeight="false" outlineLevel="0" collapsed="false">
      <c r="A5" s="28" t="s">
        <v>68</v>
      </c>
      <c r="B5" s="29" t="s">
        <v>69</v>
      </c>
    </row>
    <row r="6" customFormat="false" ht="15" hidden="false" customHeight="false" outlineLevel="0" collapsed="false">
      <c r="A6" s="28" t="s">
        <v>70</v>
      </c>
      <c r="B6" s="29" t="s">
        <v>71</v>
      </c>
    </row>
    <row r="7" customFormat="false" ht="15" hidden="false" customHeight="false" outlineLevel="0" collapsed="false">
      <c r="A7" s="28" t="s">
        <v>72</v>
      </c>
      <c r="B7" s="29" t="s">
        <v>73</v>
      </c>
    </row>
    <row r="9" customFormat="false" ht="15" hidden="false" customHeight="false" outlineLevel="0" collapsed="false">
      <c r="A9" s="27" t="s">
        <v>74</v>
      </c>
    </row>
    <row r="10" customFormat="false" ht="15" hidden="false" customHeight="false" outlineLevel="0" collapsed="false">
      <c r="A10" s="28" t="s">
        <v>75</v>
      </c>
      <c r="B10" s="30" t="n">
        <v>0.64</v>
      </c>
      <c r="C10" s="26" t="s">
        <v>76</v>
      </c>
    </row>
    <row r="11" customFormat="false" ht="15" hidden="false" customHeight="false" outlineLevel="0" collapsed="false">
      <c r="A11" s="28" t="s">
        <v>77</v>
      </c>
      <c r="B11" s="30" t="n">
        <v>0.76</v>
      </c>
    </row>
    <row r="12" customFormat="false" ht="15" hidden="false" customHeight="false" outlineLevel="0" collapsed="false">
      <c r="A12" s="28" t="s">
        <v>78</v>
      </c>
      <c r="B12" s="30" t="n">
        <v>0.68</v>
      </c>
    </row>
    <row r="14" customFormat="false" ht="15" hidden="false" customHeight="false" outlineLevel="0" collapsed="false">
      <c r="A14" s="27" t="s">
        <v>79</v>
      </c>
    </row>
    <row r="15" customFormat="false" ht="15" hidden="false" customHeight="false" outlineLevel="0" collapsed="false">
      <c r="A15" s="28" t="s">
        <v>80</v>
      </c>
      <c r="B15" s="30" t="n">
        <v>0.3</v>
      </c>
      <c r="C15" s="26" t="s">
        <v>81</v>
      </c>
    </row>
    <row r="17" customFormat="false" ht="15" hidden="false" customHeight="false" outlineLevel="0" collapsed="false">
      <c r="A17" s="27" t="s">
        <v>82</v>
      </c>
    </row>
    <row r="18" customFormat="false" ht="15" hidden="false" customHeight="false" outlineLevel="0" collapsed="false">
      <c r="A18" s="28" t="s">
        <v>83</v>
      </c>
      <c r="B18" s="31" t="s">
        <v>84</v>
      </c>
    </row>
    <row r="19" customFormat="false" ht="15" hidden="false" customHeight="false" outlineLevel="0" collapsed="false">
      <c r="A19" s="28" t="s">
        <v>85</v>
      </c>
      <c r="B19" s="32" t="n">
        <f aca="false">INDEX(B22:B24,MATCH(B18,A22:A24,0))</f>
        <v>1</v>
      </c>
    </row>
    <row r="21" customFormat="false" ht="15" hidden="false" customHeight="false" outlineLevel="0" collapsed="false">
      <c r="A21" s="13" t="s">
        <v>86</v>
      </c>
      <c r="B21" s="13" t="s">
        <v>87</v>
      </c>
      <c r="C21" s="13" t="s">
        <v>88</v>
      </c>
    </row>
    <row r="22" customFormat="false" ht="15" hidden="false" customHeight="false" outlineLevel="0" collapsed="false">
      <c r="A22" s="28" t="s">
        <v>84</v>
      </c>
      <c r="B22" s="33" t="n">
        <v>1</v>
      </c>
      <c r="C22" s="28" t="s">
        <v>89</v>
      </c>
    </row>
    <row r="23" customFormat="false" ht="15" hidden="false" customHeight="false" outlineLevel="0" collapsed="false">
      <c r="A23" s="28" t="s">
        <v>90</v>
      </c>
      <c r="B23" s="33" t="n">
        <v>1.05</v>
      </c>
      <c r="C23" s="28" t="s">
        <v>91</v>
      </c>
    </row>
    <row r="24" customFormat="false" ht="15" hidden="false" customHeight="false" outlineLevel="0" collapsed="false">
      <c r="A24" s="28" t="s">
        <v>92</v>
      </c>
      <c r="B24" s="33" t="n">
        <v>0.92</v>
      </c>
      <c r="C24" s="28" t="s">
        <v>93</v>
      </c>
    </row>
    <row r="26" customFormat="false" ht="15" hidden="false" customHeight="false" outlineLevel="0" collapsed="false">
      <c r="A26" s="27" t="s">
        <v>94</v>
      </c>
    </row>
    <row r="27" customFormat="false" ht="15" hidden="false" customHeight="false" outlineLevel="0" collapsed="false">
      <c r="A27" s="28" t="s">
        <v>95</v>
      </c>
    </row>
    <row r="28" customFormat="false" ht="15" hidden="false" customHeight="false" outlineLevel="0" collapsed="false">
      <c r="A28" s="28" t="s">
        <v>96</v>
      </c>
    </row>
    <row r="29" customFormat="false" ht="15" hidden="false" customHeight="false" outlineLevel="0" collapsed="false">
      <c r="A29" s="28" t="s">
        <v>97</v>
      </c>
    </row>
    <row r="30" customFormat="false" ht="15" hidden="false" customHeight="false" outlineLevel="0" collapsed="false">
      <c r="A30" s="28" t="s">
        <v>98</v>
      </c>
    </row>
    <row r="31" customFormat="false" ht="15" hidden="false" customHeight="false" outlineLevel="0" collapsed="false">
      <c r="A31" s="28" t="s">
        <v>99</v>
      </c>
    </row>
    <row r="32" customFormat="false" ht="15" hidden="false" customHeight="false" outlineLevel="0" collapsed="false">
      <c r="A32" s="28" t="s">
        <v>100</v>
      </c>
    </row>
    <row r="33" customFormat="false" ht="15" hidden="false" customHeight="false" outlineLevel="0" collapsed="false">
      <c r="A33" s="28" t="s">
        <v>101</v>
      </c>
    </row>
  </sheetData>
  <dataValidations count="1">
    <dataValidation allowBlank="false" errorStyle="stop" operator="between" showDropDown="false" showErrorMessage="false" showInputMessage="false" sqref="B18" type="list">
      <formula1>"Base,Upside,Downside"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5" min="2" style="0" width="11"/>
  </cols>
  <sheetData>
    <row r="1" customFormat="false" ht="17.35" hidden="false" customHeight="false" outlineLevel="0" collapsed="false">
      <c r="A1" s="25" t="s">
        <v>102</v>
      </c>
    </row>
    <row r="2" customFormat="false" ht="15" hidden="false" customHeight="false" outlineLevel="0" collapsed="false">
      <c r="A2" s="26" t="s">
        <v>103</v>
      </c>
    </row>
    <row r="3" customFormat="false" ht="15" hidden="false" customHeight="false" outlineLevel="0" collapsed="false">
      <c r="A3" s="13" t="s">
        <v>69</v>
      </c>
      <c r="B3" s="14" t="s">
        <v>104</v>
      </c>
      <c r="C3" s="14" t="s">
        <v>105</v>
      </c>
      <c r="D3" s="14" t="s">
        <v>106</v>
      </c>
      <c r="E3" s="14" t="s">
        <v>107</v>
      </c>
      <c r="F3" s="14" t="s">
        <v>108</v>
      </c>
      <c r="G3" s="14" t="s">
        <v>109</v>
      </c>
      <c r="H3" s="14" t="s">
        <v>110</v>
      </c>
      <c r="I3" s="14" t="s">
        <v>111</v>
      </c>
      <c r="J3" s="14" t="s">
        <v>112</v>
      </c>
      <c r="K3" s="14" t="s">
        <v>113</v>
      </c>
      <c r="L3" s="14" t="s">
        <v>114</v>
      </c>
      <c r="M3" s="14" t="s">
        <v>115</v>
      </c>
      <c r="N3" s="14" t="s">
        <v>116</v>
      </c>
      <c r="O3" s="14" t="s">
        <v>117</v>
      </c>
    </row>
    <row r="4" customFormat="false" ht="15" hidden="false" customHeight="false" outlineLevel="0" collapsed="false">
      <c r="A4" s="28" t="s">
        <v>118</v>
      </c>
      <c r="B4" s="34" t="n">
        <v>37600</v>
      </c>
      <c r="C4" s="34" t="n">
        <v>36950</v>
      </c>
      <c r="D4" s="34" t="n">
        <v>39110</v>
      </c>
      <c r="E4" s="34" t="n">
        <v>39670</v>
      </c>
      <c r="F4" s="34" t="n">
        <v>40640</v>
      </c>
      <c r="G4" s="34" t="n">
        <v>40390</v>
      </c>
      <c r="H4" s="34" t="n">
        <v>41370</v>
      </c>
      <c r="I4" s="34" t="n">
        <v>41940</v>
      </c>
      <c r="J4" s="34" t="n">
        <v>42520</v>
      </c>
      <c r="K4" s="34" t="n">
        <v>43100</v>
      </c>
      <c r="L4" s="34" t="n">
        <v>44510</v>
      </c>
      <c r="M4" s="34" t="n">
        <v>48020</v>
      </c>
      <c r="N4" s="35" t="n">
        <f aca="false">SUM(B4:M4)</f>
        <v>495820</v>
      </c>
      <c r="O4" s="35" t="n">
        <f aca="false">SUM(B4:J4)</f>
        <v>360190</v>
      </c>
    </row>
    <row r="5" customFormat="false" ht="15" hidden="false" customHeight="false" outlineLevel="0" collapsed="false">
      <c r="A5" s="28" t="s">
        <v>119</v>
      </c>
      <c r="B5" s="34" t="n">
        <v>51700</v>
      </c>
      <c r="C5" s="34" t="n">
        <v>50750</v>
      </c>
      <c r="D5" s="34" t="n">
        <v>53670</v>
      </c>
      <c r="E5" s="34" t="n">
        <v>54390</v>
      </c>
      <c r="F5" s="34" t="n">
        <v>55660</v>
      </c>
      <c r="G5" s="34" t="n">
        <v>55270</v>
      </c>
      <c r="H5" s="34" t="n">
        <v>56550</v>
      </c>
      <c r="I5" s="34" t="n">
        <v>57280</v>
      </c>
      <c r="J5" s="34" t="n">
        <v>58010</v>
      </c>
      <c r="K5" s="34" t="n">
        <v>58740</v>
      </c>
      <c r="L5" s="34" t="n">
        <v>60620</v>
      </c>
      <c r="M5" s="34" t="n">
        <v>65340</v>
      </c>
      <c r="N5" s="35" t="n">
        <f aca="false">SUM(B5:M5)</f>
        <v>677980</v>
      </c>
      <c r="O5" s="35" t="n">
        <f aca="false">SUM(B5:J5)</f>
        <v>493280</v>
      </c>
    </row>
    <row r="6" customFormat="false" ht="15" hidden="false" customHeight="false" outlineLevel="0" collapsed="false">
      <c r="A6" s="28" t="s">
        <v>120</v>
      </c>
      <c r="B6" s="34" t="n">
        <v>11280</v>
      </c>
      <c r="C6" s="34" t="n">
        <v>11260</v>
      </c>
      <c r="D6" s="34" t="n">
        <v>12110</v>
      </c>
      <c r="E6" s="34" t="n">
        <v>12470</v>
      </c>
      <c r="F6" s="34" t="n">
        <v>12960</v>
      </c>
      <c r="G6" s="34" t="n">
        <v>13070</v>
      </c>
      <c r="H6" s="34" t="n">
        <v>13570</v>
      </c>
      <c r="I6" s="34" t="n">
        <v>13950</v>
      </c>
      <c r="J6" s="34" t="n">
        <v>14340</v>
      </c>
      <c r="K6" s="34" t="n">
        <v>14730</v>
      </c>
      <c r="L6" s="34" t="n">
        <v>15410</v>
      </c>
      <c r="M6" s="34" t="n">
        <v>16840</v>
      </c>
      <c r="N6" s="35" t="n">
        <f aca="false">SUM(B6:M6)</f>
        <v>161990</v>
      </c>
      <c r="O6" s="35" t="n">
        <f aca="false">SUM(B6:J6)</f>
        <v>115010</v>
      </c>
    </row>
    <row r="7" customFormat="false" ht="15" hidden="false" customHeight="false" outlineLevel="0" collapsed="false">
      <c r="A7" s="27" t="s">
        <v>121</v>
      </c>
      <c r="B7" s="36" t="n">
        <f aca="false">SUM(B4:B6)</f>
        <v>100580</v>
      </c>
      <c r="C7" s="36" t="n">
        <f aca="false">SUM(C4:C6)</f>
        <v>98960</v>
      </c>
      <c r="D7" s="36" t="n">
        <f aca="false">SUM(D4:D6)</f>
        <v>104890</v>
      </c>
      <c r="E7" s="36" t="n">
        <f aca="false">SUM(E4:E6)</f>
        <v>106530</v>
      </c>
      <c r="F7" s="36" t="n">
        <f aca="false">SUM(F4:F6)</f>
        <v>109260</v>
      </c>
      <c r="G7" s="36" t="n">
        <f aca="false">SUM(G4:G6)</f>
        <v>108730</v>
      </c>
      <c r="H7" s="36" t="n">
        <f aca="false">SUM(H4:H6)</f>
        <v>111490</v>
      </c>
      <c r="I7" s="36" t="n">
        <f aca="false">SUM(I4:I6)</f>
        <v>113170</v>
      </c>
      <c r="J7" s="36" t="n">
        <f aca="false">SUM(J4:J6)</f>
        <v>114870</v>
      </c>
      <c r="K7" s="36" t="n">
        <f aca="false">SUM(K4:K6)</f>
        <v>116570</v>
      </c>
      <c r="L7" s="36" t="n">
        <f aca="false">SUM(L4:L6)</f>
        <v>120540</v>
      </c>
      <c r="M7" s="36" t="n">
        <f aca="false">SUM(M4:M6)</f>
        <v>130200</v>
      </c>
      <c r="N7" s="37" t="n">
        <f aca="false">SUM(B7:M7)</f>
        <v>1335790</v>
      </c>
      <c r="O7" s="37" t="n">
        <f aca="false">SUM(B7:J7)</f>
        <v>968480</v>
      </c>
    </row>
    <row r="8" customFormat="false" ht="15" hidden="false" customHeight="false" outlineLevel="0" collapsed="false">
      <c r="A8" s="28" t="s">
        <v>122</v>
      </c>
      <c r="B8" s="35" t="n">
        <f aca="false">B4*Assumptions!$B$10</f>
        <v>24064</v>
      </c>
      <c r="C8" s="35" t="n">
        <f aca="false">C4*Assumptions!$B$10</f>
        <v>23648</v>
      </c>
      <c r="D8" s="35" t="n">
        <f aca="false">D4*Assumptions!$B$10</f>
        <v>25030.4</v>
      </c>
      <c r="E8" s="35" t="n">
        <f aca="false">E4*Assumptions!$B$10</f>
        <v>25388.8</v>
      </c>
      <c r="F8" s="35" t="n">
        <f aca="false">F4*Assumptions!$B$10</f>
        <v>26009.6</v>
      </c>
      <c r="G8" s="35" t="n">
        <f aca="false">G4*Assumptions!$B$10</f>
        <v>25849.6</v>
      </c>
      <c r="H8" s="35" t="n">
        <f aca="false">H4*Assumptions!$B$10</f>
        <v>26476.8</v>
      </c>
      <c r="I8" s="35" t="n">
        <f aca="false">I4*Assumptions!$B$10</f>
        <v>26841.6</v>
      </c>
      <c r="J8" s="35" t="n">
        <f aca="false">J4*Assumptions!$B$10</f>
        <v>27212.8</v>
      </c>
      <c r="K8" s="35" t="n">
        <f aca="false">K4*Assumptions!$B$10</f>
        <v>27584</v>
      </c>
      <c r="L8" s="35" t="n">
        <f aca="false">L4*Assumptions!$B$10</f>
        <v>28486.4</v>
      </c>
      <c r="M8" s="35" t="n">
        <f aca="false">M4*Assumptions!$B$10</f>
        <v>30732.8</v>
      </c>
      <c r="N8" s="35" t="n">
        <f aca="false">SUM(B8:M8)</f>
        <v>317324.8</v>
      </c>
      <c r="O8" s="35" t="n">
        <f aca="false">SUM(B8:J8)</f>
        <v>230521.6</v>
      </c>
    </row>
    <row r="9" customFormat="false" ht="15" hidden="false" customHeight="false" outlineLevel="0" collapsed="false">
      <c r="A9" s="28" t="s">
        <v>123</v>
      </c>
      <c r="B9" s="35" t="n">
        <f aca="false">B5*Assumptions!$B$11</f>
        <v>39292</v>
      </c>
      <c r="C9" s="35" t="n">
        <f aca="false">C5*Assumptions!$B$11</f>
        <v>38570</v>
      </c>
      <c r="D9" s="35" t="n">
        <f aca="false">D5*Assumptions!$B$11</f>
        <v>40789.2</v>
      </c>
      <c r="E9" s="35" t="n">
        <f aca="false">E5*Assumptions!$B$11</f>
        <v>41336.4</v>
      </c>
      <c r="F9" s="35" t="n">
        <f aca="false">F5*Assumptions!$B$11</f>
        <v>42301.6</v>
      </c>
      <c r="G9" s="35" t="n">
        <f aca="false">G5*Assumptions!$B$11</f>
        <v>42005.2</v>
      </c>
      <c r="H9" s="35" t="n">
        <f aca="false">H5*Assumptions!$B$11</f>
        <v>42978</v>
      </c>
      <c r="I9" s="35" t="n">
        <f aca="false">I5*Assumptions!$B$11</f>
        <v>43532.8</v>
      </c>
      <c r="J9" s="35" t="n">
        <f aca="false">J5*Assumptions!$B$11</f>
        <v>44087.6</v>
      </c>
      <c r="K9" s="35" t="n">
        <f aca="false">K5*Assumptions!$B$11</f>
        <v>44642.4</v>
      </c>
      <c r="L9" s="35" t="n">
        <f aca="false">L5*Assumptions!$B$11</f>
        <v>46071.2</v>
      </c>
      <c r="M9" s="35" t="n">
        <f aca="false">M5*Assumptions!$B$11</f>
        <v>49658.4</v>
      </c>
      <c r="N9" s="35" t="n">
        <f aca="false">SUM(B9:M9)</f>
        <v>515264.8</v>
      </c>
      <c r="O9" s="35" t="n">
        <f aca="false">SUM(B9:J9)</f>
        <v>374892.8</v>
      </c>
    </row>
    <row r="10" customFormat="false" ht="15" hidden="false" customHeight="false" outlineLevel="0" collapsed="false">
      <c r="A10" s="28" t="s">
        <v>124</v>
      </c>
      <c r="B10" s="35" t="n">
        <f aca="false">B6*Assumptions!$B$12</f>
        <v>7670.4</v>
      </c>
      <c r="C10" s="35" t="n">
        <f aca="false">C6*Assumptions!$B$12</f>
        <v>7656.8</v>
      </c>
      <c r="D10" s="35" t="n">
        <f aca="false">D6*Assumptions!$B$12</f>
        <v>8234.8</v>
      </c>
      <c r="E10" s="35" t="n">
        <f aca="false">E6*Assumptions!$B$12</f>
        <v>8479.6</v>
      </c>
      <c r="F10" s="35" t="n">
        <f aca="false">F6*Assumptions!$B$12</f>
        <v>8812.8</v>
      </c>
      <c r="G10" s="35" t="n">
        <f aca="false">G6*Assumptions!$B$12</f>
        <v>8887.6</v>
      </c>
      <c r="H10" s="35" t="n">
        <f aca="false">H6*Assumptions!$B$12</f>
        <v>9227.6</v>
      </c>
      <c r="I10" s="35" t="n">
        <f aca="false">I6*Assumptions!$B$12</f>
        <v>9486</v>
      </c>
      <c r="J10" s="35" t="n">
        <f aca="false">J6*Assumptions!$B$12</f>
        <v>9751.2</v>
      </c>
      <c r="K10" s="35" t="n">
        <f aca="false">K6*Assumptions!$B$12</f>
        <v>10016.4</v>
      </c>
      <c r="L10" s="35" t="n">
        <f aca="false">L6*Assumptions!$B$12</f>
        <v>10478.8</v>
      </c>
      <c r="M10" s="35" t="n">
        <f aca="false">M6*Assumptions!$B$12</f>
        <v>11451.2</v>
      </c>
      <c r="N10" s="35" t="n">
        <f aca="false">SUM(B10:M10)</f>
        <v>110153.2</v>
      </c>
      <c r="O10" s="35" t="n">
        <f aca="false">SUM(B10:J10)</f>
        <v>78206.8</v>
      </c>
    </row>
    <row r="11" customFormat="false" ht="15" hidden="false" customHeight="false" outlineLevel="0" collapsed="false">
      <c r="A11" s="27" t="s">
        <v>125</v>
      </c>
      <c r="B11" s="36" t="n">
        <f aca="false">SUM(B8:B10)</f>
        <v>71026.4</v>
      </c>
      <c r="C11" s="36" t="n">
        <f aca="false">SUM(C8:C10)</f>
        <v>69874.8</v>
      </c>
      <c r="D11" s="36" t="n">
        <f aca="false">SUM(D8:D10)</f>
        <v>74054.4</v>
      </c>
      <c r="E11" s="36" t="n">
        <f aca="false">SUM(E8:E10)</f>
        <v>75204.8</v>
      </c>
      <c r="F11" s="36" t="n">
        <f aca="false">SUM(F8:F10)</f>
        <v>77124</v>
      </c>
      <c r="G11" s="36" t="n">
        <f aca="false">SUM(G8:G10)</f>
        <v>76742.4</v>
      </c>
      <c r="H11" s="36" t="n">
        <f aca="false">SUM(H8:H10)</f>
        <v>78682.4</v>
      </c>
      <c r="I11" s="36" t="n">
        <f aca="false">SUM(I8:I10)</f>
        <v>79860.4</v>
      </c>
      <c r="J11" s="36" t="n">
        <f aca="false">SUM(J8:J10)</f>
        <v>81051.6</v>
      </c>
      <c r="K11" s="36" t="n">
        <f aca="false">SUM(K8:K10)</f>
        <v>82242.8</v>
      </c>
      <c r="L11" s="36" t="n">
        <f aca="false">SUM(L8:L10)</f>
        <v>85036.4</v>
      </c>
      <c r="M11" s="36" t="n">
        <f aca="false">SUM(M8:M10)</f>
        <v>91842.4</v>
      </c>
      <c r="N11" s="37" t="n">
        <f aca="false">SUM(B11:M11)</f>
        <v>942742.8</v>
      </c>
      <c r="O11" s="37" t="n">
        <f aca="false">SUM(B11:J11)</f>
        <v>683621.2</v>
      </c>
    </row>
    <row r="12" customFormat="false" ht="15" hidden="false" customHeight="false" outlineLevel="0" collapsed="false">
      <c r="A12" s="27" t="s">
        <v>45</v>
      </c>
      <c r="B12" s="36" t="n">
        <f aca="false">B7-B11</f>
        <v>29553.6</v>
      </c>
      <c r="C12" s="36" t="n">
        <f aca="false">C7-C11</f>
        <v>29085.2</v>
      </c>
      <c r="D12" s="36" t="n">
        <f aca="false">D7-D11</f>
        <v>30835.6</v>
      </c>
      <c r="E12" s="36" t="n">
        <f aca="false">E7-E11</f>
        <v>31325.2</v>
      </c>
      <c r="F12" s="36" t="n">
        <f aca="false">F7-F11</f>
        <v>32136</v>
      </c>
      <c r="G12" s="36" t="n">
        <f aca="false">G7-G11</f>
        <v>31987.6</v>
      </c>
      <c r="H12" s="36" t="n">
        <f aca="false">H7-H11</f>
        <v>32807.6</v>
      </c>
      <c r="I12" s="36" t="n">
        <f aca="false">I7-I11</f>
        <v>33309.6</v>
      </c>
      <c r="J12" s="36" t="n">
        <f aca="false">J7-J11</f>
        <v>33818.4</v>
      </c>
      <c r="K12" s="36" t="n">
        <f aca="false">K7-K11</f>
        <v>34327.2</v>
      </c>
      <c r="L12" s="36" t="n">
        <f aca="false">L7-L11</f>
        <v>35503.6</v>
      </c>
      <c r="M12" s="36" t="n">
        <f aca="false">M7-M11</f>
        <v>38357.6</v>
      </c>
      <c r="N12" s="37" t="n">
        <f aca="false">SUM(B12:M12)</f>
        <v>393047.2</v>
      </c>
      <c r="O12" s="37" t="n">
        <f aca="false">SUM(B12:J12)</f>
        <v>284858.8</v>
      </c>
    </row>
    <row r="13" customFormat="false" ht="15" hidden="false" customHeight="false" outlineLevel="0" collapsed="false">
      <c r="A13" s="28" t="s">
        <v>46</v>
      </c>
      <c r="B13" s="38" t="n">
        <f aca="false">IF(B7=0,0,B12/B7)</f>
        <v>0.293831775700935</v>
      </c>
      <c r="C13" s="38" t="n">
        <f aca="false">IF(C7=0,0,C12/C7)</f>
        <v>0.29390864995958</v>
      </c>
      <c r="D13" s="38" t="n">
        <f aca="false">IF(D7=0,0,D12/D7)</f>
        <v>0.293980360377538</v>
      </c>
      <c r="E13" s="38" t="n">
        <f aca="false">IF(E7=0,0,E12/E7)</f>
        <v>0.294050502205951</v>
      </c>
      <c r="F13" s="38" t="n">
        <f aca="false">IF(F7=0,0,F12/F7)</f>
        <v>0.294124107633169</v>
      </c>
      <c r="G13" s="38" t="n">
        <f aca="false">IF(G7=0,0,G12/G7)</f>
        <v>0.294192955026212</v>
      </c>
      <c r="H13" s="38" t="n">
        <f aca="false">IF(H7=0,0,H12/H7)</f>
        <v>0.294264956498341</v>
      </c>
      <c r="I13" s="38" t="n">
        <f aca="false">IF(I7=0,0,I12/I7)</f>
        <v>0.294332420252717</v>
      </c>
      <c r="J13" s="38" t="n">
        <f aca="false">IF(J7=0,0,J12/J7)</f>
        <v>0.294405850091408</v>
      </c>
      <c r="K13" s="38" t="n">
        <f aca="false">IF(K7=0,0,K12/K7)</f>
        <v>0.294477138200223</v>
      </c>
      <c r="L13" s="38" t="n">
        <f aca="false">IF(L7=0,0,L12/L7)</f>
        <v>0.294537912726066</v>
      </c>
      <c r="M13" s="38" t="n">
        <f aca="false">IF(M7=0,0,M12/M7)</f>
        <v>0.294605222734255</v>
      </c>
      <c r="N13" s="38" t="n">
        <f aca="false">IF(N7=0,0,N12/N7)</f>
        <v>0.294243256799347</v>
      </c>
      <c r="O13" s="38" t="n">
        <f aca="false">IF(O7=0,0,O12/O7)</f>
        <v>0.294129770361804</v>
      </c>
    </row>
    <row r="14" customFormat="false" ht="15" hidden="false" customHeight="false" outlineLevel="0" collapsed="false">
      <c r="A14" s="28" t="s">
        <v>126</v>
      </c>
      <c r="B14" s="34" t="n">
        <v>9200</v>
      </c>
      <c r="C14" s="34" t="n">
        <v>9200</v>
      </c>
      <c r="D14" s="34" t="n">
        <v>9200</v>
      </c>
      <c r="E14" s="34" t="n">
        <v>9200</v>
      </c>
      <c r="F14" s="34" t="n">
        <v>9200</v>
      </c>
      <c r="G14" s="34" t="n">
        <v>9200</v>
      </c>
      <c r="H14" s="34" t="n">
        <v>9480</v>
      </c>
      <c r="I14" s="34" t="n">
        <v>9480</v>
      </c>
      <c r="J14" s="34" t="n">
        <v>9480</v>
      </c>
      <c r="K14" s="34" t="n">
        <v>9480</v>
      </c>
      <c r="L14" s="34" t="n">
        <v>9480</v>
      </c>
      <c r="M14" s="34" t="n">
        <v>9480</v>
      </c>
      <c r="N14" s="35" t="n">
        <f aca="false">SUM(B14:M14)</f>
        <v>112080</v>
      </c>
      <c r="O14" s="35" t="n">
        <f aca="false">SUM(B14:J14)</f>
        <v>83640</v>
      </c>
    </row>
    <row r="15" customFormat="false" ht="15" hidden="false" customHeight="false" outlineLevel="0" collapsed="false">
      <c r="A15" s="28" t="s">
        <v>127</v>
      </c>
      <c r="B15" s="34" t="n">
        <v>2800</v>
      </c>
      <c r="C15" s="34" t="n">
        <v>2800</v>
      </c>
      <c r="D15" s="34" t="n">
        <v>3000</v>
      </c>
      <c r="E15" s="34" t="n">
        <v>3000</v>
      </c>
      <c r="F15" s="34" t="n">
        <v>3000</v>
      </c>
      <c r="G15" s="34" t="n">
        <v>3000</v>
      </c>
      <c r="H15" s="34" t="n">
        <v>3200</v>
      </c>
      <c r="I15" s="34" t="n">
        <v>3400</v>
      </c>
      <c r="J15" s="34" t="n">
        <v>3400</v>
      </c>
      <c r="K15" s="34" t="n">
        <v>3600</v>
      </c>
      <c r="L15" s="34" t="n">
        <v>4200</v>
      </c>
      <c r="M15" s="34" t="n">
        <v>4800</v>
      </c>
      <c r="N15" s="35" t="n">
        <f aca="false">SUM(B15:M15)</f>
        <v>40200</v>
      </c>
      <c r="O15" s="35" t="n">
        <f aca="false">SUM(B15:J15)</f>
        <v>27600</v>
      </c>
    </row>
    <row r="16" customFormat="false" ht="15" hidden="false" customHeight="false" outlineLevel="0" collapsed="false">
      <c r="A16" s="28" t="s">
        <v>128</v>
      </c>
      <c r="B16" s="34" t="n">
        <v>5230</v>
      </c>
      <c r="C16" s="34" t="n">
        <v>5150</v>
      </c>
      <c r="D16" s="34" t="n">
        <v>5450</v>
      </c>
      <c r="E16" s="34" t="n">
        <v>5540</v>
      </c>
      <c r="F16" s="34" t="n">
        <v>5680</v>
      </c>
      <c r="G16" s="34" t="n">
        <v>5650</v>
      </c>
      <c r="H16" s="34" t="n">
        <v>5800</v>
      </c>
      <c r="I16" s="34" t="n">
        <v>5880</v>
      </c>
      <c r="J16" s="34" t="n">
        <v>5970</v>
      </c>
      <c r="K16" s="34" t="n">
        <v>6060</v>
      </c>
      <c r="L16" s="34" t="n">
        <v>6270</v>
      </c>
      <c r="M16" s="34" t="n">
        <v>6770</v>
      </c>
      <c r="N16" s="35" t="n">
        <f aca="false">SUM(B16:M16)</f>
        <v>69450</v>
      </c>
      <c r="O16" s="35" t="n">
        <f aca="false">SUM(B16:J16)</f>
        <v>50350</v>
      </c>
    </row>
    <row r="17" customFormat="false" ht="15" hidden="false" customHeight="false" outlineLevel="0" collapsed="false">
      <c r="A17" s="28" t="s">
        <v>129</v>
      </c>
      <c r="B17" s="34" t="n">
        <v>2300</v>
      </c>
      <c r="C17" s="34" t="n">
        <v>2300</v>
      </c>
      <c r="D17" s="34" t="n">
        <v>2300</v>
      </c>
      <c r="E17" s="34" t="n">
        <v>2300</v>
      </c>
      <c r="F17" s="34" t="n">
        <v>2300</v>
      </c>
      <c r="G17" s="34" t="n">
        <v>2300</v>
      </c>
      <c r="H17" s="34" t="n">
        <v>2300</v>
      </c>
      <c r="I17" s="34" t="n">
        <v>2300</v>
      </c>
      <c r="J17" s="34" t="n">
        <v>2300</v>
      </c>
      <c r="K17" s="34" t="n">
        <v>2300</v>
      </c>
      <c r="L17" s="34" t="n">
        <v>2300</v>
      </c>
      <c r="M17" s="34" t="n">
        <v>2300</v>
      </c>
      <c r="N17" s="35" t="n">
        <f aca="false">SUM(B17:M17)</f>
        <v>27600</v>
      </c>
      <c r="O17" s="35" t="n">
        <f aca="false">SUM(B17:J17)</f>
        <v>20700</v>
      </c>
    </row>
    <row r="18" customFormat="false" ht="15" hidden="false" customHeight="false" outlineLevel="0" collapsed="false">
      <c r="A18" s="28" t="s">
        <v>130</v>
      </c>
      <c r="B18" s="34" t="n">
        <v>1800</v>
      </c>
      <c r="C18" s="34" t="n">
        <v>1800</v>
      </c>
      <c r="D18" s="34" t="n">
        <v>1800</v>
      </c>
      <c r="E18" s="34" t="n">
        <v>1800</v>
      </c>
      <c r="F18" s="34" t="n">
        <v>1800</v>
      </c>
      <c r="G18" s="34" t="n">
        <v>1800</v>
      </c>
      <c r="H18" s="34" t="n">
        <v>1800</v>
      </c>
      <c r="I18" s="34" t="n">
        <v>1800</v>
      </c>
      <c r="J18" s="34" t="n">
        <v>1800</v>
      </c>
      <c r="K18" s="34" t="n">
        <v>1800</v>
      </c>
      <c r="L18" s="34" t="n">
        <v>1800</v>
      </c>
      <c r="M18" s="34" t="n">
        <v>1800</v>
      </c>
      <c r="N18" s="35" t="n">
        <f aca="false">SUM(B18:M18)</f>
        <v>21600</v>
      </c>
      <c r="O18" s="35" t="n">
        <f aca="false">SUM(B18:J18)</f>
        <v>16200</v>
      </c>
    </row>
    <row r="19" customFormat="false" ht="15" hidden="false" customHeight="false" outlineLevel="0" collapsed="false">
      <c r="A19" s="27" t="s">
        <v>131</v>
      </c>
      <c r="B19" s="36" t="n">
        <f aca="false">SUM(B14:B18)</f>
        <v>21330</v>
      </c>
      <c r="C19" s="36" t="n">
        <f aca="false">SUM(C14:C18)</f>
        <v>21250</v>
      </c>
      <c r="D19" s="36" t="n">
        <f aca="false">SUM(D14:D18)</f>
        <v>21750</v>
      </c>
      <c r="E19" s="36" t="n">
        <f aca="false">SUM(E14:E18)</f>
        <v>21840</v>
      </c>
      <c r="F19" s="36" t="n">
        <f aca="false">SUM(F14:F18)</f>
        <v>21980</v>
      </c>
      <c r="G19" s="36" t="n">
        <f aca="false">SUM(G14:G18)</f>
        <v>21950</v>
      </c>
      <c r="H19" s="36" t="n">
        <f aca="false">SUM(H14:H18)</f>
        <v>22580</v>
      </c>
      <c r="I19" s="36" t="n">
        <f aca="false">SUM(I14:I18)</f>
        <v>22860</v>
      </c>
      <c r="J19" s="36" t="n">
        <f aca="false">SUM(J14:J18)</f>
        <v>22950</v>
      </c>
      <c r="K19" s="36" t="n">
        <f aca="false">SUM(K14:K18)</f>
        <v>23240</v>
      </c>
      <c r="L19" s="36" t="n">
        <f aca="false">SUM(L14:L18)</f>
        <v>24050</v>
      </c>
      <c r="M19" s="36" t="n">
        <f aca="false">SUM(M14:M18)</f>
        <v>25150</v>
      </c>
      <c r="N19" s="37" t="n">
        <f aca="false">SUM(B19:M19)</f>
        <v>270930</v>
      </c>
      <c r="O19" s="37" t="n">
        <f aca="false">SUM(B19:J19)</f>
        <v>198490</v>
      </c>
    </row>
    <row r="20" customFormat="false" ht="15" hidden="false" customHeight="false" outlineLevel="0" collapsed="false">
      <c r="A20" s="27" t="s">
        <v>49</v>
      </c>
      <c r="B20" s="36" t="n">
        <f aca="false">B12-B19</f>
        <v>8223.60000000001</v>
      </c>
      <c r="C20" s="36" t="n">
        <f aca="false">C12-C19</f>
        <v>7835.2</v>
      </c>
      <c r="D20" s="36" t="n">
        <f aca="false">D12-D19</f>
        <v>9085.59999999999</v>
      </c>
      <c r="E20" s="36" t="n">
        <f aca="false">E12-E19</f>
        <v>9485.2</v>
      </c>
      <c r="F20" s="36" t="n">
        <f aca="false">F12-F19</f>
        <v>10156</v>
      </c>
      <c r="G20" s="36" t="n">
        <f aca="false">G12-G19</f>
        <v>10037.6</v>
      </c>
      <c r="H20" s="36" t="n">
        <f aca="false">H12-H19</f>
        <v>10227.6</v>
      </c>
      <c r="I20" s="36" t="n">
        <f aca="false">I12-I19</f>
        <v>10449.6</v>
      </c>
      <c r="J20" s="36" t="n">
        <f aca="false">J12-J19</f>
        <v>10868.4</v>
      </c>
      <c r="K20" s="36" t="n">
        <f aca="false">K12-K19</f>
        <v>11087.2</v>
      </c>
      <c r="L20" s="36" t="n">
        <f aca="false">L12-L19</f>
        <v>11453.6</v>
      </c>
      <c r="M20" s="36" t="n">
        <f aca="false">M12-M19</f>
        <v>13207.6</v>
      </c>
      <c r="N20" s="37" t="n">
        <f aca="false">SUM(B20:M20)</f>
        <v>122117.2</v>
      </c>
      <c r="O20" s="37" t="n">
        <f aca="false">SUM(B20:J20)</f>
        <v>86368.8</v>
      </c>
    </row>
    <row r="21" customFormat="false" ht="15" hidden="false" customHeight="false" outlineLevel="0" collapsed="false">
      <c r="A21" s="28" t="s">
        <v>50</v>
      </c>
      <c r="B21" s="38" t="n">
        <f aca="false">IF(B7=0,0,B20/B7)</f>
        <v>0.0817617816663353</v>
      </c>
      <c r="C21" s="38" t="n">
        <f aca="false">IF(C7=0,0,C20/C7)</f>
        <v>0.0791754244139046</v>
      </c>
      <c r="D21" s="38" t="n">
        <f aca="false">IF(D7=0,0,D20/D7)</f>
        <v>0.0866202688530841</v>
      </c>
      <c r="E21" s="38" t="n">
        <f aca="false">IF(E7=0,0,E20/E7)</f>
        <v>0.0890378297193279</v>
      </c>
      <c r="F21" s="38" t="n">
        <f aca="false">IF(F7=0,0,F20/F7)</f>
        <v>0.0929525901519312</v>
      </c>
      <c r="G21" s="38" t="n">
        <f aca="false">IF(G7=0,0,G20/G7)</f>
        <v>0.0923167479076611</v>
      </c>
      <c r="H21" s="38" t="n">
        <f aca="false">IF(H7=0,0,H20/H7)</f>
        <v>0.0917355816665171</v>
      </c>
      <c r="I21" s="38" t="n">
        <f aca="false">IF(I7=0,0,I20/I7)</f>
        <v>0.0923354245824865</v>
      </c>
      <c r="J21" s="38" t="n">
        <f aca="false">IF(J7=0,0,J20/J7)</f>
        <v>0.0946147819273963</v>
      </c>
      <c r="K21" s="38" t="n">
        <f aca="false">IF(K7=0,0,K20/K7)</f>
        <v>0.0951119499013469</v>
      </c>
      <c r="L21" s="38" t="n">
        <f aca="false">IF(L7=0,0,L20/L7)</f>
        <v>0.0950190808030529</v>
      </c>
      <c r="M21" s="38" t="n">
        <f aca="false">IF(M7=0,0,M20/M7)</f>
        <v>0.101440860215054</v>
      </c>
      <c r="N21" s="38" t="n">
        <f aca="false">IF(N7=0,0,N20/N7)</f>
        <v>0.091419459645603</v>
      </c>
      <c r="O21" s="38" t="n">
        <f aca="false">IF(O7=0,0,O20/O7)</f>
        <v>0.0891797455807038</v>
      </c>
    </row>
    <row r="22" customFormat="false" ht="15" hidden="false" customHeight="false" outlineLevel="0" collapsed="false">
      <c r="A22" s="28" t="s">
        <v>132</v>
      </c>
      <c r="B22" s="34" t="n">
        <v>1600</v>
      </c>
      <c r="C22" s="34" t="n">
        <v>1600</v>
      </c>
      <c r="D22" s="34" t="n">
        <v>1600</v>
      </c>
      <c r="E22" s="34" t="n">
        <v>1600</v>
      </c>
      <c r="F22" s="34" t="n">
        <v>1600</v>
      </c>
      <c r="G22" s="34" t="n">
        <v>1600</v>
      </c>
      <c r="H22" s="34" t="n">
        <v>1600</v>
      </c>
      <c r="I22" s="34" t="n">
        <v>1600</v>
      </c>
      <c r="J22" s="34" t="n">
        <v>1600</v>
      </c>
      <c r="K22" s="34" t="n">
        <v>1600</v>
      </c>
      <c r="L22" s="34" t="n">
        <v>1600</v>
      </c>
      <c r="M22" s="34" t="n">
        <v>1600</v>
      </c>
      <c r="N22" s="35" t="n">
        <f aca="false">SUM(B22:M22)</f>
        <v>19200</v>
      </c>
      <c r="O22" s="35" t="n">
        <f aca="false">SUM(B22:J22)</f>
        <v>14400</v>
      </c>
    </row>
    <row r="23" customFormat="false" ht="15" hidden="false" customHeight="false" outlineLevel="0" collapsed="false">
      <c r="A23" s="27" t="s">
        <v>133</v>
      </c>
      <c r="B23" s="36" t="n">
        <f aca="false">B20-B22</f>
        <v>6623.60000000001</v>
      </c>
      <c r="C23" s="36" t="n">
        <f aca="false">C20-C22</f>
        <v>6235.2</v>
      </c>
      <c r="D23" s="36" t="n">
        <f aca="false">D20-D22</f>
        <v>7485.59999999999</v>
      </c>
      <c r="E23" s="36" t="n">
        <f aca="false">E20-E22</f>
        <v>7885.2</v>
      </c>
      <c r="F23" s="36" t="n">
        <f aca="false">F20-F22</f>
        <v>8556</v>
      </c>
      <c r="G23" s="36" t="n">
        <f aca="false">G20-G22</f>
        <v>8437.59999999999</v>
      </c>
      <c r="H23" s="36" t="n">
        <f aca="false">H20-H22</f>
        <v>8627.59999999999</v>
      </c>
      <c r="I23" s="36" t="n">
        <f aca="false">I20-I22</f>
        <v>8849.59999999999</v>
      </c>
      <c r="J23" s="36" t="n">
        <f aca="false">J20-J22</f>
        <v>9268.40000000001</v>
      </c>
      <c r="K23" s="36" t="n">
        <f aca="false">K20-K22</f>
        <v>9487.20000000001</v>
      </c>
      <c r="L23" s="36" t="n">
        <f aca="false">L20-L22</f>
        <v>9853.59999999999</v>
      </c>
      <c r="M23" s="36" t="n">
        <f aca="false">M20-M22</f>
        <v>11607.6</v>
      </c>
      <c r="N23" s="37" t="n">
        <f aca="false">SUM(B23:M23)</f>
        <v>102917.2</v>
      </c>
      <c r="O23" s="37" t="n">
        <f aca="false">SUM(B23:J23)</f>
        <v>71968.8</v>
      </c>
    </row>
    <row r="24" customFormat="false" ht="15" hidden="false" customHeight="false" outlineLevel="0" collapsed="false">
      <c r="A24" s="28" t="s">
        <v>134</v>
      </c>
      <c r="B24" s="34" t="n">
        <v>1500</v>
      </c>
      <c r="C24" s="34" t="n">
        <v>1480</v>
      </c>
      <c r="D24" s="34" t="n">
        <v>1460</v>
      </c>
      <c r="E24" s="34" t="n">
        <v>1440</v>
      </c>
      <c r="F24" s="34" t="n">
        <v>1420</v>
      </c>
      <c r="G24" s="34" t="n">
        <v>1400</v>
      </c>
      <c r="H24" s="34" t="n">
        <v>1380</v>
      </c>
      <c r="I24" s="34" t="n">
        <v>1360</v>
      </c>
      <c r="J24" s="34" t="n">
        <v>1340</v>
      </c>
      <c r="K24" s="34" t="n">
        <v>1320</v>
      </c>
      <c r="L24" s="34" t="n">
        <v>1300</v>
      </c>
      <c r="M24" s="34" t="n">
        <v>1280</v>
      </c>
      <c r="N24" s="35" t="n">
        <f aca="false">SUM(B24:M24)</f>
        <v>16680</v>
      </c>
      <c r="O24" s="35" t="n">
        <f aca="false">SUM(B24:J24)</f>
        <v>12780</v>
      </c>
    </row>
    <row r="25" customFormat="false" ht="15" hidden="false" customHeight="false" outlineLevel="0" collapsed="false">
      <c r="A25" s="27" t="s">
        <v>135</v>
      </c>
      <c r="B25" s="36" t="n">
        <f aca="false">B23-B24</f>
        <v>5123.60000000001</v>
      </c>
      <c r="C25" s="36" t="n">
        <f aca="false">C23-C24</f>
        <v>4755.2</v>
      </c>
      <c r="D25" s="36" t="n">
        <f aca="false">D23-D24</f>
        <v>6025.59999999999</v>
      </c>
      <c r="E25" s="36" t="n">
        <f aca="false">E23-E24</f>
        <v>6445.2</v>
      </c>
      <c r="F25" s="36" t="n">
        <f aca="false">F23-F24</f>
        <v>7136</v>
      </c>
      <c r="G25" s="36" t="n">
        <f aca="false">G23-G24</f>
        <v>7037.59999999999</v>
      </c>
      <c r="H25" s="36" t="n">
        <f aca="false">H23-H24</f>
        <v>7247.59999999999</v>
      </c>
      <c r="I25" s="36" t="n">
        <f aca="false">I23-I24</f>
        <v>7489.59999999999</v>
      </c>
      <c r="J25" s="36" t="n">
        <f aca="false">J23-J24</f>
        <v>7928.40000000001</v>
      </c>
      <c r="K25" s="36" t="n">
        <f aca="false">K23-K24</f>
        <v>8167.20000000001</v>
      </c>
      <c r="L25" s="36" t="n">
        <f aca="false">L23-L24</f>
        <v>8553.59999999999</v>
      </c>
      <c r="M25" s="36" t="n">
        <f aca="false">M23-M24</f>
        <v>10327.6</v>
      </c>
      <c r="N25" s="37" t="n">
        <f aca="false">SUM(B25:M25)</f>
        <v>86237.2</v>
      </c>
      <c r="O25" s="37" t="n">
        <f aca="false">SUM(B25:J25)</f>
        <v>59188.8</v>
      </c>
    </row>
    <row r="26" customFormat="false" ht="15" hidden="false" customHeight="false" outlineLevel="0" collapsed="false">
      <c r="A26" s="28" t="s">
        <v>136</v>
      </c>
      <c r="B26" s="35" t="n">
        <f aca="false">MAX(0,B25)*Assumptions!$B$15</f>
        <v>1537.08</v>
      </c>
      <c r="C26" s="35" t="n">
        <f aca="false">MAX(0,C25)*Assumptions!$B$15</f>
        <v>1426.56</v>
      </c>
      <c r="D26" s="35" t="n">
        <f aca="false">MAX(0,D25)*Assumptions!$B$15</f>
        <v>1807.68</v>
      </c>
      <c r="E26" s="35" t="n">
        <f aca="false">MAX(0,E25)*Assumptions!$B$15</f>
        <v>1933.56</v>
      </c>
      <c r="F26" s="35" t="n">
        <f aca="false">MAX(0,F25)*Assumptions!$B$15</f>
        <v>2140.8</v>
      </c>
      <c r="G26" s="35" t="n">
        <f aca="false">MAX(0,G25)*Assumptions!$B$15</f>
        <v>2111.28</v>
      </c>
      <c r="H26" s="35" t="n">
        <f aca="false">MAX(0,H25)*Assumptions!$B$15</f>
        <v>2174.28</v>
      </c>
      <c r="I26" s="35" t="n">
        <f aca="false">MAX(0,I25)*Assumptions!$B$15</f>
        <v>2246.88</v>
      </c>
      <c r="J26" s="35" t="n">
        <f aca="false">MAX(0,J25)*Assumptions!$B$15</f>
        <v>2378.52</v>
      </c>
      <c r="K26" s="35" t="n">
        <f aca="false">MAX(0,K25)*Assumptions!$B$15</f>
        <v>2450.16</v>
      </c>
      <c r="L26" s="35" t="n">
        <f aca="false">MAX(0,L25)*Assumptions!$B$15</f>
        <v>2566.08</v>
      </c>
      <c r="M26" s="35" t="n">
        <f aca="false">MAX(0,M25)*Assumptions!$B$15</f>
        <v>3098.28</v>
      </c>
      <c r="N26" s="35" t="n">
        <f aca="false">SUM(B26:M26)</f>
        <v>25871.16</v>
      </c>
      <c r="O26" s="35" t="n">
        <f aca="false">SUM(B26:J26)</f>
        <v>17756.64</v>
      </c>
    </row>
    <row r="27" customFormat="false" ht="15" hidden="false" customHeight="false" outlineLevel="0" collapsed="false">
      <c r="A27" s="27" t="s">
        <v>51</v>
      </c>
      <c r="B27" s="36" t="n">
        <f aca="false">B25-B26</f>
        <v>3586.52</v>
      </c>
      <c r="C27" s="36" t="n">
        <f aca="false">C25-C26</f>
        <v>3328.64</v>
      </c>
      <c r="D27" s="36" t="n">
        <f aca="false">D25-D26</f>
        <v>4217.91999999999</v>
      </c>
      <c r="E27" s="36" t="n">
        <f aca="false">E25-E26</f>
        <v>4511.64</v>
      </c>
      <c r="F27" s="36" t="n">
        <f aca="false">F25-F26</f>
        <v>4995.2</v>
      </c>
      <c r="G27" s="36" t="n">
        <f aca="false">G25-G26</f>
        <v>4926.31999999999</v>
      </c>
      <c r="H27" s="36" t="n">
        <f aca="false">H25-H26</f>
        <v>5073.31999999999</v>
      </c>
      <c r="I27" s="36" t="n">
        <f aca="false">I25-I26</f>
        <v>5242.71999999999</v>
      </c>
      <c r="J27" s="36" t="n">
        <f aca="false">J25-J26</f>
        <v>5549.88000000001</v>
      </c>
      <c r="K27" s="36" t="n">
        <f aca="false">K25-K26</f>
        <v>5717.04000000001</v>
      </c>
      <c r="L27" s="36" t="n">
        <f aca="false">L25-L26</f>
        <v>5987.51999999999</v>
      </c>
      <c r="M27" s="36" t="n">
        <f aca="false">M25-M26</f>
        <v>7229.32</v>
      </c>
      <c r="N27" s="37" t="n">
        <f aca="false">SUM(B27:M27)</f>
        <v>60366.04</v>
      </c>
      <c r="O27" s="37" t="n">
        <f aca="false">SUM(B27:J27)</f>
        <v>41432.16</v>
      </c>
    </row>
    <row r="29" customFormat="false" ht="15" hidden="false" customHeight="false" outlineLevel="0" collapsed="false">
      <c r="A29" s="2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25" t="s">
        <v>138</v>
      </c>
    </row>
    <row r="2" customFormat="false" ht="15" hidden="false" customHeight="false" outlineLevel="0" collapsed="false">
      <c r="A2" s="26" t="s">
        <v>139</v>
      </c>
    </row>
    <row r="3" customFormat="false" ht="15" hidden="false" customHeight="false" outlineLevel="0" collapsed="false">
      <c r="A3" s="13" t="s">
        <v>69</v>
      </c>
      <c r="B3" s="14" t="s">
        <v>104</v>
      </c>
      <c r="C3" s="14" t="s">
        <v>105</v>
      </c>
      <c r="D3" s="14" t="s">
        <v>106</v>
      </c>
      <c r="E3" s="14" t="s">
        <v>107</v>
      </c>
      <c r="F3" s="14" t="s">
        <v>108</v>
      </c>
      <c r="G3" s="14" t="s">
        <v>109</v>
      </c>
      <c r="H3" s="14" t="s">
        <v>110</v>
      </c>
      <c r="I3" s="14" t="s">
        <v>111</v>
      </c>
      <c r="J3" s="14" t="s">
        <v>112</v>
      </c>
      <c r="K3" s="14" t="s">
        <v>117</v>
      </c>
    </row>
    <row r="4" customFormat="false" ht="15" hidden="false" customHeight="false" outlineLevel="0" collapsed="false">
      <c r="A4" s="28" t="s">
        <v>118</v>
      </c>
      <c r="B4" s="34" t="n">
        <v>36325</v>
      </c>
      <c r="C4" s="34" t="n">
        <v>36226</v>
      </c>
      <c r="D4" s="34" t="n">
        <v>38302</v>
      </c>
      <c r="E4" s="34" t="n">
        <v>38530</v>
      </c>
      <c r="F4" s="34" t="n">
        <v>39550</v>
      </c>
      <c r="G4" s="34" t="n">
        <v>39152</v>
      </c>
      <c r="H4" s="34" t="n">
        <v>40710</v>
      </c>
      <c r="I4" s="34" t="n">
        <v>41313</v>
      </c>
      <c r="J4" s="34" t="n">
        <v>41390</v>
      </c>
      <c r="K4" s="35" t="n">
        <f aca="false">SUM(B4:J4)</f>
        <v>351498</v>
      </c>
    </row>
    <row r="5" customFormat="false" ht="15" hidden="false" customHeight="false" outlineLevel="0" collapsed="false">
      <c r="A5" s="28" t="s">
        <v>119</v>
      </c>
      <c r="B5" s="34" t="n">
        <v>51703</v>
      </c>
      <c r="C5" s="34" t="n">
        <v>51077</v>
      </c>
      <c r="D5" s="34" t="n">
        <v>57405</v>
      </c>
      <c r="E5" s="34" t="n">
        <v>58005</v>
      </c>
      <c r="F5" s="34" t="n">
        <v>59134</v>
      </c>
      <c r="G5" s="34" t="n">
        <v>58749</v>
      </c>
      <c r="H5" s="34" t="n">
        <v>59651</v>
      </c>
      <c r="I5" s="34" t="n">
        <v>61717</v>
      </c>
      <c r="J5" s="34" t="n">
        <v>61476</v>
      </c>
      <c r="K5" s="35" t="n">
        <f aca="false">SUM(B5:J5)</f>
        <v>518917</v>
      </c>
    </row>
    <row r="6" customFormat="false" ht="15" hidden="false" customHeight="false" outlineLevel="0" collapsed="false">
      <c r="A6" s="28" t="s">
        <v>120</v>
      </c>
      <c r="B6" s="34" t="n">
        <v>9929</v>
      </c>
      <c r="C6" s="34" t="n">
        <v>9968</v>
      </c>
      <c r="D6" s="34" t="n">
        <v>10583</v>
      </c>
      <c r="E6" s="34" t="n">
        <v>10919</v>
      </c>
      <c r="F6" s="34" t="n">
        <v>11428</v>
      </c>
      <c r="G6" s="34" t="n">
        <v>12544</v>
      </c>
      <c r="H6" s="34" t="n">
        <v>13338</v>
      </c>
      <c r="I6" s="34" t="n">
        <v>13686</v>
      </c>
      <c r="J6" s="34" t="n">
        <v>13975</v>
      </c>
      <c r="K6" s="35" t="n">
        <f aca="false">SUM(B6:J6)</f>
        <v>106370</v>
      </c>
    </row>
    <row r="7" customFormat="false" ht="15" hidden="false" customHeight="false" outlineLevel="0" collapsed="false">
      <c r="A7" s="27" t="s">
        <v>121</v>
      </c>
      <c r="B7" s="36" t="n">
        <f aca="false">SUM(B4:B6)</f>
        <v>97957</v>
      </c>
      <c r="C7" s="36" t="n">
        <f aca="false">SUM(C4:C6)</f>
        <v>97271</v>
      </c>
      <c r="D7" s="36" t="n">
        <f aca="false">SUM(D4:D6)</f>
        <v>106290</v>
      </c>
      <c r="E7" s="36" t="n">
        <f aca="false">SUM(E4:E6)</f>
        <v>107454</v>
      </c>
      <c r="F7" s="36" t="n">
        <f aca="false">SUM(F4:F6)</f>
        <v>110112</v>
      </c>
      <c r="G7" s="36" t="n">
        <f aca="false">SUM(G4:G6)</f>
        <v>110445</v>
      </c>
      <c r="H7" s="36" t="n">
        <f aca="false">SUM(H4:H6)</f>
        <v>113699</v>
      </c>
      <c r="I7" s="36" t="n">
        <f aca="false">SUM(I4:I6)</f>
        <v>116716</v>
      </c>
      <c r="J7" s="36" t="n">
        <f aca="false">SUM(J4:J6)</f>
        <v>116841</v>
      </c>
      <c r="K7" s="37" t="n">
        <f aca="false">SUM(B7:J7)</f>
        <v>976785</v>
      </c>
    </row>
    <row r="8" customFormat="false" ht="15" hidden="false" customHeight="false" outlineLevel="0" collapsed="false">
      <c r="A8" s="28" t="s">
        <v>122</v>
      </c>
      <c r="B8" s="34" t="n">
        <v>23591</v>
      </c>
      <c r="C8" s="34" t="n">
        <v>23487</v>
      </c>
      <c r="D8" s="34" t="n">
        <v>24782</v>
      </c>
      <c r="E8" s="34" t="n">
        <v>24961</v>
      </c>
      <c r="F8" s="34" t="n">
        <v>25628</v>
      </c>
      <c r="G8" s="34" t="n">
        <v>25367</v>
      </c>
      <c r="H8" s="34" t="n">
        <v>26375</v>
      </c>
      <c r="I8" s="34" t="n">
        <v>26781</v>
      </c>
      <c r="J8" s="34" t="n">
        <v>26743</v>
      </c>
      <c r="K8" s="35" t="n">
        <f aca="false">SUM(B8:J8)</f>
        <v>227715</v>
      </c>
    </row>
    <row r="9" customFormat="false" ht="15" hidden="false" customHeight="false" outlineLevel="0" collapsed="false">
      <c r="A9" s="28" t="s">
        <v>123</v>
      </c>
      <c r="B9" s="34" t="n">
        <v>39212</v>
      </c>
      <c r="C9" s="34" t="n">
        <v>38765</v>
      </c>
      <c r="D9" s="34" t="n">
        <v>44427</v>
      </c>
      <c r="E9" s="34" t="n">
        <v>44867</v>
      </c>
      <c r="F9" s="34" t="n">
        <v>45561</v>
      </c>
      <c r="G9" s="34" t="n">
        <v>45358</v>
      </c>
      <c r="H9" s="34" t="n">
        <v>46046</v>
      </c>
      <c r="I9" s="34" t="n">
        <v>47687</v>
      </c>
      <c r="J9" s="34" t="n">
        <v>47498</v>
      </c>
      <c r="K9" s="35" t="n">
        <f aca="false">SUM(B9:J9)</f>
        <v>399421</v>
      </c>
    </row>
    <row r="10" customFormat="false" ht="15" hidden="false" customHeight="false" outlineLevel="0" collapsed="false">
      <c r="A10" s="28" t="s">
        <v>124</v>
      </c>
      <c r="B10" s="34" t="n">
        <v>6790</v>
      </c>
      <c r="C10" s="34" t="n">
        <v>6833</v>
      </c>
      <c r="D10" s="34" t="n">
        <v>7268</v>
      </c>
      <c r="E10" s="34" t="n">
        <v>7488</v>
      </c>
      <c r="F10" s="34" t="n">
        <v>7828</v>
      </c>
      <c r="G10" s="34" t="n">
        <v>8569</v>
      </c>
      <c r="H10" s="34" t="n">
        <v>9122</v>
      </c>
      <c r="I10" s="34" t="n">
        <v>9364</v>
      </c>
      <c r="J10" s="34" t="n">
        <v>9578</v>
      </c>
      <c r="K10" s="35" t="n">
        <f aca="false">SUM(B10:J10)</f>
        <v>72840</v>
      </c>
    </row>
    <row r="11" customFormat="false" ht="15" hidden="false" customHeight="false" outlineLevel="0" collapsed="false">
      <c r="A11" s="27" t="s">
        <v>125</v>
      </c>
      <c r="B11" s="36" t="n">
        <f aca="false">SUM(B8:B10)</f>
        <v>69593</v>
      </c>
      <c r="C11" s="36" t="n">
        <f aca="false">SUM(C8:C10)</f>
        <v>69085</v>
      </c>
      <c r="D11" s="36" t="n">
        <f aca="false">SUM(D8:D10)</f>
        <v>76477</v>
      </c>
      <c r="E11" s="36" t="n">
        <f aca="false">SUM(E8:E10)</f>
        <v>77316</v>
      </c>
      <c r="F11" s="36" t="n">
        <f aca="false">SUM(F8:F10)</f>
        <v>79017</v>
      </c>
      <c r="G11" s="36" t="n">
        <f aca="false">SUM(G8:G10)</f>
        <v>79294</v>
      </c>
      <c r="H11" s="36" t="n">
        <f aca="false">SUM(H8:H10)</f>
        <v>81543</v>
      </c>
      <c r="I11" s="36" t="n">
        <f aca="false">SUM(I8:I10)</f>
        <v>83832</v>
      </c>
      <c r="J11" s="36" t="n">
        <f aca="false">SUM(J8:J10)</f>
        <v>83819</v>
      </c>
      <c r="K11" s="37" t="n">
        <f aca="false">SUM(B11:J11)</f>
        <v>699976</v>
      </c>
    </row>
    <row r="12" customFormat="false" ht="15" hidden="false" customHeight="false" outlineLevel="0" collapsed="false">
      <c r="A12" s="27" t="s">
        <v>45</v>
      </c>
      <c r="B12" s="36" t="n">
        <f aca="false">B7-B11</f>
        <v>28364</v>
      </c>
      <c r="C12" s="36" t="n">
        <f aca="false">C7-C11</f>
        <v>28186</v>
      </c>
      <c r="D12" s="36" t="n">
        <f aca="false">D7-D11</f>
        <v>29813</v>
      </c>
      <c r="E12" s="36" t="n">
        <f aca="false">E7-E11</f>
        <v>30138</v>
      </c>
      <c r="F12" s="36" t="n">
        <f aca="false">F7-F11</f>
        <v>31095</v>
      </c>
      <c r="G12" s="36" t="n">
        <f aca="false">G7-G11</f>
        <v>31151</v>
      </c>
      <c r="H12" s="36" t="n">
        <f aca="false">H7-H11</f>
        <v>32156</v>
      </c>
      <c r="I12" s="36" t="n">
        <f aca="false">I7-I11</f>
        <v>32884</v>
      </c>
      <c r="J12" s="36" t="n">
        <f aca="false">J7-J11</f>
        <v>33022</v>
      </c>
      <c r="K12" s="37" t="n">
        <f aca="false">SUM(B12:J12)</f>
        <v>276809</v>
      </c>
    </row>
    <row r="13" customFormat="false" ht="15" hidden="false" customHeight="false" outlineLevel="0" collapsed="false">
      <c r="A13" s="28" t="s">
        <v>46</v>
      </c>
      <c r="B13" s="38" t="n">
        <f aca="false">IF(B7=0,0,B12/B7)</f>
        <v>0.289555621344059</v>
      </c>
      <c r="C13" s="38" t="n">
        <f aca="false">IF(C7=0,0,C12/C7)</f>
        <v>0.289767762231292</v>
      </c>
      <c r="D13" s="38" t="n">
        <f aca="false">IF(D7=0,0,D12/D7)</f>
        <v>0.280487345940352</v>
      </c>
      <c r="E13" s="38" t="n">
        <f aca="false">IF(E7=0,0,E12/E7)</f>
        <v>0.280473504941649</v>
      </c>
      <c r="F13" s="38" t="n">
        <f aca="false">IF(F7=0,0,F12/F7)</f>
        <v>0.282394289450741</v>
      </c>
      <c r="G13" s="38" t="n">
        <f aca="false">IF(G7=0,0,G12/G7)</f>
        <v>0.282049889085065</v>
      </c>
      <c r="H13" s="38" t="n">
        <f aca="false">IF(H7=0,0,H12/H7)</f>
        <v>0.282816911318481</v>
      </c>
      <c r="I13" s="38" t="n">
        <f aca="false">IF(I7=0,0,I12/I7)</f>
        <v>0.281743719798485</v>
      </c>
      <c r="J13" s="38" t="n">
        <f aca="false">IF(J7=0,0,J12/J7)</f>
        <v>0.28262339418526</v>
      </c>
      <c r="K13" s="38" t="n">
        <f aca="false">IF(K7=0,0,K12/K7)</f>
        <v>0.283387848912504</v>
      </c>
    </row>
    <row r="14" customFormat="false" ht="15" hidden="false" customHeight="false" outlineLevel="0" collapsed="false">
      <c r="A14" s="28" t="s">
        <v>126</v>
      </c>
      <c r="B14" s="34" t="n">
        <v>9484</v>
      </c>
      <c r="C14" s="34" t="n">
        <v>9446</v>
      </c>
      <c r="D14" s="34" t="n">
        <v>9499</v>
      </c>
      <c r="E14" s="34" t="n">
        <v>9482</v>
      </c>
      <c r="F14" s="34" t="n">
        <v>9495</v>
      </c>
      <c r="G14" s="34" t="n">
        <v>9455</v>
      </c>
      <c r="H14" s="34" t="n">
        <v>9795</v>
      </c>
      <c r="I14" s="34" t="n">
        <v>9788</v>
      </c>
      <c r="J14" s="34" t="n">
        <v>9761</v>
      </c>
      <c r="K14" s="35" t="n">
        <f aca="false">SUM(B14:J14)</f>
        <v>86205</v>
      </c>
    </row>
    <row r="15" customFormat="false" ht="15" hidden="false" customHeight="false" outlineLevel="0" collapsed="false">
      <c r="A15" s="28" t="s">
        <v>127</v>
      </c>
      <c r="B15" s="34" t="n">
        <v>2383</v>
      </c>
      <c r="C15" s="34" t="n">
        <v>2395</v>
      </c>
      <c r="D15" s="34" t="n">
        <v>2575</v>
      </c>
      <c r="E15" s="34" t="n">
        <v>2526</v>
      </c>
      <c r="F15" s="34" t="n">
        <v>3006</v>
      </c>
      <c r="G15" s="34" t="n">
        <v>2978</v>
      </c>
      <c r="H15" s="34" t="n">
        <v>3208</v>
      </c>
      <c r="I15" s="34" t="n">
        <v>3808</v>
      </c>
      <c r="J15" s="34" t="n">
        <v>3810</v>
      </c>
      <c r="K15" s="35" t="n">
        <f aca="false">SUM(B15:J15)</f>
        <v>26689</v>
      </c>
    </row>
    <row r="16" customFormat="false" ht="15" hidden="false" customHeight="false" outlineLevel="0" collapsed="false">
      <c r="A16" s="28" t="s">
        <v>128</v>
      </c>
      <c r="B16" s="34" t="n">
        <v>5696</v>
      </c>
      <c r="C16" s="34" t="n">
        <v>5554</v>
      </c>
      <c r="D16" s="34" t="n">
        <v>5888</v>
      </c>
      <c r="E16" s="34" t="n">
        <v>6021</v>
      </c>
      <c r="F16" s="34" t="n">
        <v>6133</v>
      </c>
      <c r="G16" s="34" t="n">
        <v>6019</v>
      </c>
      <c r="H16" s="34" t="n">
        <v>6256</v>
      </c>
      <c r="I16" s="34" t="n">
        <v>6346</v>
      </c>
      <c r="J16" s="34" t="n">
        <v>6446</v>
      </c>
      <c r="K16" s="35" t="n">
        <f aca="false">SUM(B16:J16)</f>
        <v>54359</v>
      </c>
    </row>
    <row r="17" customFormat="false" ht="15" hidden="false" customHeight="false" outlineLevel="0" collapsed="false">
      <c r="A17" s="28" t="s">
        <v>129</v>
      </c>
      <c r="B17" s="34" t="n">
        <v>2300</v>
      </c>
      <c r="C17" s="34" t="n">
        <v>2300</v>
      </c>
      <c r="D17" s="34" t="n">
        <v>2300</v>
      </c>
      <c r="E17" s="34" t="n">
        <v>2392</v>
      </c>
      <c r="F17" s="34" t="n">
        <v>2392</v>
      </c>
      <c r="G17" s="34" t="n">
        <v>2392</v>
      </c>
      <c r="H17" s="34" t="n">
        <v>2392</v>
      </c>
      <c r="I17" s="34" t="n">
        <v>2392</v>
      </c>
      <c r="J17" s="34" t="n">
        <v>2392</v>
      </c>
      <c r="K17" s="35" t="n">
        <f aca="false">SUM(B17:J17)</f>
        <v>21252</v>
      </c>
    </row>
    <row r="18" customFormat="false" ht="15" hidden="false" customHeight="false" outlineLevel="0" collapsed="false">
      <c r="A18" s="28" t="s">
        <v>130</v>
      </c>
      <c r="B18" s="34" t="n">
        <v>1694</v>
      </c>
      <c r="C18" s="34" t="n">
        <v>1703</v>
      </c>
      <c r="D18" s="34" t="n">
        <v>1678</v>
      </c>
      <c r="E18" s="34" t="n">
        <v>1687</v>
      </c>
      <c r="F18" s="34" t="n">
        <v>1706</v>
      </c>
      <c r="G18" s="34" t="n">
        <v>1699</v>
      </c>
      <c r="H18" s="34" t="n">
        <v>1691</v>
      </c>
      <c r="I18" s="34" t="n">
        <v>1705</v>
      </c>
      <c r="J18" s="34" t="n">
        <v>1706</v>
      </c>
      <c r="K18" s="35" t="n">
        <f aca="false">SUM(B18:J18)</f>
        <v>15269</v>
      </c>
    </row>
    <row r="19" customFormat="false" ht="15" hidden="false" customHeight="false" outlineLevel="0" collapsed="false">
      <c r="A19" s="27" t="s">
        <v>131</v>
      </c>
      <c r="B19" s="36" t="n">
        <f aca="false">SUM(B14:B18)</f>
        <v>21557</v>
      </c>
      <c r="C19" s="36" t="n">
        <f aca="false">SUM(C14:C18)</f>
        <v>21398</v>
      </c>
      <c r="D19" s="36" t="n">
        <f aca="false">SUM(D14:D18)</f>
        <v>21940</v>
      </c>
      <c r="E19" s="36" t="n">
        <f aca="false">SUM(E14:E18)</f>
        <v>22108</v>
      </c>
      <c r="F19" s="36" t="n">
        <f aca="false">SUM(F14:F18)</f>
        <v>22732</v>
      </c>
      <c r="G19" s="36" t="n">
        <f aca="false">SUM(G14:G18)</f>
        <v>22543</v>
      </c>
      <c r="H19" s="36" t="n">
        <f aca="false">SUM(H14:H18)</f>
        <v>23342</v>
      </c>
      <c r="I19" s="36" t="n">
        <f aca="false">SUM(I14:I18)</f>
        <v>24039</v>
      </c>
      <c r="J19" s="36" t="n">
        <f aca="false">SUM(J14:J18)</f>
        <v>24115</v>
      </c>
      <c r="K19" s="37" t="n">
        <f aca="false">SUM(B19:J19)</f>
        <v>203774</v>
      </c>
    </row>
    <row r="20" customFormat="false" ht="15" hidden="false" customHeight="false" outlineLevel="0" collapsed="false">
      <c r="A20" s="27" t="s">
        <v>49</v>
      </c>
      <c r="B20" s="36" t="n">
        <f aca="false">B12-B19</f>
        <v>6807</v>
      </c>
      <c r="C20" s="36" t="n">
        <f aca="false">C12-C19</f>
        <v>6788</v>
      </c>
      <c r="D20" s="36" t="n">
        <f aca="false">D12-D19</f>
        <v>7873</v>
      </c>
      <c r="E20" s="36" t="n">
        <f aca="false">E12-E19</f>
        <v>8030</v>
      </c>
      <c r="F20" s="36" t="n">
        <f aca="false">F12-F19</f>
        <v>8363</v>
      </c>
      <c r="G20" s="36" t="n">
        <f aca="false">G12-G19</f>
        <v>8608</v>
      </c>
      <c r="H20" s="36" t="n">
        <f aca="false">H12-H19</f>
        <v>8814</v>
      </c>
      <c r="I20" s="36" t="n">
        <f aca="false">I12-I19</f>
        <v>8845</v>
      </c>
      <c r="J20" s="36" t="n">
        <f aca="false">J12-J19</f>
        <v>8907</v>
      </c>
      <c r="K20" s="37" t="n">
        <f aca="false">SUM(B20:J20)</f>
        <v>73035</v>
      </c>
    </row>
    <row r="21" customFormat="false" ht="15" hidden="false" customHeight="false" outlineLevel="0" collapsed="false">
      <c r="A21" s="28" t="s">
        <v>50</v>
      </c>
      <c r="B21" s="38" t="n">
        <f aca="false">IF(B7=0,0,B20/B7)</f>
        <v>0.0694896740406505</v>
      </c>
      <c r="C21" s="38" t="n">
        <f aca="false">IF(C7=0,0,C20/C7)</f>
        <v>0.0697844167326336</v>
      </c>
      <c r="D21" s="38" t="n">
        <f aca="false">IF(D7=0,0,D20/D7)</f>
        <v>0.0740709379998118</v>
      </c>
      <c r="E21" s="38" t="n">
        <f aca="false">IF(E7=0,0,E20/E7)</f>
        <v>0.0747296517579616</v>
      </c>
      <c r="F21" s="38" t="n">
        <f aca="false">IF(F7=0,0,F20/F7)</f>
        <v>0.0759499418773612</v>
      </c>
      <c r="G21" s="38" t="n">
        <f aca="false">IF(G7=0,0,G20/G7)</f>
        <v>0.0779392457784418</v>
      </c>
      <c r="H21" s="38" t="n">
        <f aca="false">IF(H7=0,0,H20/H7)</f>
        <v>0.077520470716541</v>
      </c>
      <c r="I21" s="38" t="n">
        <f aca="false">IF(I7=0,0,I20/I7)</f>
        <v>0.0757822406525241</v>
      </c>
      <c r="J21" s="38" t="n">
        <f aca="false">IF(J7=0,0,J20/J7)</f>
        <v>0.0762318021927235</v>
      </c>
      <c r="K21" s="38" t="n">
        <f aca="false">IF(K7=0,0,K20/K7)</f>
        <v>0.0747708042199665</v>
      </c>
    </row>
    <row r="22" customFormat="false" ht="15" hidden="false" customHeight="false" outlineLevel="0" collapsed="false">
      <c r="A22" s="28" t="s">
        <v>132</v>
      </c>
      <c r="B22" s="34" t="n">
        <v>1600</v>
      </c>
      <c r="C22" s="34" t="n">
        <v>1600</v>
      </c>
      <c r="D22" s="34" t="n">
        <v>1600</v>
      </c>
      <c r="E22" s="34" t="n">
        <v>1600</v>
      </c>
      <c r="F22" s="34" t="n">
        <v>1600</v>
      </c>
      <c r="G22" s="34" t="n">
        <v>1600</v>
      </c>
      <c r="H22" s="34" t="n">
        <v>1600</v>
      </c>
      <c r="I22" s="34" t="n">
        <v>1600</v>
      </c>
      <c r="J22" s="34" t="n">
        <v>1600</v>
      </c>
      <c r="K22" s="35" t="n">
        <f aca="false">SUM(B22:J22)</f>
        <v>14400</v>
      </c>
    </row>
    <row r="23" customFormat="false" ht="15" hidden="false" customHeight="false" outlineLevel="0" collapsed="false">
      <c r="A23" s="27" t="s">
        <v>133</v>
      </c>
      <c r="B23" s="36" t="n">
        <f aca="false">B20-B22</f>
        <v>5207</v>
      </c>
      <c r="C23" s="36" t="n">
        <f aca="false">C20-C22</f>
        <v>5188</v>
      </c>
      <c r="D23" s="36" t="n">
        <f aca="false">D20-D22</f>
        <v>6273</v>
      </c>
      <c r="E23" s="36" t="n">
        <f aca="false">E20-E22</f>
        <v>6430</v>
      </c>
      <c r="F23" s="36" t="n">
        <f aca="false">F20-F22</f>
        <v>6763</v>
      </c>
      <c r="G23" s="36" t="n">
        <f aca="false">G20-G22</f>
        <v>7008</v>
      </c>
      <c r="H23" s="36" t="n">
        <f aca="false">H20-H22</f>
        <v>7214</v>
      </c>
      <c r="I23" s="36" t="n">
        <f aca="false">I20-I22</f>
        <v>7245</v>
      </c>
      <c r="J23" s="36" t="n">
        <f aca="false">J20-J22</f>
        <v>7307</v>
      </c>
      <c r="K23" s="37" t="n">
        <f aca="false">SUM(B23:J23)</f>
        <v>58635</v>
      </c>
    </row>
    <row r="24" customFormat="false" ht="15" hidden="false" customHeight="false" outlineLevel="0" collapsed="false">
      <c r="A24" s="28" t="s">
        <v>134</v>
      </c>
      <c r="B24" s="34" t="n">
        <v>1545</v>
      </c>
      <c r="C24" s="34" t="n">
        <v>1524</v>
      </c>
      <c r="D24" s="34" t="n">
        <v>1504</v>
      </c>
      <c r="E24" s="34" t="n">
        <v>1483</v>
      </c>
      <c r="F24" s="34" t="n">
        <v>1463</v>
      </c>
      <c r="G24" s="34" t="n">
        <v>1442</v>
      </c>
      <c r="H24" s="34" t="n">
        <v>1421</v>
      </c>
      <c r="I24" s="34" t="n">
        <v>1401</v>
      </c>
      <c r="J24" s="34" t="n">
        <v>1380</v>
      </c>
      <c r="K24" s="35" t="n">
        <f aca="false">SUM(B24:J24)</f>
        <v>13163</v>
      </c>
    </row>
    <row r="25" customFormat="false" ht="15" hidden="false" customHeight="false" outlineLevel="0" collapsed="false">
      <c r="A25" s="27" t="s">
        <v>135</v>
      </c>
      <c r="B25" s="36" t="n">
        <f aca="false">B23-B24</f>
        <v>3662</v>
      </c>
      <c r="C25" s="36" t="n">
        <f aca="false">C23-C24</f>
        <v>3664</v>
      </c>
      <c r="D25" s="36" t="n">
        <f aca="false">D23-D24</f>
        <v>4769</v>
      </c>
      <c r="E25" s="36" t="n">
        <f aca="false">E23-E24</f>
        <v>4947</v>
      </c>
      <c r="F25" s="36" t="n">
        <f aca="false">F23-F24</f>
        <v>5300</v>
      </c>
      <c r="G25" s="36" t="n">
        <f aca="false">G23-G24</f>
        <v>5566</v>
      </c>
      <c r="H25" s="36" t="n">
        <f aca="false">H23-H24</f>
        <v>5793</v>
      </c>
      <c r="I25" s="36" t="n">
        <f aca="false">I23-I24</f>
        <v>5844</v>
      </c>
      <c r="J25" s="36" t="n">
        <f aca="false">J23-J24</f>
        <v>5927</v>
      </c>
      <c r="K25" s="37" t="n">
        <f aca="false">SUM(B25:J25)</f>
        <v>45472</v>
      </c>
    </row>
    <row r="26" customFormat="false" ht="15" hidden="false" customHeight="false" outlineLevel="0" collapsed="false">
      <c r="A26" s="28" t="s">
        <v>136</v>
      </c>
      <c r="B26" s="35" t="n">
        <f aca="false">MAX(0,B25)*Assumptions!$B$15</f>
        <v>1098.6</v>
      </c>
      <c r="C26" s="35" t="n">
        <f aca="false">MAX(0,C25)*Assumptions!$B$15</f>
        <v>1099.2</v>
      </c>
      <c r="D26" s="35" t="n">
        <f aca="false">MAX(0,D25)*Assumptions!$B$15</f>
        <v>1430.7</v>
      </c>
      <c r="E26" s="35" t="n">
        <f aca="false">MAX(0,E25)*Assumptions!$B$15</f>
        <v>1484.1</v>
      </c>
      <c r="F26" s="35" t="n">
        <f aca="false">MAX(0,F25)*Assumptions!$B$15</f>
        <v>1590</v>
      </c>
      <c r="G26" s="35" t="n">
        <f aca="false">MAX(0,G25)*Assumptions!$B$15</f>
        <v>1669.8</v>
      </c>
      <c r="H26" s="35" t="n">
        <f aca="false">MAX(0,H25)*Assumptions!$B$15</f>
        <v>1737.9</v>
      </c>
      <c r="I26" s="35" t="n">
        <f aca="false">MAX(0,I25)*Assumptions!$B$15</f>
        <v>1753.2</v>
      </c>
      <c r="J26" s="35" t="n">
        <f aca="false">MAX(0,J25)*Assumptions!$B$15</f>
        <v>1778.1</v>
      </c>
      <c r="K26" s="35" t="n">
        <f aca="false">SUM(B26:J26)</f>
        <v>13641.6</v>
      </c>
    </row>
    <row r="27" customFormat="false" ht="15" hidden="false" customHeight="false" outlineLevel="0" collapsed="false">
      <c r="A27" s="27" t="s">
        <v>51</v>
      </c>
      <c r="B27" s="36" t="n">
        <f aca="false">B25-B26</f>
        <v>2563.4</v>
      </c>
      <c r="C27" s="36" t="n">
        <f aca="false">C25-C26</f>
        <v>2564.8</v>
      </c>
      <c r="D27" s="36" t="n">
        <f aca="false">D25-D26</f>
        <v>3338.3</v>
      </c>
      <c r="E27" s="36" t="n">
        <f aca="false">E25-E26</f>
        <v>3462.9</v>
      </c>
      <c r="F27" s="36" t="n">
        <f aca="false">F25-F26</f>
        <v>3710</v>
      </c>
      <c r="G27" s="36" t="n">
        <f aca="false">G25-G26</f>
        <v>3896.2</v>
      </c>
      <c r="H27" s="36" t="n">
        <f aca="false">H25-H26</f>
        <v>4055.1</v>
      </c>
      <c r="I27" s="36" t="n">
        <f aca="false">I25-I26</f>
        <v>4090.8</v>
      </c>
      <c r="J27" s="36" t="n">
        <f aca="false">J25-J26</f>
        <v>4148.9</v>
      </c>
      <c r="K27" s="37" t="n">
        <f aca="false">SUM(B27:J27)</f>
        <v>31830.4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25" t="s">
        <v>140</v>
      </c>
    </row>
    <row r="2" customFormat="false" ht="15" hidden="false" customHeight="false" outlineLevel="0" collapsed="false">
      <c r="A2" s="26" t="s">
        <v>141</v>
      </c>
    </row>
    <row r="4" customFormat="false" ht="15" hidden="false" customHeight="false" outlineLevel="0" collapsed="false">
      <c r="A4" s="13" t="s">
        <v>142</v>
      </c>
      <c r="B4" s="14" t="s">
        <v>143</v>
      </c>
      <c r="C4" s="14" t="s">
        <v>144</v>
      </c>
      <c r="D4" s="14" t="s">
        <v>145</v>
      </c>
      <c r="E4" s="14" t="s">
        <v>41</v>
      </c>
      <c r="F4" s="14" t="s">
        <v>146</v>
      </c>
      <c r="G4" s="14" t="s">
        <v>43</v>
      </c>
      <c r="H4" s="14" t="s">
        <v>147</v>
      </c>
    </row>
    <row r="5" customFormat="false" ht="15" hidden="false" customHeight="false" outlineLevel="0" collapsed="false">
      <c r="A5" s="28" t="s">
        <v>118</v>
      </c>
      <c r="B5" s="39" t="s">
        <v>148</v>
      </c>
      <c r="C5" s="40" t="n">
        <f aca="false">Actuals!K4</f>
        <v>351498</v>
      </c>
      <c r="D5" s="40" t="n">
        <f aca="false">Budget!O4</f>
        <v>360190</v>
      </c>
      <c r="E5" s="35" t="n">
        <f aca="false">IF(B5="Income",C5-D5,D5-C5)</f>
        <v>-8692</v>
      </c>
      <c r="F5" s="38" t="n">
        <f aca="false">IF(D5=0,0,E5/ABS(D5))</f>
        <v>-0.0241317082650823</v>
      </c>
      <c r="G5" s="39" t="str">
        <f aca="false">IF(ABS(F5)&lt;=0.01,"On budget",IF(E5&gt;0,"Favourable","Adverse"))</f>
        <v>Adverse</v>
      </c>
      <c r="H5" s="41" t="s">
        <v>149</v>
      </c>
    </row>
    <row r="6" customFormat="false" ht="15" hidden="false" customHeight="false" outlineLevel="0" collapsed="false">
      <c r="A6" s="28" t="s">
        <v>119</v>
      </c>
      <c r="B6" s="39" t="s">
        <v>148</v>
      </c>
      <c r="C6" s="40" t="n">
        <f aca="false">Actuals!K5</f>
        <v>518917</v>
      </c>
      <c r="D6" s="40" t="n">
        <f aca="false">Budget!O5</f>
        <v>493280</v>
      </c>
      <c r="E6" s="35" t="n">
        <f aca="false">IF(B6="Income",C6-D6,D6-C6)</f>
        <v>25637</v>
      </c>
      <c r="F6" s="38" t="n">
        <f aca="false">IF(D6=0,0,E6/ABS(D6))</f>
        <v>0.0519725105416802</v>
      </c>
      <c r="G6" s="39" t="str">
        <f aca="false">IF(ABS(F6)&lt;=0.01,"On budget",IF(E6&gt;0,"Favourable","Adverse"))</f>
        <v>Favourable</v>
      </c>
      <c r="H6" s="41" t="s">
        <v>150</v>
      </c>
    </row>
    <row r="7" customFormat="false" ht="15" hidden="false" customHeight="false" outlineLevel="0" collapsed="false">
      <c r="A7" s="28" t="s">
        <v>120</v>
      </c>
      <c r="B7" s="39" t="s">
        <v>148</v>
      </c>
      <c r="C7" s="40" t="n">
        <f aca="false">Actuals!K6</f>
        <v>106370</v>
      </c>
      <c r="D7" s="40" t="n">
        <f aca="false">Budget!O6</f>
        <v>115010</v>
      </c>
      <c r="E7" s="35" t="n">
        <f aca="false">IF(B7="Income",C7-D7,D7-C7)</f>
        <v>-8640</v>
      </c>
      <c r="F7" s="38" t="n">
        <f aca="false">IF(D7=0,0,E7/ABS(D7))</f>
        <v>-0.0751239022693679</v>
      </c>
      <c r="G7" s="39" t="str">
        <f aca="false">IF(ABS(F7)&lt;=0.01,"On budget",IF(E7&gt;0,"Favourable","Adverse"))</f>
        <v>Adverse</v>
      </c>
      <c r="H7" s="41" t="s">
        <v>151</v>
      </c>
    </row>
    <row r="8" customFormat="false" ht="15" hidden="false" customHeight="false" outlineLevel="0" collapsed="false">
      <c r="A8" s="27" t="s">
        <v>121</v>
      </c>
      <c r="B8" s="39" t="s">
        <v>148</v>
      </c>
      <c r="C8" s="40" t="n">
        <f aca="false">Actuals!K7</f>
        <v>976785</v>
      </c>
      <c r="D8" s="40" t="n">
        <f aca="false">Budget!O7</f>
        <v>968480</v>
      </c>
      <c r="E8" s="35" t="n">
        <f aca="false">IF(B8="Income",C8-D8,D8-C8)</f>
        <v>8305</v>
      </c>
      <c r="F8" s="38" t="n">
        <f aca="false">IF(D8=0,0,E8/ABS(D8))</f>
        <v>0.00857529324301999</v>
      </c>
      <c r="G8" s="39" t="str">
        <f aca="false">IF(ABS(F8)&lt;=0.01,"On budget",IF(E8&gt;0,"Favourable","Adverse"))</f>
        <v>On budget</v>
      </c>
      <c r="H8" s="41" t="s">
        <v>152</v>
      </c>
    </row>
    <row r="9" customFormat="false" ht="15" hidden="false" customHeight="false" outlineLevel="0" collapsed="false">
      <c r="A9" s="27" t="s">
        <v>125</v>
      </c>
      <c r="B9" s="39" t="s">
        <v>153</v>
      </c>
      <c r="C9" s="40" t="n">
        <f aca="false">Actuals!K11</f>
        <v>699976</v>
      </c>
      <c r="D9" s="40" t="n">
        <f aca="false">Budget!O11</f>
        <v>683621.2</v>
      </c>
      <c r="E9" s="35" t="n">
        <f aca="false">IF(B9="Income",C9-D9,D9-C9)</f>
        <v>-16354.7999999999</v>
      </c>
      <c r="F9" s="38" t="n">
        <f aca="false">IF(D9=0,0,E9/ABS(D9))</f>
        <v>-0.0239237753305485</v>
      </c>
      <c r="G9" s="39" t="str">
        <f aca="false">IF(ABS(F9)&lt;=0.01,"On budget",IF(E9&gt;0,"Favourable","Adverse"))</f>
        <v>Adverse</v>
      </c>
      <c r="H9" s="41" t="s">
        <v>154</v>
      </c>
    </row>
    <row r="10" customFormat="false" ht="15" hidden="false" customHeight="false" outlineLevel="0" collapsed="false">
      <c r="A10" s="27" t="s">
        <v>45</v>
      </c>
      <c r="B10" s="39" t="s">
        <v>148</v>
      </c>
      <c r="C10" s="40" t="n">
        <f aca="false">Actuals!K12</f>
        <v>276809</v>
      </c>
      <c r="D10" s="40" t="n">
        <f aca="false">Budget!O12</f>
        <v>284858.8</v>
      </c>
      <c r="E10" s="35" t="n">
        <f aca="false">IF(B10="Income",C10-D10,D10-C10)</f>
        <v>-8049.79999999999</v>
      </c>
      <c r="F10" s="38" t="n">
        <f aca="false">IF(D10=0,0,E10/ABS(D10))</f>
        <v>-0.028258912836816</v>
      </c>
      <c r="G10" s="39" t="str">
        <f aca="false">IF(ABS(F10)&lt;=0.01,"On budget",IF(E10&gt;0,"Favourable","Adverse"))</f>
        <v>Adverse</v>
      </c>
      <c r="H10" s="41" t="s">
        <v>155</v>
      </c>
    </row>
    <row r="11" customFormat="false" ht="15" hidden="false" customHeight="false" outlineLevel="0" collapsed="false">
      <c r="A11" s="28" t="s">
        <v>126</v>
      </c>
      <c r="B11" s="39" t="s">
        <v>153</v>
      </c>
      <c r="C11" s="40" t="n">
        <f aca="false">Actuals!K14</f>
        <v>86205</v>
      </c>
      <c r="D11" s="40" t="n">
        <f aca="false">Budget!O14</f>
        <v>83640</v>
      </c>
      <c r="E11" s="35" t="n">
        <f aca="false">IF(B11="Income",C11-D11,D11-C11)</f>
        <v>-2565</v>
      </c>
      <c r="F11" s="38" t="n">
        <f aca="false">IF(D11=0,0,E11/ABS(D11))</f>
        <v>-0.0306671449067432</v>
      </c>
      <c r="G11" s="39" t="str">
        <f aca="false">IF(ABS(F11)&lt;=0.01,"On budget",IF(E11&gt;0,"Favourable","Adverse"))</f>
        <v>Adverse</v>
      </c>
      <c r="H11" s="41" t="s">
        <v>156</v>
      </c>
    </row>
    <row r="12" customFormat="false" ht="15" hidden="false" customHeight="false" outlineLevel="0" collapsed="false">
      <c r="A12" s="28" t="s">
        <v>127</v>
      </c>
      <c r="B12" s="39" t="s">
        <v>153</v>
      </c>
      <c r="C12" s="40" t="n">
        <f aca="false">Actuals!K15</f>
        <v>26689</v>
      </c>
      <c r="D12" s="40" t="n">
        <f aca="false">Budget!O15</f>
        <v>27600</v>
      </c>
      <c r="E12" s="35" t="n">
        <f aca="false">IF(B12="Income",C12-D12,D12-C12)</f>
        <v>911</v>
      </c>
      <c r="F12" s="38" t="n">
        <f aca="false">IF(D12=0,0,E12/ABS(D12))</f>
        <v>0.0330072463768116</v>
      </c>
      <c r="G12" s="39" t="str">
        <f aca="false">IF(ABS(F12)&lt;=0.01,"On budget",IF(E12&gt;0,"Favourable","Adverse"))</f>
        <v>Favourable</v>
      </c>
      <c r="H12" s="41" t="s">
        <v>157</v>
      </c>
    </row>
    <row r="13" customFormat="false" ht="15" hidden="false" customHeight="false" outlineLevel="0" collapsed="false">
      <c r="A13" s="28" t="s">
        <v>128</v>
      </c>
      <c r="B13" s="39" t="s">
        <v>153</v>
      </c>
      <c r="C13" s="40" t="n">
        <f aca="false">Actuals!K16</f>
        <v>54359</v>
      </c>
      <c r="D13" s="40" t="n">
        <f aca="false">Budget!O16</f>
        <v>50350</v>
      </c>
      <c r="E13" s="35" t="n">
        <f aca="false">IF(B13="Income",C13-D13,D13-C13)</f>
        <v>-4009</v>
      </c>
      <c r="F13" s="38" t="n">
        <f aca="false">IF(D13=0,0,E13/ABS(D13))</f>
        <v>-0.079622641509434</v>
      </c>
      <c r="G13" s="39" t="str">
        <f aca="false">IF(ABS(F13)&lt;=0.01,"On budget",IF(E13&gt;0,"Favourable","Adverse"))</f>
        <v>Adverse</v>
      </c>
      <c r="H13" s="41" t="s">
        <v>158</v>
      </c>
    </row>
    <row r="14" customFormat="false" ht="15" hidden="false" customHeight="false" outlineLevel="0" collapsed="false">
      <c r="A14" s="28" t="s">
        <v>129</v>
      </c>
      <c r="B14" s="39" t="s">
        <v>153</v>
      </c>
      <c r="C14" s="40" t="n">
        <f aca="false">Actuals!K17</f>
        <v>21252</v>
      </c>
      <c r="D14" s="40" t="n">
        <f aca="false">Budget!O17</f>
        <v>20700</v>
      </c>
      <c r="E14" s="35" t="n">
        <f aca="false">IF(B14="Income",C14-D14,D14-C14)</f>
        <v>-552</v>
      </c>
      <c r="F14" s="38" t="n">
        <f aca="false">IF(D14=0,0,E14/ABS(D14))</f>
        <v>-0.0266666666666667</v>
      </c>
      <c r="G14" s="39" t="str">
        <f aca="false">IF(ABS(F14)&lt;=0.01,"On budget",IF(E14&gt;0,"Favourable","Adverse"))</f>
        <v>Adverse</v>
      </c>
      <c r="H14" s="41" t="s">
        <v>159</v>
      </c>
    </row>
    <row r="15" customFormat="false" ht="15" hidden="false" customHeight="false" outlineLevel="0" collapsed="false">
      <c r="A15" s="28" t="s">
        <v>130</v>
      </c>
      <c r="B15" s="39" t="s">
        <v>153</v>
      </c>
      <c r="C15" s="40" t="n">
        <f aca="false">Actuals!K18</f>
        <v>15269</v>
      </c>
      <c r="D15" s="40" t="n">
        <f aca="false">Budget!O18</f>
        <v>16200</v>
      </c>
      <c r="E15" s="35" t="n">
        <f aca="false">IF(B15="Income",C15-D15,D15-C15)</f>
        <v>931</v>
      </c>
      <c r="F15" s="38" t="n">
        <f aca="false">IF(D15=0,0,E15/ABS(D15))</f>
        <v>0.0574691358024691</v>
      </c>
      <c r="G15" s="39" t="str">
        <f aca="false">IF(ABS(F15)&lt;=0.01,"On budget",IF(E15&gt;0,"Favourable","Adverse"))</f>
        <v>Favourable</v>
      </c>
      <c r="H15" s="41" t="s">
        <v>160</v>
      </c>
    </row>
    <row r="16" customFormat="false" ht="15" hidden="false" customHeight="false" outlineLevel="0" collapsed="false">
      <c r="A16" s="27" t="s">
        <v>131</v>
      </c>
      <c r="B16" s="39" t="s">
        <v>153</v>
      </c>
      <c r="C16" s="40" t="n">
        <f aca="false">Actuals!K19</f>
        <v>203774</v>
      </c>
      <c r="D16" s="40" t="n">
        <f aca="false">Budget!O19</f>
        <v>198490</v>
      </c>
      <c r="E16" s="35" t="n">
        <f aca="false">IF(B16="Income",C16-D16,D16-C16)</f>
        <v>-5284</v>
      </c>
      <c r="F16" s="38" t="n">
        <f aca="false">IF(D16=0,0,E16/ABS(D16))</f>
        <v>-0.0266209884628949</v>
      </c>
      <c r="G16" s="39" t="str">
        <f aca="false">IF(ABS(F16)&lt;=0.01,"On budget",IF(E16&gt;0,"Favourable","Adverse"))</f>
        <v>Adverse</v>
      </c>
      <c r="H16" s="41" t="s">
        <v>161</v>
      </c>
    </row>
    <row r="17" customFormat="false" ht="15" hidden="false" customHeight="false" outlineLevel="0" collapsed="false">
      <c r="A17" s="27" t="s">
        <v>49</v>
      </c>
      <c r="B17" s="39" t="s">
        <v>148</v>
      </c>
      <c r="C17" s="40" t="n">
        <f aca="false">Actuals!K20</f>
        <v>73035</v>
      </c>
      <c r="D17" s="40" t="n">
        <f aca="false">Budget!O20</f>
        <v>86368.8</v>
      </c>
      <c r="E17" s="35" t="n">
        <f aca="false">IF(B17="Income",C17-D17,D17-C17)</f>
        <v>-13333.8</v>
      </c>
      <c r="F17" s="38" t="n">
        <f aca="false">IF(D17=0,0,E17/ABS(D17))</f>
        <v>-0.154382137994275</v>
      </c>
      <c r="G17" s="39" t="str">
        <f aca="false">IF(ABS(F17)&lt;=0.01,"On budget",IF(E17&gt;0,"Favourable","Adverse"))</f>
        <v>Adverse</v>
      </c>
      <c r="H17" s="41"/>
    </row>
    <row r="18" customFormat="false" ht="15" hidden="false" customHeight="false" outlineLevel="0" collapsed="false">
      <c r="A18" s="28" t="s">
        <v>132</v>
      </c>
      <c r="B18" s="39" t="s">
        <v>153</v>
      </c>
      <c r="C18" s="40" t="n">
        <f aca="false">Actuals!K22</f>
        <v>14400</v>
      </c>
      <c r="D18" s="40" t="n">
        <f aca="false">Budget!O22</f>
        <v>14400</v>
      </c>
      <c r="E18" s="35" t="n">
        <f aca="false">IF(B18="Income",C18-D18,D18-C18)</f>
        <v>0</v>
      </c>
      <c r="F18" s="38" t="n">
        <f aca="false">IF(D18=0,0,E18/ABS(D18))</f>
        <v>0</v>
      </c>
      <c r="G18" s="39" t="str">
        <f aca="false">IF(ABS(F18)&lt;=0.01,"On budget",IF(E18&gt;0,"Favourable","Adverse"))</f>
        <v>On budget</v>
      </c>
      <c r="H18" s="41"/>
    </row>
    <row r="19" customFormat="false" ht="15" hidden="false" customHeight="false" outlineLevel="0" collapsed="false">
      <c r="A19" s="27" t="s">
        <v>133</v>
      </c>
      <c r="B19" s="39" t="s">
        <v>148</v>
      </c>
      <c r="C19" s="40" t="n">
        <f aca="false">Actuals!K23</f>
        <v>58635</v>
      </c>
      <c r="D19" s="40" t="n">
        <f aca="false">Budget!O23</f>
        <v>71968.8</v>
      </c>
      <c r="E19" s="35" t="n">
        <f aca="false">IF(B19="Income",C19-D19,D19-C19)</f>
        <v>-13333.8</v>
      </c>
      <c r="F19" s="38" t="n">
        <f aca="false">IF(D19=0,0,E19/ABS(D19))</f>
        <v>-0.185271951178844</v>
      </c>
      <c r="G19" s="39" t="str">
        <f aca="false">IF(ABS(F19)&lt;=0.01,"On budget",IF(E19&gt;0,"Favourable","Adverse"))</f>
        <v>Adverse</v>
      </c>
      <c r="H19" s="41"/>
    </row>
    <row r="20" customFormat="false" ht="15" hidden="false" customHeight="false" outlineLevel="0" collapsed="false">
      <c r="A20" s="28" t="s">
        <v>134</v>
      </c>
      <c r="B20" s="39" t="s">
        <v>153</v>
      </c>
      <c r="C20" s="40" t="n">
        <f aca="false">Actuals!K24</f>
        <v>13163</v>
      </c>
      <c r="D20" s="40" t="n">
        <f aca="false">Budget!O24</f>
        <v>12780</v>
      </c>
      <c r="E20" s="35" t="n">
        <f aca="false">IF(B20="Income",C20-D20,D20-C20)</f>
        <v>-383</v>
      </c>
      <c r="F20" s="38" t="n">
        <f aca="false">IF(D20=0,0,E20/ABS(D20))</f>
        <v>-0.0299687010954617</v>
      </c>
      <c r="G20" s="39" t="str">
        <f aca="false">IF(ABS(F20)&lt;=0.01,"On budget",IF(E20&gt;0,"Favourable","Adverse"))</f>
        <v>Adverse</v>
      </c>
      <c r="H20" s="41" t="s">
        <v>162</v>
      </c>
    </row>
    <row r="21" customFormat="false" ht="15" hidden="false" customHeight="false" outlineLevel="0" collapsed="false">
      <c r="A21" s="27" t="s">
        <v>135</v>
      </c>
      <c r="B21" s="39" t="s">
        <v>148</v>
      </c>
      <c r="C21" s="40" t="n">
        <f aca="false">Actuals!K25</f>
        <v>45472</v>
      </c>
      <c r="D21" s="40" t="n">
        <f aca="false">Budget!O25</f>
        <v>59188.8</v>
      </c>
      <c r="E21" s="35" t="n">
        <f aca="false">IF(B21="Income",C21-D21,D21-C21)</f>
        <v>-13716.8</v>
      </c>
      <c r="F21" s="38" t="n">
        <f aca="false">IF(D21=0,0,E21/ABS(D21))</f>
        <v>-0.231746546643959</v>
      </c>
      <c r="G21" s="39" t="str">
        <f aca="false">IF(ABS(F21)&lt;=0.01,"On budget",IF(E21&gt;0,"Favourable","Adverse"))</f>
        <v>Adverse</v>
      </c>
      <c r="H21" s="41"/>
    </row>
    <row r="22" customFormat="false" ht="15" hidden="false" customHeight="false" outlineLevel="0" collapsed="false">
      <c r="A22" s="28" t="s">
        <v>136</v>
      </c>
      <c r="B22" s="39" t="s">
        <v>153</v>
      </c>
      <c r="C22" s="40" t="n">
        <f aca="false">Actuals!K26</f>
        <v>13641.6</v>
      </c>
      <c r="D22" s="40" t="n">
        <f aca="false">Budget!O26</f>
        <v>17756.64</v>
      </c>
      <c r="E22" s="35" t="n">
        <f aca="false">IF(B22="Income",C22-D22,D22-C22)</f>
        <v>4115.03999999999</v>
      </c>
      <c r="F22" s="38" t="n">
        <f aca="false">IF(D22=0,0,E22/ABS(D22))</f>
        <v>0.231746546643959</v>
      </c>
      <c r="G22" s="39" t="str">
        <f aca="false">IF(ABS(F22)&lt;=0.01,"On budget",IF(E22&gt;0,"Favourable","Adverse"))</f>
        <v>Favourable</v>
      </c>
      <c r="H22" s="41"/>
    </row>
    <row r="23" customFormat="false" ht="15" hidden="false" customHeight="false" outlineLevel="0" collapsed="false">
      <c r="A23" s="27" t="s">
        <v>51</v>
      </c>
      <c r="B23" s="39" t="s">
        <v>148</v>
      </c>
      <c r="C23" s="40" t="n">
        <f aca="false">Actuals!K27</f>
        <v>31830.4</v>
      </c>
      <c r="D23" s="40" t="n">
        <f aca="false">Budget!O27</f>
        <v>41432.16</v>
      </c>
      <c r="E23" s="35" t="n">
        <f aca="false">IF(B23="Income",C23-D23,D23-C23)</f>
        <v>-9601.75999999998</v>
      </c>
      <c r="F23" s="38" t="n">
        <f aca="false">IF(D23=0,0,E23/ABS(D23))</f>
        <v>-0.231746546643959</v>
      </c>
      <c r="G23" s="39" t="str">
        <f aca="false">IF(ABS(F23)&lt;=0.01,"On budget",IF(E23&gt;0,"Favourable","Adverse"))</f>
        <v>Adverse</v>
      </c>
      <c r="H23" s="41"/>
    </row>
  </sheetData>
  <conditionalFormatting sqref="E5:F23">
    <cfRule type="cellIs" priority="2" operator="greaterThan" aboveAverage="0" equalAverage="0" bottom="0" percent="0" rank="0" text="" dxfId="0">
      <formula>0.0001</formula>
    </cfRule>
    <cfRule type="cellIs" priority="3" operator="lessThan" aboveAverage="0" equalAverage="0" bottom="0" percent="0" rank="0" text="" dxfId="1">
      <formula>-0.0001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1"/>
    <col collapsed="false" customWidth="true" hidden="false" outlineLevel="0" max="17" min="14" style="0" width="13"/>
  </cols>
  <sheetData>
    <row r="1" customFormat="false" ht="17.35" hidden="false" customHeight="false" outlineLevel="0" collapsed="false">
      <c r="A1" s="25" t="s">
        <v>163</v>
      </c>
    </row>
    <row r="2" customFormat="false" ht="15" hidden="false" customHeight="false" outlineLevel="0" collapsed="false">
      <c r="A2" s="26" t="s">
        <v>164</v>
      </c>
    </row>
    <row r="3" customFormat="false" ht="15" hidden="false" customHeight="false" outlineLevel="0" collapsed="false">
      <c r="A3" s="13" t="s">
        <v>69</v>
      </c>
      <c r="B3" s="14" t="s">
        <v>104</v>
      </c>
      <c r="C3" s="14" t="s">
        <v>105</v>
      </c>
      <c r="D3" s="14" t="s">
        <v>106</v>
      </c>
      <c r="E3" s="14" t="s">
        <v>107</v>
      </c>
      <c r="F3" s="14" t="s">
        <v>108</v>
      </c>
      <c r="G3" s="14" t="s">
        <v>109</v>
      </c>
      <c r="H3" s="14" t="s">
        <v>110</v>
      </c>
      <c r="I3" s="14" t="s">
        <v>111</v>
      </c>
      <c r="J3" s="14" t="s">
        <v>112</v>
      </c>
      <c r="K3" s="42" t="s">
        <v>113</v>
      </c>
      <c r="L3" s="42" t="s">
        <v>114</v>
      </c>
      <c r="M3" s="42" t="s">
        <v>115</v>
      </c>
      <c r="N3" s="14" t="s">
        <v>165</v>
      </c>
      <c r="O3" s="14" t="s">
        <v>166</v>
      </c>
      <c r="P3" s="14" t="s">
        <v>167</v>
      </c>
      <c r="Q3" s="14" t="s">
        <v>42</v>
      </c>
    </row>
    <row r="4" customFormat="false" ht="15" hidden="false" customHeight="false" outlineLevel="0" collapsed="false">
      <c r="A4" s="28" t="s">
        <v>118</v>
      </c>
      <c r="B4" s="40" t="n">
        <f aca="false">Actuals!B4</f>
        <v>36325</v>
      </c>
      <c r="C4" s="40" t="n">
        <f aca="false">Actuals!C4</f>
        <v>36226</v>
      </c>
      <c r="D4" s="40" t="n">
        <f aca="false">Actuals!D4</f>
        <v>38302</v>
      </c>
      <c r="E4" s="40" t="n">
        <f aca="false">Actuals!E4</f>
        <v>38530</v>
      </c>
      <c r="F4" s="40" t="n">
        <f aca="false">Actuals!F4</f>
        <v>39550</v>
      </c>
      <c r="G4" s="40" t="n">
        <f aca="false">Actuals!G4</f>
        <v>39152</v>
      </c>
      <c r="H4" s="40" t="n">
        <f aca="false">Actuals!H4</f>
        <v>40710</v>
      </c>
      <c r="I4" s="40" t="n">
        <f aca="false">Actuals!I4</f>
        <v>41313</v>
      </c>
      <c r="J4" s="40" t="n">
        <f aca="false">Actuals!J4</f>
        <v>41390</v>
      </c>
      <c r="K4" s="35" t="n">
        <f aca="false">Budget!K4*(Actuals!$K4/Budget!$O4)*Assumptions!$B$19</f>
        <v>42059.923373775</v>
      </c>
      <c r="L4" s="35" t="n">
        <f aca="false">Budget!L4*(Actuals!$K4/Budget!$O4)*Assumptions!$B$19</f>
        <v>43435.8976651212</v>
      </c>
      <c r="M4" s="35" t="n">
        <f aca="false">Budget!M4*(Actuals!$K4/Budget!$O4)*Assumptions!$B$19</f>
        <v>46861.1953691108</v>
      </c>
      <c r="N4" s="35" t="n">
        <f aca="false">SUM(B4:M4)</f>
        <v>483855.016408007</v>
      </c>
      <c r="O4" s="40" t="n">
        <f aca="false">Budget!N4</f>
        <v>495820</v>
      </c>
      <c r="P4" s="35" t="n">
        <f aca="false">N4-O4</f>
        <v>-11964.9835919931</v>
      </c>
      <c r="Q4" s="38" t="n">
        <f aca="false">IF(O4=0,0,P4/ABS(O4))</f>
        <v>-0.0241317082650823</v>
      </c>
    </row>
    <row r="5" customFormat="false" ht="15" hidden="false" customHeight="false" outlineLevel="0" collapsed="false">
      <c r="A5" s="28" t="s">
        <v>119</v>
      </c>
      <c r="B5" s="40" t="n">
        <f aca="false">Actuals!B5</f>
        <v>51703</v>
      </c>
      <c r="C5" s="40" t="n">
        <f aca="false">Actuals!C5</f>
        <v>51077</v>
      </c>
      <c r="D5" s="40" t="n">
        <f aca="false">Actuals!D5</f>
        <v>57405</v>
      </c>
      <c r="E5" s="40" t="n">
        <f aca="false">Actuals!E5</f>
        <v>58005</v>
      </c>
      <c r="F5" s="40" t="n">
        <f aca="false">Actuals!F5</f>
        <v>59134</v>
      </c>
      <c r="G5" s="40" t="n">
        <f aca="false">Actuals!G5</f>
        <v>58749</v>
      </c>
      <c r="H5" s="40" t="n">
        <f aca="false">Actuals!H5</f>
        <v>59651</v>
      </c>
      <c r="I5" s="40" t="n">
        <f aca="false">Actuals!I5</f>
        <v>61717</v>
      </c>
      <c r="J5" s="40" t="n">
        <f aca="false">Actuals!J5</f>
        <v>61476</v>
      </c>
      <c r="K5" s="35" t="n">
        <f aca="false">Budget!K5*(Actuals!$K5/Budget!$O5)*Assumptions!$B$19</f>
        <v>61792.8652692183</v>
      </c>
      <c r="L5" s="35" t="n">
        <f aca="false">Budget!L5*(Actuals!$K5/Budget!$O5)*Assumptions!$B$19</f>
        <v>63770.5735890367</v>
      </c>
      <c r="M5" s="35" t="n">
        <f aca="false">Budget!M5*(Actuals!$K5/Budget!$O5)*Assumptions!$B$19</f>
        <v>68735.8838387934</v>
      </c>
      <c r="N5" s="35" t="n">
        <f aca="false">SUM(B5:M5)</f>
        <v>713216.322697048</v>
      </c>
      <c r="O5" s="40" t="n">
        <f aca="false">Budget!N5</f>
        <v>677980</v>
      </c>
      <c r="P5" s="35" t="n">
        <f aca="false">N5-O5</f>
        <v>35236.3226970483</v>
      </c>
      <c r="Q5" s="38" t="n">
        <f aca="false">IF(O5=0,0,P5/ABS(O5))</f>
        <v>0.0519725105416802</v>
      </c>
    </row>
    <row r="6" customFormat="false" ht="15" hidden="false" customHeight="false" outlineLevel="0" collapsed="false">
      <c r="A6" s="28" t="s">
        <v>120</v>
      </c>
      <c r="B6" s="40" t="n">
        <f aca="false">Actuals!B6</f>
        <v>9929</v>
      </c>
      <c r="C6" s="40" t="n">
        <f aca="false">Actuals!C6</f>
        <v>9968</v>
      </c>
      <c r="D6" s="40" t="n">
        <f aca="false">Actuals!D6</f>
        <v>10583</v>
      </c>
      <c r="E6" s="40" t="n">
        <f aca="false">Actuals!E6</f>
        <v>10919</v>
      </c>
      <c r="F6" s="40" t="n">
        <f aca="false">Actuals!F6</f>
        <v>11428</v>
      </c>
      <c r="G6" s="40" t="n">
        <f aca="false">Actuals!G6</f>
        <v>12544</v>
      </c>
      <c r="H6" s="40" t="n">
        <f aca="false">Actuals!H6</f>
        <v>13338</v>
      </c>
      <c r="I6" s="40" t="n">
        <f aca="false">Actuals!I6</f>
        <v>13686</v>
      </c>
      <c r="J6" s="40" t="n">
        <f aca="false">Actuals!J6</f>
        <v>13975</v>
      </c>
      <c r="K6" s="35" t="n">
        <f aca="false">Budget!K6*(Actuals!$K6/Budget!$O6)*Assumptions!$B$19</f>
        <v>13623.4249195722</v>
      </c>
      <c r="L6" s="35" t="n">
        <f aca="false">Budget!L6*(Actuals!$K6/Budget!$O6)*Assumptions!$B$19</f>
        <v>14252.340666029</v>
      </c>
      <c r="M6" s="35" t="n">
        <f aca="false">Budget!M6*(Actuals!$K6/Budget!$O6)*Assumptions!$B$19</f>
        <v>15574.9134857838</v>
      </c>
      <c r="N6" s="35" t="n">
        <f aca="false">SUM(B6:M6)</f>
        <v>149820.679071385</v>
      </c>
      <c r="O6" s="40" t="n">
        <f aca="false">Budget!N6</f>
        <v>161990</v>
      </c>
      <c r="P6" s="35" t="n">
        <f aca="false">N6-O6</f>
        <v>-12169.3209286149</v>
      </c>
      <c r="Q6" s="38" t="n">
        <f aca="false">IF(O6=0,0,P6/ABS(O6))</f>
        <v>-0.0751239022693679</v>
      </c>
    </row>
    <row r="7" customFormat="false" ht="15" hidden="false" customHeight="false" outlineLevel="0" collapsed="false">
      <c r="A7" s="27" t="s">
        <v>121</v>
      </c>
      <c r="B7" s="36" t="n">
        <f aca="false">SUM(B4:B6)</f>
        <v>97957</v>
      </c>
      <c r="C7" s="36" t="n">
        <f aca="false">SUM(C4:C6)</f>
        <v>97271</v>
      </c>
      <c r="D7" s="36" t="n">
        <f aca="false">SUM(D4:D6)</f>
        <v>106290</v>
      </c>
      <c r="E7" s="36" t="n">
        <f aca="false">SUM(E4:E6)</f>
        <v>107454</v>
      </c>
      <c r="F7" s="36" t="n">
        <f aca="false">SUM(F4:F6)</f>
        <v>110112</v>
      </c>
      <c r="G7" s="36" t="n">
        <f aca="false">SUM(G4:G6)</f>
        <v>110445</v>
      </c>
      <c r="H7" s="36" t="n">
        <f aca="false">SUM(H4:H6)</f>
        <v>113699</v>
      </c>
      <c r="I7" s="36" t="n">
        <f aca="false">SUM(I4:I6)</f>
        <v>116716</v>
      </c>
      <c r="J7" s="36" t="n">
        <f aca="false">SUM(J4:J6)</f>
        <v>116841</v>
      </c>
      <c r="K7" s="36" t="n">
        <f aca="false">SUM(K4:K6)</f>
        <v>117476.213562565</v>
      </c>
      <c r="L7" s="36" t="n">
        <f aca="false">SUM(L4:L6)</f>
        <v>121458.811920187</v>
      </c>
      <c r="M7" s="36" t="n">
        <f aca="false">SUM(M4:M6)</f>
        <v>131171.992693688</v>
      </c>
      <c r="N7" s="37" t="n">
        <f aca="false">SUM(B7:M7)</f>
        <v>1346892.01817644</v>
      </c>
      <c r="O7" s="43" t="n">
        <f aca="false">Budget!N7</f>
        <v>1335790</v>
      </c>
      <c r="P7" s="37" t="n">
        <f aca="false">N7-O7</f>
        <v>11102.0181764404</v>
      </c>
      <c r="Q7" s="44" t="n">
        <f aca="false">IF(O7=0,0,P7/ABS(O7))</f>
        <v>0.00831120024587726</v>
      </c>
    </row>
    <row r="8" customFormat="false" ht="15" hidden="false" customHeight="false" outlineLevel="0" collapsed="false">
      <c r="A8" s="28" t="s">
        <v>122</v>
      </c>
      <c r="B8" s="40" t="n">
        <f aca="false">Actuals!B8</f>
        <v>23591</v>
      </c>
      <c r="C8" s="40" t="n">
        <f aca="false">Actuals!C8</f>
        <v>23487</v>
      </c>
      <c r="D8" s="40" t="n">
        <f aca="false">Actuals!D8</f>
        <v>24782</v>
      </c>
      <c r="E8" s="40" t="n">
        <f aca="false">Actuals!E8</f>
        <v>24961</v>
      </c>
      <c r="F8" s="40" t="n">
        <f aca="false">Actuals!F8</f>
        <v>25628</v>
      </c>
      <c r="G8" s="40" t="n">
        <f aca="false">Actuals!G8</f>
        <v>25367</v>
      </c>
      <c r="H8" s="40" t="n">
        <f aca="false">Actuals!H8</f>
        <v>26375</v>
      </c>
      <c r="I8" s="40" t="n">
        <f aca="false">Actuals!I8</f>
        <v>26781</v>
      </c>
      <c r="J8" s="40" t="n">
        <f aca="false">Actuals!J8</f>
        <v>26743</v>
      </c>
      <c r="K8" s="35" t="n">
        <f aca="false">K4*(Actuals!$K8/Actuals!$K4)</f>
        <v>27248.1648574364</v>
      </c>
      <c r="L8" s="35" t="n">
        <f aca="false">L4*(Actuals!$K8/Actuals!$K4)</f>
        <v>28139.5781393154</v>
      </c>
      <c r="M8" s="35" t="n">
        <f aca="false">M4*(Actuals!$K8/Actuals!$K4)</f>
        <v>30358.6282239929</v>
      </c>
      <c r="N8" s="35" t="n">
        <f aca="false">SUM(B8:M8)</f>
        <v>313461.371220745</v>
      </c>
      <c r="O8" s="40" t="n">
        <f aca="false">Budget!N8</f>
        <v>317324.8</v>
      </c>
      <c r="P8" s="35" t="n">
        <f aca="false">N8-O8</f>
        <v>-3863.42877925537</v>
      </c>
      <c r="Q8" s="38" t="n">
        <f aca="false">IF(O8=0,0,P8/ABS(O8))</f>
        <v>-0.0121749979177655</v>
      </c>
    </row>
    <row r="9" customFormat="false" ht="15" hidden="false" customHeight="false" outlineLevel="0" collapsed="false">
      <c r="A9" s="28" t="s">
        <v>123</v>
      </c>
      <c r="B9" s="40" t="n">
        <f aca="false">Actuals!B9</f>
        <v>39212</v>
      </c>
      <c r="C9" s="40" t="n">
        <f aca="false">Actuals!C9</f>
        <v>38765</v>
      </c>
      <c r="D9" s="40" t="n">
        <f aca="false">Actuals!D9</f>
        <v>44427</v>
      </c>
      <c r="E9" s="40" t="n">
        <f aca="false">Actuals!E9</f>
        <v>44867</v>
      </c>
      <c r="F9" s="40" t="n">
        <f aca="false">Actuals!F9</f>
        <v>45561</v>
      </c>
      <c r="G9" s="40" t="n">
        <f aca="false">Actuals!G9</f>
        <v>45358</v>
      </c>
      <c r="H9" s="40" t="n">
        <f aca="false">Actuals!H9</f>
        <v>46046</v>
      </c>
      <c r="I9" s="40" t="n">
        <f aca="false">Actuals!I9</f>
        <v>47687</v>
      </c>
      <c r="J9" s="40" t="n">
        <f aca="false">Actuals!J9</f>
        <v>47498</v>
      </c>
      <c r="K9" s="35" t="n">
        <f aca="false">K5*(Actuals!$K9/Actuals!$K5)</f>
        <v>47563.2288760947</v>
      </c>
      <c r="L9" s="35" t="n">
        <f aca="false">L5*(Actuals!$K9/Actuals!$K5)</f>
        <v>49085.5113120337</v>
      </c>
      <c r="M9" s="35" t="n">
        <f aca="false">M5*(Actuals!$K9/Actuals!$K5)</f>
        <v>52907.4118958806</v>
      </c>
      <c r="N9" s="35" t="n">
        <f aca="false">SUM(B9:M9)</f>
        <v>548977.152084009</v>
      </c>
      <c r="O9" s="40" t="n">
        <f aca="false">Budget!N9</f>
        <v>515264.8</v>
      </c>
      <c r="P9" s="35" t="n">
        <f aca="false">N9-O9</f>
        <v>33712.352084009</v>
      </c>
      <c r="Q9" s="38" t="n">
        <f aca="false">IF(O9=0,0,P9/ABS(O9))</f>
        <v>0.0654272367994262</v>
      </c>
    </row>
    <row r="10" customFormat="false" ht="15" hidden="false" customHeight="false" outlineLevel="0" collapsed="false">
      <c r="A10" s="28" t="s">
        <v>124</v>
      </c>
      <c r="B10" s="40" t="n">
        <f aca="false">Actuals!B10</f>
        <v>6790</v>
      </c>
      <c r="C10" s="40" t="n">
        <f aca="false">Actuals!C10</f>
        <v>6833</v>
      </c>
      <c r="D10" s="40" t="n">
        <f aca="false">Actuals!D10</f>
        <v>7268</v>
      </c>
      <c r="E10" s="40" t="n">
        <f aca="false">Actuals!E10</f>
        <v>7488</v>
      </c>
      <c r="F10" s="40" t="n">
        <f aca="false">Actuals!F10</f>
        <v>7828</v>
      </c>
      <c r="G10" s="40" t="n">
        <f aca="false">Actuals!G10</f>
        <v>8569</v>
      </c>
      <c r="H10" s="40" t="n">
        <f aca="false">Actuals!H10</f>
        <v>9122</v>
      </c>
      <c r="I10" s="40" t="n">
        <f aca="false">Actuals!I10</f>
        <v>9364</v>
      </c>
      <c r="J10" s="40" t="n">
        <f aca="false">Actuals!J10</f>
        <v>9578</v>
      </c>
      <c r="K10" s="35" t="n">
        <f aca="false">K6*(Actuals!$K10/Actuals!$K6)</f>
        <v>9329.04269193983</v>
      </c>
      <c r="L10" s="35" t="n">
        <f aca="false">L6*(Actuals!$K10/Actuals!$K6)</f>
        <v>9759.71132944961</v>
      </c>
      <c r="M10" s="35" t="n">
        <f aca="false">M6*(Actuals!$K10/Actuals!$K6)</f>
        <v>10665.3821406834</v>
      </c>
      <c r="N10" s="35" t="n">
        <f aca="false">SUM(B10:M10)</f>
        <v>102594.136162073</v>
      </c>
      <c r="O10" s="40" t="n">
        <f aca="false">Budget!N10</f>
        <v>110153.2</v>
      </c>
      <c r="P10" s="35" t="n">
        <f aca="false">N10-O10</f>
        <v>-7559.06383792714</v>
      </c>
      <c r="Q10" s="38" t="n">
        <f aca="false">IF(O10=0,0,P10/ABS(O10))</f>
        <v>-0.0686231887764236</v>
      </c>
    </row>
    <row r="11" customFormat="false" ht="15" hidden="false" customHeight="false" outlineLevel="0" collapsed="false">
      <c r="A11" s="27" t="s">
        <v>125</v>
      </c>
      <c r="B11" s="36" t="n">
        <f aca="false">SUM(B8:B10)</f>
        <v>69593</v>
      </c>
      <c r="C11" s="36" t="n">
        <f aca="false">SUM(C8:C10)</f>
        <v>69085</v>
      </c>
      <c r="D11" s="36" t="n">
        <f aca="false">SUM(D8:D10)</f>
        <v>76477</v>
      </c>
      <c r="E11" s="36" t="n">
        <f aca="false">SUM(E8:E10)</f>
        <v>77316</v>
      </c>
      <c r="F11" s="36" t="n">
        <f aca="false">SUM(F8:F10)</f>
        <v>79017</v>
      </c>
      <c r="G11" s="36" t="n">
        <f aca="false">SUM(G8:G10)</f>
        <v>79294</v>
      </c>
      <c r="H11" s="36" t="n">
        <f aca="false">SUM(H8:H10)</f>
        <v>81543</v>
      </c>
      <c r="I11" s="36" t="n">
        <f aca="false">SUM(I8:I10)</f>
        <v>83832</v>
      </c>
      <c r="J11" s="36" t="n">
        <f aca="false">SUM(J8:J10)</f>
        <v>83819</v>
      </c>
      <c r="K11" s="36" t="n">
        <f aca="false">SUM(K8:K10)</f>
        <v>84140.4364254709</v>
      </c>
      <c r="L11" s="36" t="n">
        <f aca="false">SUM(L8:L10)</f>
        <v>86984.8007807987</v>
      </c>
      <c r="M11" s="36" t="n">
        <f aca="false">SUM(M8:M10)</f>
        <v>93931.422260557</v>
      </c>
      <c r="N11" s="37" t="n">
        <f aca="false">SUM(B11:M11)</f>
        <v>965032.659466827</v>
      </c>
      <c r="O11" s="43" t="n">
        <f aca="false">Budget!N11</f>
        <v>942742.8</v>
      </c>
      <c r="P11" s="37" t="n">
        <f aca="false">N11-O11</f>
        <v>22289.8594668265</v>
      </c>
      <c r="Q11" s="44" t="n">
        <f aca="false">IF(O11=0,0,P11/ABS(O11))</f>
        <v>0.0236436273677471</v>
      </c>
    </row>
    <row r="12" customFormat="false" ht="15" hidden="false" customHeight="false" outlineLevel="0" collapsed="false">
      <c r="A12" s="27" t="s">
        <v>45</v>
      </c>
      <c r="B12" s="36" t="n">
        <f aca="false">B7-B11</f>
        <v>28364</v>
      </c>
      <c r="C12" s="36" t="n">
        <f aca="false">C7-C11</f>
        <v>28186</v>
      </c>
      <c r="D12" s="36" t="n">
        <f aca="false">D7-D11</f>
        <v>29813</v>
      </c>
      <c r="E12" s="36" t="n">
        <f aca="false">E7-E11</f>
        <v>30138</v>
      </c>
      <c r="F12" s="36" t="n">
        <f aca="false">F7-F11</f>
        <v>31095</v>
      </c>
      <c r="G12" s="36" t="n">
        <f aca="false">G7-G11</f>
        <v>31151</v>
      </c>
      <c r="H12" s="36" t="n">
        <f aca="false">H7-H11</f>
        <v>32156</v>
      </c>
      <c r="I12" s="36" t="n">
        <f aca="false">I7-I11</f>
        <v>32884</v>
      </c>
      <c r="J12" s="36" t="n">
        <f aca="false">J7-J11</f>
        <v>33022</v>
      </c>
      <c r="K12" s="36" t="n">
        <f aca="false">K7-K11</f>
        <v>33335.7771370946</v>
      </c>
      <c r="L12" s="36" t="n">
        <f aca="false">L7-L11</f>
        <v>34474.0111393882</v>
      </c>
      <c r="M12" s="36" t="n">
        <f aca="false">M7-M11</f>
        <v>37240.570433131</v>
      </c>
      <c r="N12" s="37" t="n">
        <f aca="false">SUM(B12:M12)</f>
        <v>381859.358709614</v>
      </c>
      <c r="O12" s="43" t="n">
        <f aca="false">Budget!N12</f>
        <v>393047.2</v>
      </c>
      <c r="P12" s="37" t="n">
        <f aca="false">N12-O12</f>
        <v>-11187.8412903862</v>
      </c>
      <c r="Q12" s="44" t="n">
        <f aca="false">IF(O12=0,0,P12/ABS(O12))</f>
        <v>-0.0284643709213199</v>
      </c>
    </row>
    <row r="13" customFormat="false" ht="15" hidden="false" customHeight="false" outlineLevel="0" collapsed="false">
      <c r="A13" s="28" t="s">
        <v>46</v>
      </c>
      <c r="B13" s="38" t="n">
        <f aca="false">IF(B7=0,0,B12/B7)</f>
        <v>0.289555621344059</v>
      </c>
      <c r="C13" s="38" t="n">
        <f aca="false">IF(C7=0,0,C12/C7)</f>
        <v>0.289767762231292</v>
      </c>
      <c r="D13" s="38" t="n">
        <f aca="false">IF(D7=0,0,D12/D7)</f>
        <v>0.280487345940352</v>
      </c>
      <c r="E13" s="38" t="n">
        <f aca="false">IF(E7=0,0,E12/E7)</f>
        <v>0.280473504941649</v>
      </c>
      <c r="F13" s="38" t="n">
        <f aca="false">IF(F7=0,0,F12/F7)</f>
        <v>0.282394289450741</v>
      </c>
      <c r="G13" s="38" t="n">
        <f aca="false">IF(G7=0,0,G12/G7)</f>
        <v>0.282049889085065</v>
      </c>
      <c r="H13" s="38" t="n">
        <f aca="false">IF(H7=0,0,H12/H7)</f>
        <v>0.282816911318481</v>
      </c>
      <c r="I13" s="38" t="n">
        <f aca="false">IF(I7=0,0,I12/I7)</f>
        <v>0.281743719798485</v>
      </c>
      <c r="J13" s="38" t="n">
        <f aca="false">IF(J7=0,0,J12/J7)</f>
        <v>0.28262339418526</v>
      </c>
      <c r="K13" s="38" t="n">
        <f aca="false">IF(K7=0,0,K12/K7)</f>
        <v>0.283766186585003</v>
      </c>
      <c r="L13" s="38" t="n">
        <f aca="false">IF(L7=0,0,L12/L7)</f>
        <v>0.283832935580185</v>
      </c>
      <c r="M13" s="38" t="n">
        <f aca="false">IF(M7=0,0,M12/M7)</f>
        <v>0.283906416822492</v>
      </c>
      <c r="N13" s="38" t="n">
        <f aca="false">IF(N7=0,0,N12/N7)</f>
        <v>0.283511486857435</v>
      </c>
      <c r="O13" s="45" t="n">
        <f aca="false">Budget!N13</f>
        <v>0.294243256799347</v>
      </c>
      <c r="P13" s="38" t="n">
        <f aca="false">N13-O13</f>
        <v>-0.0107317699419123</v>
      </c>
      <c r="Q13" s="38"/>
    </row>
    <row r="14" customFormat="false" ht="15" hidden="false" customHeight="false" outlineLevel="0" collapsed="false">
      <c r="A14" s="28" t="s">
        <v>126</v>
      </c>
      <c r="B14" s="40" t="n">
        <f aca="false">Actuals!B14</f>
        <v>9484</v>
      </c>
      <c r="C14" s="40" t="n">
        <f aca="false">Actuals!C14</f>
        <v>9446</v>
      </c>
      <c r="D14" s="40" t="n">
        <f aca="false">Actuals!D14</f>
        <v>9499</v>
      </c>
      <c r="E14" s="40" t="n">
        <f aca="false">Actuals!E14</f>
        <v>9482</v>
      </c>
      <c r="F14" s="40" t="n">
        <f aca="false">Actuals!F14</f>
        <v>9495</v>
      </c>
      <c r="G14" s="40" t="n">
        <f aca="false">Actuals!G14</f>
        <v>9455</v>
      </c>
      <c r="H14" s="40" t="n">
        <f aca="false">Actuals!H14</f>
        <v>9795</v>
      </c>
      <c r="I14" s="40" t="n">
        <f aca="false">Actuals!I14</f>
        <v>9788</v>
      </c>
      <c r="J14" s="40" t="n">
        <f aca="false">Actuals!J14</f>
        <v>9761</v>
      </c>
      <c r="K14" s="35" t="n">
        <f aca="false">Budget!K14*(Actuals!$K14/Budget!$O14)</f>
        <v>9770.72453371593</v>
      </c>
      <c r="L14" s="35" t="n">
        <f aca="false">Budget!L14*(Actuals!$K14/Budget!$O14)</f>
        <v>9770.72453371593</v>
      </c>
      <c r="M14" s="35" t="n">
        <f aca="false">Budget!M14*(Actuals!$K14/Budget!$O14)</f>
        <v>9770.72453371593</v>
      </c>
      <c r="N14" s="35" t="n">
        <f aca="false">SUM(B14:M14)</f>
        <v>115517.173601148</v>
      </c>
      <c r="O14" s="40" t="n">
        <f aca="false">Budget!N14</f>
        <v>112080</v>
      </c>
      <c r="P14" s="35" t="n">
        <f aca="false">N14-O14</f>
        <v>3437.17360114778</v>
      </c>
      <c r="Q14" s="38" t="n">
        <f aca="false">IF(O14=0,0,P14/ABS(O14))</f>
        <v>0.0306671449067432</v>
      </c>
    </row>
    <row r="15" customFormat="false" ht="15" hidden="false" customHeight="false" outlineLevel="0" collapsed="false">
      <c r="A15" s="28" t="s">
        <v>127</v>
      </c>
      <c r="B15" s="40" t="n">
        <f aca="false">Actuals!B15</f>
        <v>2383</v>
      </c>
      <c r="C15" s="40" t="n">
        <f aca="false">Actuals!C15</f>
        <v>2395</v>
      </c>
      <c r="D15" s="40" t="n">
        <f aca="false">Actuals!D15</f>
        <v>2575</v>
      </c>
      <c r="E15" s="40" t="n">
        <f aca="false">Actuals!E15</f>
        <v>2526</v>
      </c>
      <c r="F15" s="40" t="n">
        <f aca="false">Actuals!F15</f>
        <v>3006</v>
      </c>
      <c r="G15" s="40" t="n">
        <f aca="false">Actuals!G15</f>
        <v>2978</v>
      </c>
      <c r="H15" s="40" t="n">
        <f aca="false">Actuals!H15</f>
        <v>3208</v>
      </c>
      <c r="I15" s="40" t="n">
        <f aca="false">Actuals!I15</f>
        <v>3808</v>
      </c>
      <c r="J15" s="40" t="n">
        <f aca="false">Actuals!J15</f>
        <v>3810</v>
      </c>
      <c r="K15" s="35" t="n">
        <f aca="false">Budget!K15*(Actuals!$K15/Budget!$O15)</f>
        <v>3481.17391304348</v>
      </c>
      <c r="L15" s="35" t="n">
        <f aca="false">Budget!L15*(Actuals!$K15/Budget!$O15)</f>
        <v>4061.36956521739</v>
      </c>
      <c r="M15" s="35" t="n">
        <f aca="false">Budget!M15*(Actuals!$K15/Budget!$O15)</f>
        <v>4641.5652173913</v>
      </c>
      <c r="N15" s="35" t="n">
        <f aca="false">SUM(B15:M15)</f>
        <v>38873.1086956522</v>
      </c>
      <c r="O15" s="40" t="n">
        <f aca="false">Budget!N15</f>
        <v>40200</v>
      </c>
      <c r="P15" s="35" t="n">
        <f aca="false">N15-O15</f>
        <v>-1326.89130434782</v>
      </c>
      <c r="Q15" s="38" t="n">
        <f aca="false">IF(O15=0,0,P15/ABS(O15))</f>
        <v>-0.0330072463768115</v>
      </c>
    </row>
    <row r="16" customFormat="false" ht="15" hidden="false" customHeight="false" outlineLevel="0" collapsed="false">
      <c r="A16" s="28" t="s">
        <v>128</v>
      </c>
      <c r="B16" s="40" t="n">
        <f aca="false">Actuals!B16</f>
        <v>5696</v>
      </c>
      <c r="C16" s="40" t="n">
        <f aca="false">Actuals!C16</f>
        <v>5554</v>
      </c>
      <c r="D16" s="40" t="n">
        <f aca="false">Actuals!D16</f>
        <v>5888</v>
      </c>
      <c r="E16" s="40" t="n">
        <f aca="false">Actuals!E16</f>
        <v>6021</v>
      </c>
      <c r="F16" s="40" t="n">
        <f aca="false">Actuals!F16</f>
        <v>6133</v>
      </c>
      <c r="G16" s="40" t="n">
        <f aca="false">Actuals!G16</f>
        <v>6019</v>
      </c>
      <c r="H16" s="40" t="n">
        <f aca="false">Actuals!H16</f>
        <v>6256</v>
      </c>
      <c r="I16" s="40" t="n">
        <f aca="false">Actuals!I16</f>
        <v>6346</v>
      </c>
      <c r="J16" s="40" t="n">
        <f aca="false">Actuals!J16</f>
        <v>6446</v>
      </c>
      <c r="K16" s="35" t="n">
        <f aca="false">Budget!K16*(Actuals!$K16/Budget!$O16)</f>
        <v>6542.51320754717</v>
      </c>
      <c r="L16" s="35" t="n">
        <f aca="false">Budget!L16*(Actuals!$K16/Budget!$O16)</f>
        <v>6769.23396226415</v>
      </c>
      <c r="M16" s="35" t="n">
        <f aca="false">Budget!M16*(Actuals!$K16/Budget!$O16)</f>
        <v>7309.04528301887</v>
      </c>
      <c r="N16" s="35" t="n">
        <f aca="false">SUM(B16:M16)</f>
        <v>74979.7924528302</v>
      </c>
      <c r="O16" s="40" t="n">
        <f aca="false">Budget!N16</f>
        <v>69450</v>
      </c>
      <c r="P16" s="35" t="n">
        <f aca="false">N16-O16</f>
        <v>5529.7924528302</v>
      </c>
      <c r="Q16" s="38" t="n">
        <f aca="false">IF(O16=0,0,P16/ABS(O16))</f>
        <v>0.0796226415094341</v>
      </c>
    </row>
    <row r="17" customFormat="false" ht="15" hidden="false" customHeight="false" outlineLevel="0" collapsed="false">
      <c r="A17" s="28" t="s">
        <v>129</v>
      </c>
      <c r="B17" s="40" t="n">
        <f aca="false">Actuals!B17</f>
        <v>2300</v>
      </c>
      <c r="C17" s="40" t="n">
        <f aca="false">Actuals!C17</f>
        <v>2300</v>
      </c>
      <c r="D17" s="40" t="n">
        <f aca="false">Actuals!D17</f>
        <v>2300</v>
      </c>
      <c r="E17" s="40" t="n">
        <f aca="false">Actuals!E17</f>
        <v>2392</v>
      </c>
      <c r="F17" s="40" t="n">
        <f aca="false">Actuals!F17</f>
        <v>2392</v>
      </c>
      <c r="G17" s="40" t="n">
        <f aca="false">Actuals!G17</f>
        <v>2392</v>
      </c>
      <c r="H17" s="40" t="n">
        <f aca="false">Actuals!H17</f>
        <v>2392</v>
      </c>
      <c r="I17" s="40" t="n">
        <f aca="false">Actuals!I17</f>
        <v>2392</v>
      </c>
      <c r="J17" s="40" t="n">
        <f aca="false">Actuals!J17</f>
        <v>2392</v>
      </c>
      <c r="K17" s="35" t="n">
        <f aca="false">Budget!K17*(Actuals!$K17/Budget!$O17)</f>
        <v>2361.33333333333</v>
      </c>
      <c r="L17" s="35" t="n">
        <f aca="false">Budget!L17*(Actuals!$K17/Budget!$O17)</f>
        <v>2361.33333333333</v>
      </c>
      <c r="M17" s="35" t="n">
        <f aca="false">Budget!M17*(Actuals!$K17/Budget!$O17)</f>
        <v>2361.33333333333</v>
      </c>
      <c r="N17" s="35" t="n">
        <f aca="false">SUM(B17:M17)</f>
        <v>28336</v>
      </c>
      <c r="O17" s="40" t="n">
        <f aca="false">Budget!N17</f>
        <v>27600</v>
      </c>
      <c r="P17" s="35" t="n">
        <f aca="false">N17-O17</f>
        <v>735.999999999996</v>
      </c>
      <c r="Q17" s="38" t="n">
        <f aca="false">IF(O17=0,0,P17/ABS(O17))</f>
        <v>0.0266666666666665</v>
      </c>
    </row>
    <row r="18" customFormat="false" ht="15" hidden="false" customHeight="false" outlineLevel="0" collapsed="false">
      <c r="A18" s="28" t="s">
        <v>130</v>
      </c>
      <c r="B18" s="40" t="n">
        <f aca="false">Actuals!B18</f>
        <v>1694</v>
      </c>
      <c r="C18" s="40" t="n">
        <f aca="false">Actuals!C18</f>
        <v>1703</v>
      </c>
      <c r="D18" s="40" t="n">
        <f aca="false">Actuals!D18</f>
        <v>1678</v>
      </c>
      <c r="E18" s="40" t="n">
        <f aca="false">Actuals!E18</f>
        <v>1687</v>
      </c>
      <c r="F18" s="40" t="n">
        <f aca="false">Actuals!F18</f>
        <v>1706</v>
      </c>
      <c r="G18" s="40" t="n">
        <f aca="false">Actuals!G18</f>
        <v>1699</v>
      </c>
      <c r="H18" s="40" t="n">
        <f aca="false">Actuals!H18</f>
        <v>1691</v>
      </c>
      <c r="I18" s="40" t="n">
        <f aca="false">Actuals!I18</f>
        <v>1705</v>
      </c>
      <c r="J18" s="40" t="n">
        <f aca="false">Actuals!J18</f>
        <v>1706</v>
      </c>
      <c r="K18" s="35" t="n">
        <f aca="false">Budget!K18*(Actuals!$K18/Budget!$O18)</f>
        <v>1696.55555555556</v>
      </c>
      <c r="L18" s="35" t="n">
        <f aca="false">Budget!L18*(Actuals!$K18/Budget!$O18)</f>
        <v>1696.55555555556</v>
      </c>
      <c r="M18" s="35" t="n">
        <f aca="false">Budget!M18*(Actuals!$K18/Budget!$O18)</f>
        <v>1696.55555555556</v>
      </c>
      <c r="N18" s="35" t="n">
        <f aca="false">SUM(B18:M18)</f>
        <v>20358.6666666667</v>
      </c>
      <c r="O18" s="40" t="n">
        <f aca="false">Budget!N18</f>
        <v>21600</v>
      </c>
      <c r="P18" s="35" t="n">
        <f aca="false">N18-O18</f>
        <v>-1241.33333333334</v>
      </c>
      <c r="Q18" s="38" t="n">
        <f aca="false">IF(O18=0,0,P18/ABS(O18))</f>
        <v>-0.0574691358024693</v>
      </c>
    </row>
    <row r="19" customFormat="false" ht="15" hidden="false" customHeight="false" outlineLevel="0" collapsed="false">
      <c r="A19" s="27" t="s">
        <v>131</v>
      </c>
      <c r="B19" s="36" t="n">
        <f aca="false">SUM(B14:B18)</f>
        <v>21557</v>
      </c>
      <c r="C19" s="36" t="n">
        <f aca="false">SUM(C14:C18)</f>
        <v>21398</v>
      </c>
      <c r="D19" s="36" t="n">
        <f aca="false">SUM(D14:D18)</f>
        <v>21940</v>
      </c>
      <c r="E19" s="36" t="n">
        <f aca="false">SUM(E14:E18)</f>
        <v>22108</v>
      </c>
      <c r="F19" s="36" t="n">
        <f aca="false">SUM(F14:F18)</f>
        <v>22732</v>
      </c>
      <c r="G19" s="36" t="n">
        <f aca="false">SUM(G14:G18)</f>
        <v>22543</v>
      </c>
      <c r="H19" s="36" t="n">
        <f aca="false">SUM(H14:H18)</f>
        <v>23342</v>
      </c>
      <c r="I19" s="36" t="n">
        <f aca="false">SUM(I14:I18)</f>
        <v>24039</v>
      </c>
      <c r="J19" s="36" t="n">
        <f aca="false">SUM(J14:J18)</f>
        <v>24115</v>
      </c>
      <c r="K19" s="36" t="n">
        <f aca="false">SUM(K14:K18)</f>
        <v>23852.3005431955</v>
      </c>
      <c r="L19" s="36" t="n">
        <f aca="false">SUM(L14:L18)</f>
        <v>24659.2169500864</v>
      </c>
      <c r="M19" s="36" t="n">
        <f aca="false">SUM(M14:M18)</f>
        <v>25779.223923015</v>
      </c>
      <c r="N19" s="37" t="n">
        <f aca="false">SUM(B19:M19)</f>
        <v>278064.741416297</v>
      </c>
      <c r="O19" s="43" t="n">
        <f aca="false">Budget!N19</f>
        <v>270930</v>
      </c>
      <c r="P19" s="37" t="n">
        <f aca="false">N19-O19</f>
        <v>7134.74141629681</v>
      </c>
      <c r="Q19" s="44" t="n">
        <f aca="false">IF(O19=0,0,P19/ABS(O19))</f>
        <v>0.0263342613084443</v>
      </c>
    </row>
    <row r="20" customFormat="false" ht="15" hidden="false" customHeight="false" outlineLevel="0" collapsed="false">
      <c r="A20" s="27" t="s">
        <v>49</v>
      </c>
      <c r="B20" s="36" t="n">
        <f aca="false">B12-B19</f>
        <v>6807</v>
      </c>
      <c r="C20" s="36" t="n">
        <f aca="false">C12-C19</f>
        <v>6788</v>
      </c>
      <c r="D20" s="36" t="n">
        <f aca="false">D12-D19</f>
        <v>7873</v>
      </c>
      <c r="E20" s="36" t="n">
        <f aca="false">E12-E19</f>
        <v>8030</v>
      </c>
      <c r="F20" s="36" t="n">
        <f aca="false">F12-F19</f>
        <v>8363</v>
      </c>
      <c r="G20" s="36" t="n">
        <f aca="false">G12-G19</f>
        <v>8608</v>
      </c>
      <c r="H20" s="36" t="n">
        <f aca="false">H12-H19</f>
        <v>8814</v>
      </c>
      <c r="I20" s="36" t="n">
        <f aca="false">I12-I19</f>
        <v>8845</v>
      </c>
      <c r="J20" s="36" t="n">
        <f aca="false">J12-J19</f>
        <v>8907</v>
      </c>
      <c r="K20" s="36" t="n">
        <f aca="false">K12-K19</f>
        <v>9483.47659389911</v>
      </c>
      <c r="L20" s="36" t="n">
        <f aca="false">L12-L19</f>
        <v>9814.79418930183</v>
      </c>
      <c r="M20" s="36" t="n">
        <f aca="false">M12-M19</f>
        <v>11461.346510116</v>
      </c>
      <c r="N20" s="37" t="n">
        <f aca="false">SUM(B20:M20)</f>
        <v>103794.617293317</v>
      </c>
      <c r="O20" s="43" t="n">
        <f aca="false">Budget!N20</f>
        <v>122117.2</v>
      </c>
      <c r="P20" s="37" t="n">
        <f aca="false">N20-O20</f>
        <v>-18322.582706683</v>
      </c>
      <c r="Q20" s="44" t="n">
        <f aca="false">IF(O20=0,0,P20/ABS(O20))</f>
        <v>-0.15004096643784</v>
      </c>
    </row>
    <row r="21" customFormat="false" ht="15" hidden="false" customHeight="false" outlineLevel="0" collapsed="false">
      <c r="A21" s="28" t="s">
        <v>50</v>
      </c>
      <c r="B21" s="38" t="n">
        <f aca="false">IF(B7=0,0,B20/B7)</f>
        <v>0.0694896740406505</v>
      </c>
      <c r="C21" s="38" t="n">
        <f aca="false">IF(C7=0,0,C20/C7)</f>
        <v>0.0697844167326336</v>
      </c>
      <c r="D21" s="38" t="n">
        <f aca="false">IF(D7=0,0,D20/D7)</f>
        <v>0.0740709379998118</v>
      </c>
      <c r="E21" s="38" t="n">
        <f aca="false">IF(E7=0,0,E20/E7)</f>
        <v>0.0747296517579616</v>
      </c>
      <c r="F21" s="38" t="n">
        <f aca="false">IF(F7=0,0,F20/F7)</f>
        <v>0.0759499418773612</v>
      </c>
      <c r="G21" s="38" t="n">
        <f aca="false">IF(G7=0,0,G20/G7)</f>
        <v>0.0779392457784418</v>
      </c>
      <c r="H21" s="38" t="n">
        <f aca="false">IF(H7=0,0,H20/H7)</f>
        <v>0.077520470716541</v>
      </c>
      <c r="I21" s="38" t="n">
        <f aca="false">IF(I7=0,0,I20/I7)</f>
        <v>0.0757822406525241</v>
      </c>
      <c r="J21" s="38" t="n">
        <f aca="false">IF(J7=0,0,J20/J7)</f>
        <v>0.0762318021927235</v>
      </c>
      <c r="K21" s="38" t="n">
        <f aca="false">IF(K7=0,0,K20/K7)</f>
        <v>0.0807267812462172</v>
      </c>
      <c r="L21" s="38" t="n">
        <f aca="false">IF(L7=0,0,L20/L7)</f>
        <v>0.0808075925833305</v>
      </c>
      <c r="M21" s="38" t="n">
        <f aca="false">IF(M7=0,0,M20/M7)</f>
        <v>0.0873764762946042</v>
      </c>
      <c r="N21" s="38" t="n">
        <f aca="false">IF(N7=0,0,N20/N7)</f>
        <v>0.0770623152358158</v>
      </c>
      <c r="O21" s="45" t="n">
        <f aca="false">Budget!N21</f>
        <v>0.091419459645603</v>
      </c>
      <c r="P21" s="38" t="n">
        <f aca="false">N21-O21</f>
        <v>-0.0143571444097872</v>
      </c>
      <c r="Q21" s="38"/>
    </row>
    <row r="22" customFormat="false" ht="15" hidden="false" customHeight="false" outlineLevel="0" collapsed="false">
      <c r="A22" s="28" t="s">
        <v>132</v>
      </c>
      <c r="B22" s="40" t="n">
        <f aca="false">Actuals!B22</f>
        <v>1600</v>
      </c>
      <c r="C22" s="40" t="n">
        <f aca="false">Actuals!C22</f>
        <v>1600</v>
      </c>
      <c r="D22" s="40" t="n">
        <f aca="false">Actuals!D22</f>
        <v>1600</v>
      </c>
      <c r="E22" s="40" t="n">
        <f aca="false">Actuals!E22</f>
        <v>1600</v>
      </c>
      <c r="F22" s="40" t="n">
        <f aca="false">Actuals!F22</f>
        <v>1600</v>
      </c>
      <c r="G22" s="40" t="n">
        <f aca="false">Actuals!G22</f>
        <v>1600</v>
      </c>
      <c r="H22" s="40" t="n">
        <f aca="false">Actuals!H22</f>
        <v>1600</v>
      </c>
      <c r="I22" s="40" t="n">
        <f aca="false">Actuals!I22</f>
        <v>1600</v>
      </c>
      <c r="J22" s="40" t="n">
        <f aca="false">Actuals!J22</f>
        <v>1600</v>
      </c>
      <c r="K22" s="40" t="n">
        <f aca="false">Budget!K22</f>
        <v>1600</v>
      </c>
      <c r="L22" s="40" t="n">
        <f aca="false">Budget!L22</f>
        <v>1600</v>
      </c>
      <c r="M22" s="40" t="n">
        <f aca="false">Budget!M22</f>
        <v>1600</v>
      </c>
      <c r="N22" s="35" t="n">
        <f aca="false">SUM(B22:M22)</f>
        <v>19200</v>
      </c>
      <c r="O22" s="40" t="n">
        <f aca="false">Budget!N22</f>
        <v>19200</v>
      </c>
      <c r="P22" s="35" t="n">
        <f aca="false">N22-O22</f>
        <v>0</v>
      </c>
      <c r="Q22" s="38" t="n">
        <f aca="false">IF(O22=0,0,P22/ABS(O22))</f>
        <v>0</v>
      </c>
    </row>
    <row r="23" customFormat="false" ht="15" hidden="false" customHeight="false" outlineLevel="0" collapsed="false">
      <c r="A23" s="27" t="s">
        <v>133</v>
      </c>
      <c r="B23" s="36" t="n">
        <f aca="false">B20-B22</f>
        <v>5207</v>
      </c>
      <c r="C23" s="36" t="n">
        <f aca="false">C20-C22</f>
        <v>5188</v>
      </c>
      <c r="D23" s="36" t="n">
        <f aca="false">D20-D22</f>
        <v>6273</v>
      </c>
      <c r="E23" s="36" t="n">
        <f aca="false">E20-E22</f>
        <v>6430</v>
      </c>
      <c r="F23" s="36" t="n">
        <f aca="false">F20-F22</f>
        <v>6763</v>
      </c>
      <c r="G23" s="36" t="n">
        <f aca="false">G20-G22</f>
        <v>7008</v>
      </c>
      <c r="H23" s="36" t="n">
        <f aca="false">H20-H22</f>
        <v>7214</v>
      </c>
      <c r="I23" s="36" t="n">
        <f aca="false">I20-I22</f>
        <v>7245</v>
      </c>
      <c r="J23" s="36" t="n">
        <f aca="false">J20-J22</f>
        <v>7307</v>
      </c>
      <c r="K23" s="36" t="n">
        <f aca="false">K20-K22</f>
        <v>7883.47659389911</v>
      </c>
      <c r="L23" s="36" t="n">
        <f aca="false">L20-L22</f>
        <v>8214.79418930183</v>
      </c>
      <c r="M23" s="36" t="n">
        <f aca="false">M20-M22</f>
        <v>9861.34651011603</v>
      </c>
      <c r="N23" s="37" t="n">
        <f aca="false">SUM(B23:M23)</f>
        <v>84594.617293317</v>
      </c>
      <c r="O23" s="43" t="n">
        <f aca="false">Budget!N23</f>
        <v>102917.2</v>
      </c>
      <c r="P23" s="37" t="n">
        <f aca="false">N23-O23</f>
        <v>-18322.582706683</v>
      </c>
      <c r="Q23" s="44" t="n">
        <f aca="false">IF(O23=0,0,P23/ABS(O23))</f>
        <v>-0.178032269695279</v>
      </c>
    </row>
    <row r="24" customFormat="false" ht="15" hidden="false" customHeight="false" outlineLevel="0" collapsed="false">
      <c r="A24" s="28" t="s">
        <v>134</v>
      </c>
      <c r="B24" s="40" t="n">
        <f aca="false">Actuals!B24</f>
        <v>1545</v>
      </c>
      <c r="C24" s="40" t="n">
        <f aca="false">Actuals!C24</f>
        <v>1524</v>
      </c>
      <c r="D24" s="40" t="n">
        <f aca="false">Actuals!D24</f>
        <v>1504</v>
      </c>
      <c r="E24" s="40" t="n">
        <f aca="false">Actuals!E24</f>
        <v>1483</v>
      </c>
      <c r="F24" s="40" t="n">
        <f aca="false">Actuals!F24</f>
        <v>1463</v>
      </c>
      <c r="G24" s="40" t="n">
        <f aca="false">Actuals!G24</f>
        <v>1442</v>
      </c>
      <c r="H24" s="40" t="n">
        <f aca="false">Actuals!H24</f>
        <v>1421</v>
      </c>
      <c r="I24" s="40" t="n">
        <f aca="false">Actuals!I24</f>
        <v>1401</v>
      </c>
      <c r="J24" s="40" t="n">
        <f aca="false">Actuals!J24</f>
        <v>1380</v>
      </c>
      <c r="K24" s="40" t="n">
        <f aca="false">Budget!K24</f>
        <v>1320</v>
      </c>
      <c r="L24" s="40" t="n">
        <f aca="false">Budget!L24</f>
        <v>1300</v>
      </c>
      <c r="M24" s="40" t="n">
        <f aca="false">Budget!M24</f>
        <v>1280</v>
      </c>
      <c r="N24" s="35" t="n">
        <f aca="false">SUM(B24:M24)</f>
        <v>17063</v>
      </c>
      <c r="O24" s="40" t="n">
        <f aca="false">Budget!N24</f>
        <v>16680</v>
      </c>
      <c r="P24" s="35" t="n">
        <f aca="false">N24-O24</f>
        <v>383</v>
      </c>
      <c r="Q24" s="38" t="n">
        <f aca="false">IF(O24=0,0,P24/ABS(O24))</f>
        <v>0.0229616306954436</v>
      </c>
    </row>
    <row r="25" customFormat="false" ht="15" hidden="false" customHeight="false" outlineLevel="0" collapsed="false">
      <c r="A25" s="27" t="s">
        <v>135</v>
      </c>
      <c r="B25" s="36" t="n">
        <f aca="false">B23-B24</f>
        <v>3662</v>
      </c>
      <c r="C25" s="36" t="n">
        <f aca="false">C23-C24</f>
        <v>3664</v>
      </c>
      <c r="D25" s="36" t="n">
        <f aca="false">D23-D24</f>
        <v>4769</v>
      </c>
      <c r="E25" s="36" t="n">
        <f aca="false">E23-E24</f>
        <v>4947</v>
      </c>
      <c r="F25" s="36" t="n">
        <f aca="false">F23-F24</f>
        <v>5300</v>
      </c>
      <c r="G25" s="36" t="n">
        <f aca="false">G23-G24</f>
        <v>5566</v>
      </c>
      <c r="H25" s="36" t="n">
        <f aca="false">H23-H24</f>
        <v>5793</v>
      </c>
      <c r="I25" s="36" t="n">
        <f aca="false">I23-I24</f>
        <v>5844</v>
      </c>
      <c r="J25" s="36" t="n">
        <f aca="false">J23-J24</f>
        <v>5927</v>
      </c>
      <c r="K25" s="36" t="n">
        <f aca="false">K23-K24</f>
        <v>6563.47659389911</v>
      </c>
      <c r="L25" s="36" t="n">
        <f aca="false">L23-L24</f>
        <v>6914.79418930183</v>
      </c>
      <c r="M25" s="36" t="n">
        <f aca="false">M23-M24</f>
        <v>8581.34651011603</v>
      </c>
      <c r="N25" s="37" t="n">
        <f aca="false">SUM(B25:M25)</f>
        <v>67531.617293317</v>
      </c>
      <c r="O25" s="43" t="n">
        <f aca="false">Budget!N25</f>
        <v>86237.2</v>
      </c>
      <c r="P25" s="37" t="n">
        <f aca="false">N25-O25</f>
        <v>-18705.582706683</v>
      </c>
      <c r="Q25" s="44" t="n">
        <f aca="false">IF(O25=0,0,P25/ABS(O25))</f>
        <v>-0.216908511717484</v>
      </c>
    </row>
    <row r="26" customFormat="false" ht="15" hidden="false" customHeight="false" outlineLevel="0" collapsed="false">
      <c r="A26" s="28" t="s">
        <v>136</v>
      </c>
      <c r="B26" s="35" t="n">
        <f aca="false">MAX(0,B25)*Assumptions!$B$15</f>
        <v>1098.6</v>
      </c>
      <c r="C26" s="35" t="n">
        <f aca="false">MAX(0,C25)*Assumptions!$B$15</f>
        <v>1099.2</v>
      </c>
      <c r="D26" s="35" t="n">
        <f aca="false">MAX(0,D25)*Assumptions!$B$15</f>
        <v>1430.7</v>
      </c>
      <c r="E26" s="35" t="n">
        <f aca="false">MAX(0,E25)*Assumptions!$B$15</f>
        <v>1484.1</v>
      </c>
      <c r="F26" s="35" t="n">
        <f aca="false">MAX(0,F25)*Assumptions!$B$15</f>
        <v>1590</v>
      </c>
      <c r="G26" s="35" t="n">
        <f aca="false">MAX(0,G25)*Assumptions!$B$15</f>
        <v>1669.8</v>
      </c>
      <c r="H26" s="35" t="n">
        <f aca="false">MAX(0,H25)*Assumptions!$B$15</f>
        <v>1737.9</v>
      </c>
      <c r="I26" s="35" t="n">
        <f aca="false">MAX(0,I25)*Assumptions!$B$15</f>
        <v>1753.2</v>
      </c>
      <c r="J26" s="35" t="n">
        <f aca="false">MAX(0,J25)*Assumptions!$B$15</f>
        <v>1778.1</v>
      </c>
      <c r="K26" s="35" t="n">
        <f aca="false">MAX(0,K25)*Assumptions!$B$15</f>
        <v>1969.04297816973</v>
      </c>
      <c r="L26" s="35" t="n">
        <f aca="false">MAX(0,L25)*Assumptions!$B$15</f>
        <v>2074.43825679055</v>
      </c>
      <c r="M26" s="35" t="n">
        <f aca="false">MAX(0,M25)*Assumptions!$B$15</f>
        <v>2574.40395303481</v>
      </c>
      <c r="N26" s="35" t="n">
        <f aca="false">SUM(B26:M26)</f>
        <v>20259.4851879951</v>
      </c>
      <c r="O26" s="40" t="n">
        <f aca="false">Budget!N26</f>
        <v>25871.16</v>
      </c>
      <c r="P26" s="35" t="n">
        <f aca="false">N26-O26</f>
        <v>-5611.67481200491</v>
      </c>
      <c r="Q26" s="38" t="n">
        <f aca="false">IF(O26=0,0,P26/ABS(O26))</f>
        <v>-0.216908511717484</v>
      </c>
    </row>
    <row r="27" customFormat="false" ht="15" hidden="false" customHeight="false" outlineLevel="0" collapsed="false">
      <c r="A27" s="27" t="s">
        <v>51</v>
      </c>
      <c r="B27" s="36" t="n">
        <f aca="false">B25-B26</f>
        <v>2563.4</v>
      </c>
      <c r="C27" s="36" t="n">
        <f aca="false">C25-C26</f>
        <v>2564.8</v>
      </c>
      <c r="D27" s="36" t="n">
        <f aca="false">D25-D26</f>
        <v>3338.3</v>
      </c>
      <c r="E27" s="36" t="n">
        <f aca="false">E25-E26</f>
        <v>3462.9</v>
      </c>
      <c r="F27" s="36" t="n">
        <f aca="false">F25-F26</f>
        <v>3710</v>
      </c>
      <c r="G27" s="36" t="n">
        <f aca="false">G25-G26</f>
        <v>3896.2</v>
      </c>
      <c r="H27" s="36" t="n">
        <f aca="false">H25-H26</f>
        <v>4055.1</v>
      </c>
      <c r="I27" s="36" t="n">
        <f aca="false">I25-I26</f>
        <v>4090.8</v>
      </c>
      <c r="J27" s="36" t="n">
        <f aca="false">J25-J26</f>
        <v>4148.9</v>
      </c>
      <c r="K27" s="36" t="n">
        <f aca="false">K25-K26</f>
        <v>4594.43361572938</v>
      </c>
      <c r="L27" s="36" t="n">
        <f aca="false">L25-L26</f>
        <v>4840.35593251128</v>
      </c>
      <c r="M27" s="36" t="n">
        <f aca="false">M25-M26</f>
        <v>6006.94255708122</v>
      </c>
      <c r="N27" s="37" t="n">
        <f aca="false">SUM(B27:M27)</f>
        <v>47272.1321053219</v>
      </c>
      <c r="O27" s="43" t="n">
        <f aca="false">Budget!N27</f>
        <v>60366.04</v>
      </c>
      <c r="P27" s="37" t="n">
        <f aca="false">N27-O27</f>
        <v>-13093.9078946781</v>
      </c>
      <c r="Q27" s="44" t="n">
        <f aca="false">IF(O27=0,0,P27/ABS(O27))</f>
        <v>-0.216908511717484</v>
      </c>
    </row>
    <row r="29" customFormat="false" ht="15" hidden="false" customHeight="false" outlineLevel="0" collapsed="false">
      <c r="A29" s="2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2026-10-27T11:56:47Z</dcterms:created>
  <dc:creator>openpyxl</dc:creator>
  <dc:description/>
  <dc:language>en-US</dc:language>
  <cp:lastModifiedBy/>
  <dcterms:modified xsi:type="dcterms:W3CDTF">2026-10-27T11:56:49Z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