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Assumptions" sheetId="3" state="visible" r:id="rId5"/>
    <sheet name="Deliveries" sheetId="4" state="visible" r:id="rId6"/>
  </sheets>
  <definedNames>
    <definedName function="false" hidden="true" localSheetId="3" name="_xlnm._FilterDatabase" vbProcedure="false">Deliveries!$A$1:$S$501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<sst xmlns="http://schemas.openxmlformats.org/spreadsheetml/2006/main" count="1619" uniqueCount="598">
  <si>
    <t xml:space="preserve">Logistics &amp; Supplier Delivery Performance</t>
  </si>
  <si>
    <t xml:space="preserve">Business scenario</t>
  </si>
  <si>
    <t xml:space="preserve">A distributor in Kenya orders goods from six suppliers and delivers to six regions. Management wants to know which suppliers deliver on time and in full (OTIF), what late and damaged deliveries cost, and whether performance is improving.</t>
  </si>
  <si>
    <t xml:space="preserve">Sheets</t>
  </si>
  <si>
    <t xml:space="preserve">Assumptions: lateness tolerance, late-penalty rate, OTIF target, minimum acceptable OTIF and damage tolerance.</t>
  </si>
  <si>
    <t xml:space="preserve">Deliveries: 500 synthetic deliveries (inputs) plus formula columns for days late, on-time, in-full, OTIF, penalty, cost per km and damage rate.</t>
  </si>
  <si>
    <t xml:space="preserve">Dashboard: OTIF KPIs, supplier scorecard with A/B/C grade, regional table, monthly trend, and charts.</t>
  </si>
  <si>
    <t xml:space="preserve">Colour legend</t>
  </si>
  <si>
    <t xml:space="preserve">Blue text on yellow = editable input (Assumptions sheet).</t>
  </si>
  <si>
    <t xml:space="preserve">Blue header on Data sheet = raw input columns; green header = formula columns (do not overwrite).</t>
  </si>
  <si>
    <t xml:space="preserve">Black text = formula. Everything on the Dashboard recalculates when Assumptions or Data change.</t>
  </si>
  <si>
    <t xml:space="preserve">Data note</t>
  </si>
  <si>
    <t xml:space="preserve">All data is SYNTHETIC, generated for portfolio demonstration. Targets and thresholds are illustrative. Not client data.</t>
  </si>
  <si>
    <t xml:space="preserve">Skills demonstrated</t>
  </si>
  <si>
    <t xml:space="preserve">Supply-chain KPIs (OTIF, fill rate, cost per km)</t>
  </si>
  <si>
    <t xml:space="preserve">Supplier scorecarding</t>
  </si>
  <si>
    <t xml:space="preserve">Date arithmetic and flags</t>
  </si>
  <si>
    <t xml:space="preserve">SUMIFS / COUNTIFS / INDEX-MATCH</t>
  </si>
  <si>
    <t xml:space="preserve">Dashboard design</t>
  </si>
  <si>
    <t xml:space="preserve">Logistics &amp; Supplier Delivery Dashboard</t>
  </si>
  <si>
    <t xml:space="preserve">Synthetic data | KES | Jan-Sep 2026</t>
  </si>
  <si>
    <t xml:space="preserve">Key metrics</t>
  </si>
  <si>
    <t xml:space="preserve">Deliveries</t>
  </si>
  <si>
    <t xml:space="preserve">OTIF %</t>
  </si>
  <si>
    <t xml:space="preserve">On-time %</t>
  </si>
  <si>
    <t xml:space="preserve">In-full %</t>
  </si>
  <si>
    <t xml:space="preserve">OTIF vs target</t>
  </si>
  <si>
    <t xml:space="preserve">Avg days late (all deliveries)</t>
  </si>
  <si>
    <t xml:space="preserve">Total freight cost (KES)</t>
  </si>
  <si>
    <t xml:space="preserve">Late penalty cost (KES)</t>
  </si>
  <si>
    <t xml:space="preserve">Overall damage rate</t>
  </si>
  <si>
    <t xml:space="preserve">Freight cost per km (KES)</t>
  </si>
  <si>
    <t xml:space="preserve">Insights (auto-updating)</t>
  </si>
  <si>
    <t xml:space="preserve">Best supplier (OTIF)</t>
  </si>
  <si>
    <t xml:space="preserve">Weakest supplier (OTIF)</t>
  </si>
  <si>
    <t xml:space="preserve">Weakest region (OTIF)</t>
  </si>
  <si>
    <t xml:space="preserve">Suppliers graded C</t>
  </si>
  <si>
    <t xml:space="preserve">Supplier scorecard</t>
  </si>
  <si>
    <t xml:space="preserve">Supplier</t>
  </si>
  <si>
    <t xml:space="preserve">Avg days late</t>
  </si>
  <si>
    <t xml:space="preserve">Damage rate</t>
  </si>
  <si>
    <t xml:space="preserve">Freight (KES)</t>
  </si>
  <si>
    <t xml:space="preserve">Late penalty (KES)</t>
  </si>
  <si>
    <t xml:space="preserve">Grade</t>
  </si>
  <si>
    <t xml:space="preserve">Damage flag</t>
  </si>
  <si>
    <t xml:space="preserve">Rift Agro Supplies</t>
  </si>
  <si>
    <t xml:space="preserve">Savanna Packaging</t>
  </si>
  <si>
    <t xml:space="preserve">Lakeside Hardware</t>
  </si>
  <si>
    <t xml:space="preserve">Coastal Freight Goods</t>
  </si>
  <si>
    <t xml:space="preserve">Highland Foods Ltd</t>
  </si>
  <si>
    <t xml:space="preserve">Unity Stationers</t>
  </si>
  <si>
    <t xml:space="preserve">Performance by region</t>
  </si>
  <si>
    <t xml:space="preserve">Region</t>
  </si>
  <si>
    <t xml:space="preserve">Nairobi</t>
  </si>
  <si>
    <t xml:space="preserve">Mombasa</t>
  </si>
  <si>
    <t xml:space="preserve">Kisumu</t>
  </si>
  <si>
    <t xml:space="preserve">Nakuru</t>
  </si>
  <si>
    <t xml:space="preserve">Eldoret</t>
  </si>
  <si>
    <t xml:space="preserve">Bomet</t>
  </si>
  <si>
    <t xml:space="preserve">Monthly trend (by order month)</t>
  </si>
  <si>
    <t xml:space="preserve">Month</t>
  </si>
  <si>
    <t xml:space="preserve">Month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</si>
  <si>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</si>
  <si>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</si>
  <si>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</si>
  <si>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</si>
  <si>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</si>
  <si>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</si>
  <si>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</si>
  <si>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</si>
  <si>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</si>
  <si>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Assumptions (edit the yellow cells)</t>
  </si>
  <si>
    <t xml:space="preserve">Parameter</t>
  </si>
  <si>
    <t xml:space="preserve">Value</t>
  </si>
  <si>
    <t xml:space="preserve">Note</t>
  </si>
  <si>
    <t xml:space="preserve">On-time tolerance (days late allowed)</t>
  </si>
  <si>
    <t xml:space="preserve">0 = delivery must arrive on or before the promised date.</t>
  </si>
  <si>
    <t xml:space="preserve">Late penalty cost (KES per day late)</t>
  </si>
  <si>
    <t xml:space="preserve">Illustrative internal cost of a late delivery (stock-outs, rework).</t>
  </si>
  <si>
    <t xml:space="preserve">OTIF target</t>
  </si>
  <si>
    <t xml:space="preserve">Illustrative target; grade A at or above.</t>
  </si>
  <si>
    <t xml:space="preserve">Minimum acceptable OTIF</t>
  </si>
  <si>
    <t xml:space="preserve">Grade B at or above; below this is grade C.</t>
  </si>
  <si>
    <t xml:space="preserve">Damage tolerance (% of units)</t>
  </si>
  <si>
    <t xml:space="preserve">Suppliers above this are flagged.</t>
  </si>
  <si>
    <t xml:space="preserve">Delivery ID</t>
  </si>
  <si>
    <t xml:space="preserve">Order date</t>
  </si>
  <si>
    <t xml:space="preserve">Promised date</t>
  </si>
  <si>
    <t xml:space="preserve">Delivered date</t>
  </si>
  <si>
    <t xml:space="preserve">Qty ordered</t>
  </si>
  <si>
    <t xml:space="preserve">Qty delivered</t>
  </si>
  <si>
    <t xml:space="preserve">Distance (km)</t>
  </si>
  <si>
    <t xml:space="preserve">Freight cost (KES)</t>
  </si>
  <si>
    <t xml:space="preserve">Damaged units</t>
  </si>
  <si>
    <t xml:space="preserve">Days late</t>
  </si>
  <si>
    <t xml:space="preserve">On time</t>
  </si>
  <si>
    <t xml:space="preserve">In full</t>
  </si>
  <si>
    <t xml:space="preserve">OTIF</t>
  </si>
  <si>
    <t xml:space="preserve">DL3001</t>
  </si>
  <si>
    <t xml:space="preserve">DL3002</t>
  </si>
  <si>
    <t xml:space="preserve">DL3003</t>
  </si>
  <si>
    <t xml:space="preserve">DL3004</t>
  </si>
  <si>
    <t xml:space="preserve">DL3005</t>
  </si>
  <si>
    <t xml:space="preserve">DL3006</t>
  </si>
  <si>
    <t xml:space="preserve">DL3007</t>
  </si>
  <si>
    <t xml:space="preserve">DL3008</t>
  </si>
  <si>
    <t xml:space="preserve">DL3009</t>
  </si>
  <si>
    <t xml:space="preserve">DL3010</t>
  </si>
  <si>
    <t xml:space="preserve">DL3011</t>
  </si>
  <si>
    <t xml:space="preserve">DL3012</t>
  </si>
  <si>
    <t xml:space="preserve">DL3013</t>
  </si>
  <si>
    <t xml:space="preserve">DL3014</t>
  </si>
  <si>
    <t xml:space="preserve">DL3015</t>
  </si>
  <si>
    <t xml:space="preserve">DL3016</t>
  </si>
  <si>
    <t xml:space="preserve">DL3017</t>
  </si>
  <si>
    <t xml:space="preserve">DL3018</t>
  </si>
  <si>
    <t xml:space="preserve">DL3019</t>
  </si>
  <si>
    <t xml:space="preserve">DL3020</t>
  </si>
  <si>
    <t xml:space="preserve">DL3021</t>
  </si>
  <si>
    <t xml:space="preserve">DL3022</t>
  </si>
  <si>
    <t xml:space="preserve">DL3023</t>
  </si>
  <si>
    <t xml:space="preserve">DL3024</t>
  </si>
  <si>
    <t xml:space="preserve">DL3025</t>
  </si>
  <si>
    <t xml:space="preserve">DL3026</t>
  </si>
  <si>
    <t xml:space="preserve">DL3027</t>
  </si>
  <si>
    <t xml:space="preserve">DL3028</t>
  </si>
  <si>
    <t xml:space="preserve">DL3029</t>
  </si>
  <si>
    <t xml:space="preserve">DL3030</t>
  </si>
  <si>
    <t xml:space="preserve">DL3031</t>
  </si>
  <si>
    <t xml:space="preserve">DL3032</t>
  </si>
  <si>
    <t xml:space="preserve">DL3033</t>
  </si>
  <si>
    <t xml:space="preserve">DL3034</t>
  </si>
  <si>
    <t xml:space="preserve">DL3035</t>
  </si>
  <si>
    <t xml:space="preserve">DL3036</t>
  </si>
  <si>
    <t xml:space="preserve">DL3037</t>
  </si>
  <si>
    <t xml:space="preserve">DL3038</t>
  </si>
  <si>
    <t xml:space="preserve">DL3039</t>
  </si>
  <si>
    <t xml:space="preserve">DL3040</t>
  </si>
  <si>
    <t xml:space="preserve">DL3041</t>
  </si>
  <si>
    <t xml:space="preserve">DL3042</t>
  </si>
  <si>
    <t xml:space="preserve">DL3043</t>
  </si>
  <si>
    <t xml:space="preserve">DL3044</t>
  </si>
  <si>
    <t xml:space="preserve">DL3045</t>
  </si>
  <si>
    <t xml:space="preserve">DL3046</t>
  </si>
  <si>
    <t xml:space="preserve">DL3047</t>
  </si>
  <si>
    <t xml:space="preserve">DL3048</t>
  </si>
  <si>
    <t xml:space="preserve">DL3049</t>
  </si>
  <si>
    <t xml:space="preserve">DL3050</t>
  </si>
  <si>
    <t xml:space="preserve">DL3051</t>
  </si>
  <si>
    <t xml:space="preserve">DL3052</t>
  </si>
  <si>
    <t xml:space="preserve">DL3053</t>
  </si>
  <si>
    <t xml:space="preserve">DL3054</t>
  </si>
  <si>
    <t xml:space="preserve">DL3055</t>
  </si>
  <si>
    <t xml:space="preserve">DL3056</t>
  </si>
  <si>
    <t xml:space="preserve">DL3057</t>
  </si>
  <si>
    <t xml:space="preserve">DL3058</t>
  </si>
  <si>
    <t xml:space="preserve">DL3059</t>
  </si>
  <si>
    <t xml:space="preserve">DL3060</t>
  </si>
  <si>
    <t xml:space="preserve">DL3061</t>
  </si>
  <si>
    <t xml:space="preserve">DL3062</t>
  </si>
  <si>
    <t xml:space="preserve">DL3063</t>
  </si>
  <si>
    <t xml:space="preserve">DL3064</t>
  </si>
  <si>
    <t xml:space="preserve">DL3065</t>
  </si>
  <si>
    <t xml:space="preserve">DL3066</t>
  </si>
  <si>
    <t xml:space="preserve">DL3067</t>
  </si>
  <si>
    <t xml:space="preserve">DL3068</t>
  </si>
  <si>
    <t xml:space="preserve">DL3069</t>
  </si>
  <si>
    <t xml:space="preserve">DL3070</t>
  </si>
  <si>
    <t xml:space="preserve">DL3071</t>
  </si>
  <si>
    <t xml:space="preserve">DL3072</t>
  </si>
  <si>
    <t xml:space="preserve">DL3073</t>
  </si>
  <si>
    <t xml:space="preserve">DL3074</t>
  </si>
  <si>
    <t xml:space="preserve">DL3075</t>
  </si>
  <si>
    <t xml:space="preserve">DL3076</t>
  </si>
  <si>
    <t xml:space="preserve">DL3077</t>
  </si>
  <si>
    <t xml:space="preserve">DL3078</t>
  </si>
  <si>
    <t xml:space="preserve">DL3079</t>
  </si>
  <si>
    <t xml:space="preserve">DL3080</t>
  </si>
  <si>
    <t xml:space="preserve">DL3081</t>
  </si>
  <si>
    <t xml:space="preserve">DL3082</t>
  </si>
  <si>
    <t xml:space="preserve">DL3083</t>
  </si>
  <si>
    <t xml:space="preserve">DL3084</t>
  </si>
  <si>
    <t xml:space="preserve">DL3085</t>
  </si>
  <si>
    <t xml:space="preserve">DL3086</t>
  </si>
  <si>
    <t xml:space="preserve">DL3087</t>
  </si>
  <si>
    <t xml:space="preserve">DL3088</t>
  </si>
  <si>
    <t xml:space="preserve">DL3089</t>
  </si>
  <si>
    <t xml:space="preserve">DL3090</t>
  </si>
  <si>
    <t xml:space="preserve">DL3091</t>
  </si>
  <si>
    <t xml:space="preserve">DL3092</t>
  </si>
  <si>
    <t xml:space="preserve">DL3093</t>
  </si>
  <si>
    <t xml:space="preserve">DL3094</t>
  </si>
  <si>
    <t xml:space="preserve">DL3095</t>
  </si>
  <si>
    <t xml:space="preserve">DL3096</t>
  </si>
  <si>
    <t xml:space="preserve">DL3097</t>
  </si>
  <si>
    <t xml:space="preserve">DL3098</t>
  </si>
  <si>
    <t xml:space="preserve">DL3099</t>
  </si>
  <si>
    <t xml:space="preserve">DL3100</t>
  </si>
  <si>
    <t xml:space="preserve">DL3101</t>
  </si>
  <si>
    <t xml:space="preserve">DL3102</t>
  </si>
  <si>
    <t xml:space="preserve">DL3103</t>
  </si>
  <si>
    <t xml:space="preserve">DL3104</t>
  </si>
  <si>
    <t xml:space="preserve">DL3105</t>
  </si>
  <si>
    <t xml:space="preserve">DL3106</t>
  </si>
  <si>
    <t xml:space="preserve">DL3107</t>
  </si>
  <si>
    <t xml:space="preserve">DL3108</t>
  </si>
  <si>
    <t xml:space="preserve">DL3109</t>
  </si>
  <si>
    <t xml:space="preserve">DL3110</t>
  </si>
  <si>
    <t xml:space="preserve">DL3111</t>
  </si>
  <si>
    <t xml:space="preserve">DL3112</t>
  </si>
  <si>
    <t xml:space="preserve">DL3113</t>
  </si>
  <si>
    <t xml:space="preserve">DL3114</t>
  </si>
  <si>
    <t xml:space="preserve">DL3115</t>
  </si>
  <si>
    <t xml:space="preserve">DL3116</t>
  </si>
  <si>
    <t xml:space="preserve">DL3117</t>
  </si>
  <si>
    <t xml:space="preserve">DL3118</t>
  </si>
  <si>
    <t xml:space="preserve">DL3119</t>
  </si>
  <si>
    <t xml:space="preserve">DL3120</t>
  </si>
  <si>
    <t xml:space="preserve">DL3121</t>
  </si>
  <si>
    <t xml:space="preserve">DL3122</t>
  </si>
  <si>
    <t xml:space="preserve">DL3123</t>
  </si>
  <si>
    <t xml:space="preserve">DL3124</t>
  </si>
  <si>
    <t xml:space="preserve">DL3125</t>
  </si>
  <si>
    <t xml:space="preserve">DL3126</t>
  </si>
  <si>
    <t xml:space="preserve">DL3127</t>
  </si>
  <si>
    <t xml:space="preserve">DL3128</t>
  </si>
  <si>
    <t xml:space="preserve">DL3129</t>
  </si>
  <si>
    <t xml:space="preserve">DL3130</t>
  </si>
  <si>
    <t xml:space="preserve">DL3131</t>
  </si>
  <si>
    <t xml:space="preserve">DL3132</t>
  </si>
  <si>
    <t xml:space="preserve">DL3133</t>
  </si>
  <si>
    <t xml:space="preserve">DL3134</t>
  </si>
  <si>
    <t xml:space="preserve">DL3135</t>
  </si>
  <si>
    <t xml:space="preserve">DL3136</t>
  </si>
  <si>
    <t xml:space="preserve">DL3137</t>
  </si>
  <si>
    <t xml:space="preserve">DL3138</t>
  </si>
  <si>
    <t xml:space="preserve">DL3139</t>
  </si>
  <si>
    <t xml:space="preserve">DL3140</t>
  </si>
  <si>
    <t xml:space="preserve">DL3141</t>
  </si>
  <si>
    <t xml:space="preserve">DL3142</t>
  </si>
  <si>
    <t xml:space="preserve">DL3143</t>
  </si>
  <si>
    <t xml:space="preserve">DL3144</t>
  </si>
  <si>
    <t xml:space="preserve">DL3145</t>
  </si>
  <si>
    <t xml:space="preserve">DL3146</t>
  </si>
  <si>
    <t xml:space="preserve">DL3147</t>
  </si>
  <si>
    <t xml:space="preserve">DL3148</t>
  </si>
  <si>
    <t xml:space="preserve">DL3149</t>
  </si>
  <si>
    <t xml:space="preserve">DL3150</t>
  </si>
  <si>
    <t xml:space="preserve">DL3151</t>
  </si>
  <si>
    <t xml:space="preserve">DL3152</t>
  </si>
  <si>
    <t xml:space="preserve">DL3153</t>
  </si>
  <si>
    <t xml:space="preserve">DL3154</t>
  </si>
  <si>
    <t xml:space="preserve">DL3155</t>
  </si>
  <si>
    <t xml:space="preserve">DL3156</t>
  </si>
  <si>
    <t xml:space="preserve">DL3157</t>
  </si>
  <si>
    <t xml:space="preserve">DL3158</t>
  </si>
  <si>
    <t xml:space="preserve">DL3159</t>
  </si>
  <si>
    <t xml:space="preserve">DL3160</t>
  </si>
  <si>
    <t xml:space="preserve">DL3161</t>
  </si>
  <si>
    <t xml:space="preserve">DL3162</t>
  </si>
  <si>
    <t xml:space="preserve">DL3163</t>
  </si>
  <si>
    <t xml:space="preserve">DL3164</t>
  </si>
  <si>
    <t xml:space="preserve">DL3165</t>
  </si>
  <si>
    <t xml:space="preserve">DL3166</t>
  </si>
  <si>
    <t xml:space="preserve">DL3167</t>
  </si>
  <si>
    <t xml:space="preserve">DL3168</t>
  </si>
  <si>
    <t xml:space="preserve">DL3169</t>
  </si>
  <si>
    <t xml:space="preserve">DL3170</t>
  </si>
  <si>
    <t xml:space="preserve">DL3171</t>
  </si>
  <si>
    <t xml:space="preserve">DL3172</t>
  </si>
  <si>
    <t xml:space="preserve">DL3173</t>
  </si>
  <si>
    <t xml:space="preserve">DL3174</t>
  </si>
  <si>
    <t xml:space="preserve">DL3175</t>
  </si>
  <si>
    <t xml:space="preserve">DL3176</t>
  </si>
  <si>
    <t xml:space="preserve">DL3177</t>
  </si>
  <si>
    <t xml:space="preserve">DL3178</t>
  </si>
  <si>
    <t xml:space="preserve">DL3179</t>
  </si>
  <si>
    <t xml:space="preserve">DL3180</t>
  </si>
  <si>
    <t xml:space="preserve">DL3181</t>
  </si>
  <si>
    <t xml:space="preserve">DL3182</t>
  </si>
  <si>
    <t xml:space="preserve">DL3183</t>
  </si>
  <si>
    <t xml:space="preserve">DL3184</t>
  </si>
  <si>
    <t xml:space="preserve">DL3185</t>
  </si>
  <si>
    <t xml:space="preserve">DL3186</t>
  </si>
  <si>
    <t xml:space="preserve">DL3187</t>
  </si>
  <si>
    <t xml:space="preserve">DL3188</t>
  </si>
  <si>
    <t xml:space="preserve">DL3189</t>
  </si>
  <si>
    <t xml:space="preserve">DL3190</t>
  </si>
  <si>
    <t xml:space="preserve">DL3191</t>
  </si>
  <si>
    <t xml:space="preserve">DL3192</t>
  </si>
  <si>
    <t xml:space="preserve">DL3193</t>
  </si>
  <si>
    <t xml:space="preserve">DL3194</t>
  </si>
  <si>
    <t xml:space="preserve">DL3195</t>
  </si>
  <si>
    <t xml:space="preserve">DL3196</t>
  </si>
  <si>
    <t xml:space="preserve">DL3197</t>
  </si>
  <si>
    <t xml:space="preserve">DL3198</t>
  </si>
  <si>
    <t xml:space="preserve">DL3199</t>
  </si>
  <si>
    <t xml:space="preserve">DL3200</t>
  </si>
  <si>
    <t xml:space="preserve">DL3201</t>
  </si>
  <si>
    <t xml:space="preserve">DL3202</t>
  </si>
  <si>
    <t xml:space="preserve">DL3203</t>
  </si>
  <si>
    <t xml:space="preserve">DL3204</t>
  </si>
  <si>
    <t xml:space="preserve">DL3205</t>
  </si>
  <si>
    <t xml:space="preserve">DL3206</t>
  </si>
  <si>
    <t xml:space="preserve">DL3207</t>
  </si>
  <si>
    <t xml:space="preserve">DL3208</t>
  </si>
  <si>
    <t xml:space="preserve">DL3209</t>
  </si>
  <si>
    <t xml:space="preserve">DL3210</t>
  </si>
  <si>
    <t xml:space="preserve">DL3211</t>
  </si>
  <si>
    <t xml:space="preserve">DL3212</t>
  </si>
  <si>
    <t xml:space="preserve">DL3213</t>
  </si>
  <si>
    <t xml:space="preserve">DL3214</t>
  </si>
  <si>
    <t xml:space="preserve">DL3215</t>
  </si>
  <si>
    <t xml:space="preserve">DL3216</t>
  </si>
  <si>
    <t xml:space="preserve">DL3217</t>
  </si>
  <si>
    <t xml:space="preserve">DL3218</t>
  </si>
  <si>
    <t xml:space="preserve">DL3219</t>
  </si>
  <si>
    <t xml:space="preserve">DL3220</t>
  </si>
  <si>
    <t xml:space="preserve">DL3221</t>
  </si>
  <si>
    <t xml:space="preserve">DL3222</t>
  </si>
  <si>
    <t xml:space="preserve">DL3223</t>
  </si>
  <si>
    <t xml:space="preserve">DL3224</t>
  </si>
  <si>
    <t xml:space="preserve">DL3225</t>
  </si>
  <si>
    <t xml:space="preserve">DL3226</t>
  </si>
  <si>
    <t xml:space="preserve">DL3227</t>
  </si>
  <si>
    <t xml:space="preserve">DL3228</t>
  </si>
  <si>
    <t xml:space="preserve">DL3229</t>
  </si>
  <si>
    <t xml:space="preserve">DL3230</t>
  </si>
  <si>
    <t xml:space="preserve">DL3231</t>
  </si>
  <si>
    <t xml:space="preserve">DL3232</t>
  </si>
  <si>
    <t xml:space="preserve">DL3233</t>
  </si>
  <si>
    <t xml:space="preserve">DL3234</t>
  </si>
  <si>
    <t xml:space="preserve">DL3235</t>
  </si>
  <si>
    <t xml:space="preserve">DL3236</t>
  </si>
  <si>
    <t xml:space="preserve">DL3237</t>
  </si>
  <si>
    <t xml:space="preserve">DL3238</t>
  </si>
  <si>
    <t xml:space="preserve">DL3239</t>
  </si>
  <si>
    <t xml:space="preserve">DL3240</t>
  </si>
  <si>
    <t xml:space="preserve">DL3241</t>
  </si>
  <si>
    <t xml:space="preserve">DL3242</t>
  </si>
  <si>
    <t xml:space="preserve">DL3243</t>
  </si>
  <si>
    <t xml:space="preserve">DL3244</t>
  </si>
  <si>
    <t xml:space="preserve">DL3245</t>
  </si>
  <si>
    <t xml:space="preserve">DL3246</t>
  </si>
  <si>
    <t xml:space="preserve">DL3247</t>
  </si>
  <si>
    <t xml:space="preserve">DL3248</t>
  </si>
  <si>
    <t xml:space="preserve">DL3249</t>
  </si>
  <si>
    <t xml:space="preserve">DL3250</t>
  </si>
  <si>
    <t xml:space="preserve">DL3251</t>
  </si>
  <si>
    <t xml:space="preserve">DL3252</t>
  </si>
  <si>
    <t xml:space="preserve">DL3253</t>
  </si>
  <si>
    <t xml:space="preserve">DL3254</t>
  </si>
  <si>
    <t xml:space="preserve">DL3255</t>
  </si>
  <si>
    <t xml:space="preserve">DL3256</t>
  </si>
  <si>
    <t xml:space="preserve">DL3257</t>
  </si>
  <si>
    <t xml:space="preserve">DL3258</t>
  </si>
  <si>
    <t xml:space="preserve">DL3259</t>
  </si>
  <si>
    <t xml:space="preserve">DL3260</t>
  </si>
  <si>
    <t xml:space="preserve">DL3261</t>
  </si>
  <si>
    <t xml:space="preserve">DL3262</t>
  </si>
  <si>
    <t xml:space="preserve">DL3263</t>
  </si>
  <si>
    <t xml:space="preserve">DL3264</t>
  </si>
  <si>
    <t xml:space="preserve">DL3265</t>
  </si>
  <si>
    <t xml:space="preserve">DL3266</t>
  </si>
  <si>
    <t xml:space="preserve">DL3267</t>
  </si>
  <si>
    <t xml:space="preserve">DL3268</t>
  </si>
  <si>
    <t xml:space="preserve">DL3269</t>
  </si>
  <si>
    <t xml:space="preserve">DL3270</t>
  </si>
  <si>
    <t xml:space="preserve">DL3271</t>
  </si>
  <si>
    <t xml:space="preserve">DL3272</t>
  </si>
  <si>
    <t xml:space="preserve">DL3273</t>
  </si>
  <si>
    <t xml:space="preserve">DL3274</t>
  </si>
  <si>
    <t xml:space="preserve">DL3275</t>
  </si>
  <si>
    <t xml:space="preserve">DL3276</t>
  </si>
  <si>
    <t xml:space="preserve">DL3277</t>
  </si>
  <si>
    <t xml:space="preserve">DL3278</t>
  </si>
  <si>
    <t xml:space="preserve">DL3279</t>
  </si>
  <si>
    <t xml:space="preserve">DL3280</t>
  </si>
  <si>
    <t xml:space="preserve">DL3281</t>
  </si>
  <si>
    <t xml:space="preserve">DL3282</t>
  </si>
  <si>
    <t xml:space="preserve">DL3283</t>
  </si>
  <si>
    <t xml:space="preserve">DL3284</t>
  </si>
  <si>
    <t xml:space="preserve">DL3285</t>
  </si>
  <si>
    <t xml:space="preserve">DL3286</t>
  </si>
  <si>
    <t xml:space="preserve">DL3287</t>
  </si>
  <si>
    <t xml:space="preserve">DL3288</t>
  </si>
  <si>
    <t xml:space="preserve">DL3289</t>
  </si>
  <si>
    <t xml:space="preserve">DL3290</t>
  </si>
  <si>
    <t xml:space="preserve">DL3291</t>
  </si>
  <si>
    <t xml:space="preserve">DL3292</t>
  </si>
  <si>
    <t xml:space="preserve">DL3293</t>
  </si>
  <si>
    <t xml:space="preserve">DL3294</t>
  </si>
  <si>
    <t xml:space="preserve">DL3295</t>
  </si>
  <si>
    <t xml:space="preserve">DL3296</t>
  </si>
  <si>
    <t xml:space="preserve">DL3297</t>
  </si>
  <si>
    <t xml:space="preserve">DL3298</t>
  </si>
  <si>
    <t xml:space="preserve">DL3299</t>
  </si>
  <si>
    <t xml:space="preserve">DL3300</t>
  </si>
  <si>
    <t xml:space="preserve">DL3301</t>
  </si>
  <si>
    <t xml:space="preserve">DL3302</t>
  </si>
  <si>
    <t xml:space="preserve">DL3303</t>
  </si>
  <si>
    <t xml:space="preserve">DL3304</t>
  </si>
  <si>
    <t xml:space="preserve">DL3305</t>
  </si>
  <si>
    <t xml:space="preserve">DL3306</t>
  </si>
  <si>
    <t xml:space="preserve">DL3307</t>
  </si>
  <si>
    <t xml:space="preserve">DL3308</t>
  </si>
  <si>
    <t xml:space="preserve">DL3309</t>
  </si>
  <si>
    <t xml:space="preserve">DL3310</t>
  </si>
  <si>
    <t xml:space="preserve">DL3311</t>
  </si>
  <si>
    <t xml:space="preserve">DL3312</t>
  </si>
  <si>
    <t xml:space="preserve">DL3313</t>
  </si>
  <si>
    <t xml:space="preserve">DL3314</t>
  </si>
  <si>
    <t xml:space="preserve">DL3315</t>
  </si>
  <si>
    <t xml:space="preserve">DL3316</t>
  </si>
  <si>
    <t xml:space="preserve">DL3317</t>
  </si>
  <si>
    <t xml:space="preserve">DL3318</t>
  </si>
  <si>
    <t xml:space="preserve">DL3319</t>
  </si>
  <si>
    <t xml:space="preserve">DL3320</t>
  </si>
  <si>
    <t xml:space="preserve">DL3321</t>
  </si>
  <si>
    <t xml:space="preserve">DL3322</t>
  </si>
  <si>
    <t xml:space="preserve">DL3323</t>
  </si>
  <si>
    <t xml:space="preserve">DL3324</t>
  </si>
  <si>
    <t xml:space="preserve">DL3325</t>
  </si>
  <si>
    <t xml:space="preserve">DL3326</t>
  </si>
  <si>
    <t xml:space="preserve">DL3327</t>
  </si>
  <si>
    <t xml:space="preserve">DL3328</t>
  </si>
  <si>
    <t xml:space="preserve">DL3329</t>
  </si>
  <si>
    <t xml:space="preserve">DL3330</t>
  </si>
  <si>
    <t xml:space="preserve">DL3331</t>
  </si>
  <si>
    <t xml:space="preserve">DL3332</t>
  </si>
  <si>
    <t xml:space="preserve">DL3333</t>
  </si>
  <si>
    <t xml:space="preserve">DL3334</t>
  </si>
  <si>
    <t xml:space="preserve">DL3335</t>
  </si>
  <si>
    <t xml:space="preserve">DL3336</t>
  </si>
  <si>
    <t xml:space="preserve">DL3337</t>
  </si>
  <si>
    <t xml:space="preserve">DL3338</t>
  </si>
  <si>
    <t xml:space="preserve">DL3339</t>
  </si>
  <si>
    <t xml:space="preserve">DL3340</t>
  </si>
  <si>
    <t xml:space="preserve">DL3341</t>
  </si>
  <si>
    <t xml:space="preserve">DL3342</t>
  </si>
  <si>
    <t xml:space="preserve">DL3343</t>
  </si>
  <si>
    <t xml:space="preserve">DL3344</t>
  </si>
  <si>
    <t xml:space="preserve">DL3345</t>
  </si>
  <si>
    <t xml:space="preserve">DL3346</t>
  </si>
  <si>
    <t xml:space="preserve">DL3347</t>
  </si>
  <si>
    <t xml:space="preserve">DL3348</t>
  </si>
  <si>
    <t xml:space="preserve">DL3349</t>
  </si>
  <si>
    <t xml:space="preserve">DL3350</t>
  </si>
  <si>
    <t xml:space="preserve">DL3351</t>
  </si>
  <si>
    <t xml:space="preserve">DL3352</t>
  </si>
  <si>
    <t xml:space="preserve">DL3353</t>
  </si>
  <si>
    <t xml:space="preserve">DL3354</t>
  </si>
  <si>
    <t xml:space="preserve">DL3355</t>
  </si>
  <si>
    <t xml:space="preserve">DL3356</t>
  </si>
  <si>
    <t xml:space="preserve">DL3357</t>
  </si>
  <si>
    <t xml:space="preserve">DL3358</t>
  </si>
  <si>
    <t xml:space="preserve">DL3359</t>
  </si>
  <si>
    <t xml:space="preserve">DL3360</t>
  </si>
  <si>
    <t xml:space="preserve">DL3361</t>
  </si>
  <si>
    <t xml:space="preserve">DL3362</t>
  </si>
  <si>
    <t xml:space="preserve">DL3363</t>
  </si>
  <si>
    <t xml:space="preserve">DL3364</t>
  </si>
  <si>
    <t xml:space="preserve">DL3365</t>
  </si>
  <si>
    <t xml:space="preserve">DL3366</t>
  </si>
  <si>
    <t xml:space="preserve">DL3367</t>
  </si>
  <si>
    <t xml:space="preserve">DL3368</t>
  </si>
  <si>
    <t xml:space="preserve">DL3369</t>
  </si>
  <si>
    <t xml:space="preserve">DL3370</t>
  </si>
  <si>
    <t xml:space="preserve">DL3371</t>
  </si>
  <si>
    <t xml:space="preserve">DL3372</t>
  </si>
  <si>
    <t xml:space="preserve">DL3373</t>
  </si>
  <si>
    <t xml:space="preserve">DL3374</t>
  </si>
  <si>
    <t xml:space="preserve">DL3375</t>
  </si>
  <si>
    <t xml:space="preserve">DL3376</t>
  </si>
  <si>
    <t xml:space="preserve">DL3377</t>
  </si>
  <si>
    <t xml:space="preserve">DL3378</t>
  </si>
  <si>
    <t xml:space="preserve">DL3379</t>
  </si>
  <si>
    <t xml:space="preserve">DL3380</t>
  </si>
  <si>
    <t xml:space="preserve">DL3381</t>
  </si>
  <si>
    <t xml:space="preserve">DL3382</t>
  </si>
  <si>
    <t xml:space="preserve">DL3383</t>
  </si>
  <si>
    <t xml:space="preserve">DL3384</t>
  </si>
  <si>
    <t xml:space="preserve">DL3385</t>
  </si>
  <si>
    <t xml:space="preserve">DL3386</t>
  </si>
  <si>
    <t xml:space="preserve">DL3387</t>
  </si>
  <si>
    <t xml:space="preserve">DL3388</t>
  </si>
  <si>
    <t xml:space="preserve">DL3389</t>
  </si>
  <si>
    <t xml:space="preserve">DL3390</t>
  </si>
  <si>
    <t xml:space="preserve">DL3391</t>
  </si>
  <si>
    <t xml:space="preserve">DL3392</t>
  </si>
  <si>
    <t xml:space="preserve">DL3393</t>
  </si>
  <si>
    <t xml:space="preserve">DL3394</t>
  </si>
  <si>
    <t xml:space="preserve">DL3395</t>
  </si>
  <si>
    <t xml:space="preserve">DL3396</t>
  </si>
  <si>
    <t xml:space="preserve">DL3397</t>
  </si>
  <si>
    <t xml:space="preserve">DL3398</t>
  </si>
  <si>
    <t xml:space="preserve">DL3399</t>
  </si>
  <si>
    <t xml:space="preserve">DL3400</t>
  </si>
  <si>
    <t xml:space="preserve">DL3401</t>
  </si>
  <si>
    <t xml:space="preserve">DL3402</t>
  </si>
  <si>
    <t xml:space="preserve">DL3403</t>
  </si>
  <si>
    <t xml:space="preserve">DL3404</t>
  </si>
  <si>
    <t xml:space="preserve">DL3405</t>
  </si>
  <si>
    <t xml:space="preserve">DL3406</t>
  </si>
  <si>
    <t xml:space="preserve">DL3407</t>
  </si>
  <si>
    <t xml:space="preserve">DL3408</t>
  </si>
  <si>
    <t xml:space="preserve">DL3409</t>
  </si>
  <si>
    <t xml:space="preserve">DL3410</t>
  </si>
  <si>
    <t xml:space="preserve">DL3411</t>
  </si>
  <si>
    <t xml:space="preserve">DL3412</t>
  </si>
  <si>
    <t xml:space="preserve">DL3413</t>
  </si>
  <si>
    <t xml:space="preserve">DL3414</t>
  </si>
  <si>
    <t xml:space="preserve">DL3415</t>
  </si>
  <si>
    <t xml:space="preserve">DL3416</t>
  </si>
  <si>
    <t xml:space="preserve">DL3417</t>
  </si>
  <si>
    <t xml:space="preserve">DL3418</t>
  </si>
  <si>
    <t xml:space="preserve">DL3419</t>
  </si>
  <si>
    <t xml:space="preserve">DL3420</t>
  </si>
  <si>
    <t xml:space="preserve">DL3421</t>
  </si>
  <si>
    <t xml:space="preserve">DL3422</t>
  </si>
  <si>
    <t xml:space="preserve">DL3423</t>
  </si>
  <si>
    <t xml:space="preserve">DL3424</t>
  </si>
  <si>
    <t xml:space="preserve">DL3425</t>
  </si>
  <si>
    <t xml:space="preserve">DL3426</t>
  </si>
  <si>
    <t xml:space="preserve">DL3427</t>
  </si>
  <si>
    <t xml:space="preserve">DL3428</t>
  </si>
  <si>
    <t xml:space="preserve">DL3429</t>
  </si>
  <si>
    <t xml:space="preserve">DL3430</t>
  </si>
  <si>
    <t xml:space="preserve">DL3431</t>
  </si>
  <si>
    <t xml:space="preserve">DL3432</t>
  </si>
  <si>
    <t xml:space="preserve">DL3433</t>
  </si>
  <si>
    <t xml:space="preserve">DL3434</t>
  </si>
  <si>
    <t xml:space="preserve">DL3435</t>
  </si>
  <si>
    <t xml:space="preserve">DL3436</t>
  </si>
  <si>
    <t xml:space="preserve">DL3437</t>
  </si>
  <si>
    <t xml:space="preserve">DL3438</t>
  </si>
  <si>
    <t xml:space="preserve">DL3439</t>
  </si>
  <si>
    <t xml:space="preserve">DL3440</t>
  </si>
  <si>
    <t xml:space="preserve">DL3441</t>
  </si>
  <si>
    <t xml:space="preserve">DL3442</t>
  </si>
  <si>
    <t xml:space="preserve">DL3443</t>
  </si>
  <si>
    <t xml:space="preserve">DL3444</t>
  </si>
  <si>
    <t xml:space="preserve">DL3445</t>
  </si>
  <si>
    <t xml:space="preserve">DL3446</t>
  </si>
  <si>
    <t xml:space="preserve">DL3447</t>
  </si>
  <si>
    <t xml:space="preserve">DL3448</t>
  </si>
  <si>
    <t xml:space="preserve">DL3449</t>
  </si>
  <si>
    <t xml:space="preserve">DL3450</t>
  </si>
  <si>
    <t xml:space="preserve">DL3451</t>
  </si>
  <si>
    <t xml:space="preserve">DL3452</t>
  </si>
  <si>
    <t xml:space="preserve">DL3453</t>
  </si>
  <si>
    <t xml:space="preserve">DL3454</t>
  </si>
  <si>
    <t xml:space="preserve">DL3455</t>
  </si>
  <si>
    <t xml:space="preserve">DL3456</t>
  </si>
  <si>
    <t xml:space="preserve">DL3457</t>
  </si>
  <si>
    <t xml:space="preserve">DL3458</t>
  </si>
  <si>
    <t xml:space="preserve">DL3459</t>
  </si>
  <si>
    <t xml:space="preserve">DL3460</t>
  </si>
  <si>
    <t xml:space="preserve">DL3461</t>
  </si>
  <si>
    <t xml:space="preserve">DL3462</t>
  </si>
  <si>
    <t xml:space="preserve">DL3463</t>
  </si>
  <si>
    <t xml:space="preserve">DL3464</t>
  </si>
  <si>
    <t xml:space="preserve">DL3465</t>
  </si>
  <si>
    <t xml:space="preserve">DL3466</t>
  </si>
  <si>
    <t xml:space="preserve">DL3467</t>
  </si>
  <si>
    <t xml:space="preserve">DL3468</t>
  </si>
  <si>
    <t xml:space="preserve">DL3469</t>
  </si>
  <si>
    <t xml:space="preserve">DL3470</t>
  </si>
  <si>
    <t xml:space="preserve">DL3471</t>
  </si>
  <si>
    <t xml:space="preserve">DL3472</t>
  </si>
  <si>
    <t xml:space="preserve">DL3473</t>
  </si>
  <si>
    <t xml:space="preserve">DL3474</t>
  </si>
  <si>
    <t xml:space="preserve">DL3475</t>
  </si>
  <si>
    <t xml:space="preserve">DL3476</t>
  </si>
  <si>
    <t xml:space="preserve">DL3477</t>
  </si>
  <si>
    <t xml:space="preserve">DL3478</t>
  </si>
  <si>
    <t xml:space="preserve">DL3479</t>
  </si>
  <si>
    <t xml:space="preserve">DL3480</t>
  </si>
  <si>
    <t xml:space="preserve">DL3481</t>
  </si>
  <si>
    <t xml:space="preserve">DL3482</t>
  </si>
  <si>
    <t xml:space="preserve">DL3483</t>
  </si>
  <si>
    <t xml:space="preserve">DL3484</t>
  </si>
  <si>
    <t xml:space="preserve">DL3485</t>
  </si>
  <si>
    <t xml:space="preserve">DL3486</t>
  </si>
  <si>
    <t xml:space="preserve">DL3487</t>
  </si>
  <si>
    <t xml:space="preserve">DL3488</t>
  </si>
  <si>
    <t xml:space="preserve">DL3489</t>
  </si>
  <si>
    <t xml:space="preserve">DL3490</t>
  </si>
  <si>
    <t xml:space="preserve">DL3491</t>
  </si>
  <si>
    <t xml:space="preserve">DL3492</t>
  </si>
  <si>
    <t xml:space="preserve">DL3493</t>
  </si>
  <si>
    <t xml:space="preserve">DL3494</t>
  </si>
  <si>
    <t xml:space="preserve">DL3495</t>
  </si>
  <si>
    <t xml:space="preserve">DL3496</t>
  </si>
  <si>
    <t xml:space="preserve">DL3497</t>
  </si>
  <si>
    <t xml:space="preserve">DL3498</t>
  </si>
  <si>
    <t xml:space="preserve">DL3499</t>
  </si>
  <si>
    <t xml:space="preserve">DL3500</t>
  </si>
</sst>
</file>

<file path=xl/styles.xml><?xml version="1.0" encoding="utf-8"?>
<styleSheet xmlns="http://schemas.openxmlformats.org/spreadsheetml/2006/main">
  <numFmts count="9">
    <numFmt numFmtId="164" formatCode="General"/>
    <numFmt numFmtId="165" formatCode="#,##0"/>
    <numFmt numFmtId="166" formatCode="0.0%"/>
    <numFmt numFmtId="167" formatCode="@"/>
    <numFmt numFmtId="168" formatCode="#,##0.00"/>
    <numFmt numFmtId="169" formatCode="0.00%"/>
    <numFmt numFmtId="170" formatCode="0.0"/>
    <numFmt numFmtId="171" formatCode="0"/>
    <numFmt numFmtId="172" formatCode="dd\-mmm\-yyyy"/>
  </numFmts>
  <fonts count="15">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0"/>
      <name val="Arial"/>
      <family val="0"/>
      <charset val="1"/>
    </font>
    <font>
      <sz val="10"/>
      <name val="Arial"/>
      <family val="0"/>
      <charset val="1"/>
    </font>
    <font>
      <i val="true"/>
      <sz val="10"/>
      <color rgb="FF595959"/>
      <name val="Arial"/>
      <family val="0"/>
      <charset val="1"/>
    </font>
    <font>
      <b val="true"/>
      <sz val="12"/>
      <name val="Arial"/>
      <family val="0"/>
      <charset val="1"/>
    </font>
    <font>
      <sz val="11"/>
      <name val="Arial"/>
      <family val="0"/>
      <charset val="1"/>
    </font>
    <font>
      <b val="true"/>
      <sz val="10"/>
      <color rgb="FFFFFFFF"/>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4"/>
      <name val="Arial"/>
      <family val="0"/>
      <charset val="1"/>
    </font>
  </fonts>
  <fills count="6">
    <fill>
      <patternFill patternType="none"/>
    </fill>
    <fill>
      <patternFill patternType="gray125"/>
    </fill>
    <fill>
      <patternFill patternType="solid">
        <fgColor rgb="FFF2F2F2"/>
        <bgColor rgb="FFFFFFFF"/>
      </patternFill>
    </fill>
    <fill>
      <patternFill patternType="solid">
        <fgColor rgb="FF1F3864"/>
        <bgColor rgb="FF333333"/>
      </patternFill>
    </fill>
    <fill>
      <patternFill patternType="solid">
        <fgColor rgb="FFFFF2CC"/>
        <bgColor rgb="FFF2F2F2"/>
      </patternFill>
    </fill>
    <fill>
      <patternFill patternType="solid">
        <fgColor rgb="FF2E7D32"/>
        <bgColor rgb="FF0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true" applyProtection="false">
      <alignment horizontal="right" vertical="bottom" textRotation="0" wrapText="false" indent="0" shrinkToFit="false"/>
      <protection locked="true" hidden="false"/>
    </xf>
    <xf numFmtId="166" fontId="9" fillId="2" borderId="0" xfId="0" applyFont="true" applyBorder="false" applyAlignment="true" applyProtection="false">
      <alignment horizontal="right" vertical="bottom" textRotation="0" wrapText="false" indent="0" shrinkToFit="false"/>
      <protection locked="true" hidden="false"/>
    </xf>
    <xf numFmtId="167" fontId="9" fillId="2" borderId="0" xfId="0" applyFont="true" applyBorder="false" applyAlignment="true" applyProtection="false">
      <alignment horizontal="right" vertical="bottom" textRotation="0" wrapText="false" indent="0" shrinkToFit="false"/>
      <protection locked="true" hidden="false"/>
    </xf>
    <xf numFmtId="168" fontId="9" fillId="2" borderId="0" xfId="0" applyFont="true" applyBorder="false" applyAlignment="true" applyProtection="false">
      <alignment horizontal="right" vertical="bottom" textRotation="0" wrapText="false" indent="0" shrinkToFit="false"/>
      <protection locked="true" hidden="false"/>
    </xf>
    <xf numFmtId="169" fontId="9" fillId="2" borderId="0" xfId="0" applyFont="true" applyBorder="false" applyAlignment="true" applyProtection="false">
      <alignment horizontal="right" vertical="bottom" textRotation="0" wrapText="false" indent="0" shrinkToFit="false"/>
      <protection locked="true" hidden="false"/>
    </xf>
    <xf numFmtId="170" fontId="9" fillId="2" borderId="0" xfId="0" applyFont="true" applyBorder="false" applyAlignment="true" applyProtection="false">
      <alignment horizontal="right"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71" fontId="11" fillId="4"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6" fontId="11" fillId="4"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4" fontId="10" fillId="5" borderId="0" xfId="0" applyFont="true" applyBorder="false" applyAlignment="true" applyProtection="false">
      <alignment horizontal="general" vertical="center" textRotation="0" wrapText="tru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2E7D3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4F81BD"/>
      <rgbColor rgb="FF1F3864"/>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OTIF % by supplier</a:t>
            </a:r>
          </a:p>
        </c:rich>
      </c:tx>
      <c:overlay val="0"/>
      <c:spPr>
        <a:noFill/>
        <a:ln w="0">
          <a:noFill/>
        </a:ln>
      </c:spPr>
    </c:title>
    <c:autoTitleDeleted val="0"/>
    <c:plotArea>
      <c:barChart>
        <c:barDir val="col"/>
        <c:grouping val="clustered"/>
        <c:varyColors val="0"/>
        <c:ser>
          <c:idx val="0"/>
          <c:order val="0"/>
          <c:tx>
            <c:strRef>
              <c:f>Dashboard!E22</c:f>
              <c:strCache>
                <c:ptCount val="1"/>
                <c:pt idx="0">
                  <c:v>OTIF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Dashboard!$A$23:$A$28</c:f>
              <c:strCache>
                <c:ptCount val="6"/>
                <c:pt idx="0">
                  <c:v>Rift Agro Supplies</c:v>
                </c:pt>
                <c:pt idx="1">
                  <c:v>Savanna Packaging</c:v>
                </c:pt>
                <c:pt idx="2">
                  <c:v>Lakeside Hardware</c:v>
                </c:pt>
                <c:pt idx="3">
                  <c:v>Coastal Freight Goods</c:v>
                </c:pt>
                <c:pt idx="4">
                  <c:v>Highland Foods Ltd</c:v>
                </c:pt>
                <c:pt idx="5">
                  <c:v>Unity Stationers</c:v>
                </c:pt>
              </c:strCache>
            </c:strRef>
          </c:cat>
          <c:val>
            <c:numRef>
              <c:f>Dashboard!$E$23:$E$28</c:f>
              <c:numCache>
                <c:formatCode>0.0%</c:formatCode>
                <c:ptCount val="6"/>
                <c:pt idx="0">
                  <c:v>0.897058823529412</c:v>
                </c:pt>
                <c:pt idx="1">
                  <c:v>0.811111111111111</c:v>
                </c:pt>
                <c:pt idx="2">
                  <c:v>0.448275862068966</c:v>
                </c:pt>
                <c:pt idx="3">
                  <c:v>0.659090909090909</c:v>
                </c:pt>
                <c:pt idx="4">
                  <c:v>0.97752808988764</c:v>
                </c:pt>
                <c:pt idx="5">
                  <c:v>0.730769230769231</c:v>
                </c:pt>
              </c:numCache>
            </c:numRef>
          </c:val>
        </c:ser>
        <c:gapWidth val="150"/>
        <c:overlap val="0"/>
        <c:axId val="29198026"/>
        <c:axId val="17621447"/>
      </c:barChart>
      <c:catAx>
        <c:axId val="291980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621447"/>
        <c:crosses val="autoZero"/>
        <c:auto val="1"/>
        <c:lblAlgn val="ctr"/>
        <c:lblOffset val="100"/>
        <c:noMultiLvlLbl val="0"/>
      </c:catAx>
      <c:valAx>
        <c:axId val="176214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1980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OTIF % by region</a:t>
            </a:r>
          </a:p>
        </c:rich>
      </c:tx>
      <c:overlay val="0"/>
      <c:spPr>
        <a:noFill/>
        <a:ln w="0">
          <a:noFill/>
        </a:ln>
      </c:spPr>
    </c:title>
    <c:autoTitleDeleted val="0"/>
    <c:plotArea>
      <c:barChart>
        <c:barDir val="col"/>
        <c:grouping val="clustered"/>
        <c:varyColors val="0"/>
        <c:ser>
          <c:idx val="0"/>
          <c:order val="0"/>
          <c:tx>
            <c:strRef>
              <c:f>Dashboard!E32</c:f>
              <c:strCache>
                <c:ptCount val="1"/>
                <c:pt idx="0">
                  <c:v>OTIF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Dashboard!$A$33:$A$38</c:f>
              <c:strCache>
                <c:ptCount val="6"/>
                <c:pt idx="0">
                  <c:v>Nairobi</c:v>
                </c:pt>
                <c:pt idx="1">
                  <c:v>Mombasa</c:v>
                </c:pt>
                <c:pt idx="2">
                  <c:v>Kisumu</c:v>
                </c:pt>
                <c:pt idx="3">
                  <c:v>Nakuru</c:v>
                </c:pt>
                <c:pt idx="4">
                  <c:v>Eldoret</c:v>
                </c:pt>
                <c:pt idx="5">
                  <c:v>Bomet</c:v>
                </c:pt>
              </c:strCache>
            </c:strRef>
          </c:cat>
          <c:val>
            <c:numRef>
              <c:f>Dashboard!$E$33:$E$38</c:f>
              <c:numCache>
                <c:formatCode>0.0%</c:formatCode>
                <c:ptCount val="6"/>
                <c:pt idx="0">
                  <c:v>0.760869565217391</c:v>
                </c:pt>
                <c:pt idx="1">
                  <c:v>0.71830985915493</c:v>
                </c:pt>
                <c:pt idx="2">
                  <c:v>0.735294117647059</c:v>
                </c:pt>
                <c:pt idx="3">
                  <c:v>0.828947368421053</c:v>
                </c:pt>
                <c:pt idx="4">
                  <c:v>0.788888888888889</c:v>
                </c:pt>
                <c:pt idx="5">
                  <c:v>0.614035087719298</c:v>
                </c:pt>
              </c:numCache>
            </c:numRef>
          </c:val>
        </c:ser>
        <c:gapWidth val="150"/>
        <c:overlap val="0"/>
        <c:axId val="55207782"/>
        <c:axId val="31517533"/>
      </c:barChart>
      <c:catAx>
        <c:axId val="552077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517533"/>
        <c:crosses val="autoZero"/>
        <c:auto val="1"/>
        <c:lblAlgn val="ctr"/>
        <c:lblOffset val="100"/>
        <c:noMultiLvlLbl val="0"/>
      </c:catAx>
      <c:valAx>
        <c:axId val="3151753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20778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OTIF %</a:t>
            </a:r>
          </a:p>
        </c:rich>
      </c:tx>
      <c:overlay val="0"/>
      <c:spPr>
        <a:noFill/>
        <a:ln w="0">
          <a:noFill/>
        </a:ln>
      </c:spPr>
    </c:title>
    <c:autoTitleDeleted val="0"/>
    <c:plotArea>
      <c:lineChart>
        <c:grouping val="standard"/>
        <c:varyColors val="0"/>
        <c:ser>
          <c:idx val="0"/>
          <c:order val="0"/>
          <c:tx>
            <c:strRef>
              <c:f>Dashboard!D42</c:f>
              <c:strCache>
                <c:ptCount val="1"/>
                <c:pt idx="0">
                  <c:v>OTIF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Dashboard!$A$43:$A$51</c:f>
              <c:strCache>
                <c:ptCount val="9"/>
                <c:pt idx="0">
                  <c:v>Jan</c:v>
                </c:pt>
                <c:pt idx="1">
                  <c:v>Feb</c:v>
                </c:pt>
                <c:pt idx="2">
                  <c:v>Mar</c:v>
                </c:pt>
                <c:pt idx="3">
                  <c:v>Apr</c:v>
                </c:pt>
                <c:pt idx="4">
                  <c:v>May</c:v>
                </c:pt>
                <c:pt idx="5">
                  <c:v>Jun</c:v>
                </c:pt>
                <c:pt idx="6">
                  <c:v>Jul</c:v>
                </c:pt>
                <c:pt idx="7">
                  <c:v>Aug</c:v>
                </c:pt>
                <c:pt idx="8">
                  <c:v>Sep</c:v>
                </c:pt>
              </c:strCache>
            </c:strRef>
          </c:cat>
          <c:val>
            <c:numRef>
              <c:f>Dashboard!$D$43:$D$51</c:f>
              <c:numCache>
                <c:formatCode>0.0%</c:formatCode>
                <c:ptCount val="9"/>
                <c:pt idx="0">
                  <c:v>0.727272727272727</c:v>
                </c:pt>
                <c:pt idx="1">
                  <c:v>0.795918367346939</c:v>
                </c:pt>
                <c:pt idx="2">
                  <c:v>0.76</c:v>
                </c:pt>
                <c:pt idx="3">
                  <c:v>0.763636363636364</c:v>
                </c:pt>
                <c:pt idx="4">
                  <c:v>0.728571428571429</c:v>
                </c:pt>
                <c:pt idx="5">
                  <c:v>0.770491803278689</c:v>
                </c:pt>
                <c:pt idx="6">
                  <c:v>0.666666666666667</c:v>
                </c:pt>
                <c:pt idx="7">
                  <c:v>0.816326530612245</c:v>
                </c:pt>
                <c:pt idx="8">
                  <c:v>0.741935483870968</c:v>
                </c:pt>
              </c:numCache>
            </c:numRef>
          </c:val>
          <c:smooth val="1"/>
        </c:ser>
        <c:hiLowLines>
          <c:spPr>
            <a:ln w="0">
              <a:noFill/>
            </a:ln>
          </c:spPr>
        </c:hiLowLines>
        <c:marker val="0"/>
        <c:axId val="68596711"/>
        <c:axId val="4807825"/>
      </c:lineChart>
      <c:catAx>
        <c:axId val="685967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07825"/>
        <c:crosses val="autoZero"/>
        <c:auto val="1"/>
        <c:lblAlgn val="ctr"/>
        <c:lblOffset val="100"/>
        <c:noMultiLvlLbl val="0"/>
      </c:catAx>
      <c:valAx>
        <c:axId val="480782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5967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131040</xdr:rowOff>
    </xdr:from>
    <xdr:to>
      <xdr:col>20</xdr:col>
      <xdr:colOff>507600</xdr:colOff>
      <xdr:row>16</xdr:row>
      <xdr:rowOff>163800</xdr:rowOff>
    </xdr:to>
    <xdr:graphicFrame>
      <xdr:nvGraphicFramePr>
        <xdr:cNvPr id="0" name="Chart 1"/>
        <xdr:cNvGraphicFramePr/>
      </xdr:nvGraphicFramePr>
      <xdr:xfrm>
        <a:off x="13910400" y="57168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18</xdr:row>
      <xdr:rowOff>130680</xdr:rowOff>
    </xdr:from>
    <xdr:to>
      <xdr:col>20</xdr:col>
      <xdr:colOff>507600</xdr:colOff>
      <xdr:row>31</xdr:row>
      <xdr:rowOff>163440</xdr:rowOff>
    </xdr:to>
    <xdr:graphicFrame>
      <xdr:nvGraphicFramePr>
        <xdr:cNvPr id="1" name="Chart 2"/>
        <xdr:cNvGraphicFramePr/>
      </xdr:nvGraphicFramePr>
      <xdr:xfrm>
        <a:off x="13910400" y="361944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34</xdr:row>
      <xdr:rowOff>130680</xdr:rowOff>
    </xdr:from>
    <xdr:to>
      <xdr:col>20</xdr:col>
      <xdr:colOff>507600</xdr:colOff>
      <xdr:row>48</xdr:row>
      <xdr:rowOff>163440</xdr:rowOff>
    </xdr:to>
    <xdr:graphicFrame>
      <xdr:nvGraphicFramePr>
        <xdr:cNvPr id="2" name="Chart 3"/>
        <xdr:cNvGraphicFramePr/>
      </xdr:nvGraphicFramePr>
      <xdr:xfrm>
        <a:off x="13910400" y="7048440"/>
        <a:ext cx="539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9.7" hidden="false" customHeight="false" outlineLevel="0" collapsed="false">
      <c r="A1" s="1" t="s">
        <v>0</v>
      </c>
    </row>
    <row r="3" customFormat="false" ht="23.85" hidden="false" customHeight="false" outlineLevel="0" collapsed="false">
      <c r="A3" s="2" t="s">
        <v>1</v>
      </c>
      <c r="B3" s="3" t="s">
        <v>2</v>
      </c>
    </row>
    <row r="5" customFormat="false" ht="15" hidden="false" customHeight="false" outlineLevel="0" collapsed="false">
      <c r="A5" s="2" t="s">
        <v>3</v>
      </c>
      <c r="B5" s="3" t="s">
        <v>4</v>
      </c>
    </row>
    <row r="6" customFormat="false" ht="23.85" hidden="false" customHeight="false" outlineLevel="0" collapsed="false">
      <c r="B6" s="3" t="s">
        <v>5</v>
      </c>
    </row>
    <row r="7" customFormat="false" ht="15" hidden="false" customHeight="false" outlineLevel="0" collapsed="false">
      <c r="B7" s="3" t="s">
        <v>6</v>
      </c>
    </row>
    <row r="9" customFormat="false" ht="15" hidden="false" customHeight="false" outlineLevel="0" collapsed="false">
      <c r="A9" s="2" t="s">
        <v>7</v>
      </c>
      <c r="B9" s="3" t="s">
        <v>8</v>
      </c>
    </row>
    <row r="10" customFormat="false" ht="15" hidden="false" customHeight="false" outlineLevel="0" collapsed="false">
      <c r="B10" s="3" t="s">
        <v>9</v>
      </c>
    </row>
    <row r="11" customFormat="false" ht="15" hidden="false" customHeight="false" outlineLevel="0" collapsed="false">
      <c r="B11" s="3" t="s">
        <v>10</v>
      </c>
    </row>
    <row r="13" customFormat="false" ht="15" hidden="false" customHeight="false" outlineLevel="0" collapsed="false">
      <c r="A13" s="2" t="s">
        <v>11</v>
      </c>
      <c r="B13" s="3" t="s">
        <v>12</v>
      </c>
    </row>
    <row r="15" customFormat="false" ht="15" hidden="false" customHeight="false" outlineLevel="0" collapsed="false">
      <c r="A15" s="2" t="s">
        <v>13</v>
      </c>
      <c r="B15" s="3" t="s">
        <v>14</v>
      </c>
    </row>
    <row r="16" customFormat="false" ht="15" hidden="false" customHeight="false" outlineLevel="0" collapsed="false">
      <c r="B16" s="3" t="s">
        <v>15</v>
      </c>
    </row>
    <row r="17" customFormat="false" ht="15" hidden="false" customHeight="false" outlineLevel="0" collapsed="false">
      <c r="B17" s="3" t="s">
        <v>16</v>
      </c>
    </row>
    <row r="18" customFormat="false" ht="15" hidden="false" customHeight="false" outlineLevel="0" collapsed="false">
      <c r="B18" s="3" t="s">
        <v>17</v>
      </c>
    </row>
    <row r="19" customFormat="false" ht="15" hidden="false" customHeight="false" outlineLevel="0" collapsed="false">
      <c r="B19"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10" min="3" style="0" width="16"/>
  </cols>
  <sheetData>
    <row r="1" customFormat="false" ht="19.7" hidden="false" customHeight="false" outlineLevel="0" collapsed="false">
      <c r="A1" s="1" t="s">
        <v>19</v>
      </c>
    </row>
    <row r="2" customFormat="false" ht="15" hidden="false" customHeight="false" outlineLevel="0" collapsed="false">
      <c r="A2" s="4" t="s">
        <v>20</v>
      </c>
    </row>
    <row r="4" customFormat="false" ht="15" hidden="false" customHeight="false" outlineLevel="0" collapsed="false">
      <c r="A4" s="5" t="s">
        <v>21</v>
      </c>
    </row>
    <row r="5" customFormat="false" ht="15" hidden="false" customHeight="false" outlineLevel="0" collapsed="false">
      <c r="A5" s="2" t="s">
        <v>22</v>
      </c>
      <c r="B5" s="6" t="n">
        <f aca="false">COUNTA(Deliveries!$A$2:$A$501)</f>
        <v>500</v>
      </c>
    </row>
    <row r="6" customFormat="false" ht="15" hidden="false" customHeight="false" outlineLevel="0" collapsed="false">
      <c r="A6" s="2" t="s">
        <v>23</v>
      </c>
      <c r="B6" s="7" t="n">
        <f aca="false">SUM(Deliveries!$O$2:$O$501)/COUNTA(Deliveries!$A$2:$A$501)</f>
        <v>0.75</v>
      </c>
    </row>
    <row r="7" customFormat="false" ht="15" hidden="false" customHeight="false" outlineLevel="0" collapsed="false">
      <c r="A7" s="2" t="s">
        <v>24</v>
      </c>
      <c r="B7" s="7" t="n">
        <f aca="false">SUM(Deliveries!$M$2:$M$501)/COUNTA(Deliveries!$A$2:$A$501)</f>
        <v>0.854</v>
      </c>
    </row>
    <row r="8" customFormat="false" ht="15" hidden="false" customHeight="false" outlineLevel="0" collapsed="false">
      <c r="A8" s="2" t="s">
        <v>25</v>
      </c>
      <c r="B8" s="7" t="n">
        <f aca="false">SUM(Deliveries!$N$2:$N$501)/COUNTA(Deliveries!$A$2:$A$501)</f>
        <v>0.87</v>
      </c>
    </row>
    <row r="9" customFormat="false" ht="15" hidden="false" customHeight="false" outlineLevel="0" collapsed="false">
      <c r="A9" s="2" t="s">
        <v>26</v>
      </c>
      <c r="B9" s="8" t="str">
        <f aca="false">IF(B6&gt;=Assumptions!$B$7,"On target","Below target")</f>
        <v>Below target</v>
      </c>
    </row>
    <row r="10" customFormat="false" ht="15" hidden="false" customHeight="false" outlineLevel="0" collapsed="false">
      <c r="A10" s="2" t="s">
        <v>27</v>
      </c>
      <c r="B10" s="9" t="n">
        <f aca="false">AVERAGE(Deliveries!$L$2:$L$501)</f>
        <v>0.45</v>
      </c>
    </row>
    <row r="11" customFormat="false" ht="15" hidden="false" customHeight="false" outlineLevel="0" collapsed="false">
      <c r="A11" s="2" t="s">
        <v>28</v>
      </c>
      <c r="B11" s="6" t="n">
        <f aca="false">SUM(Deliveries!$J$2:$J$501)</f>
        <v>10722578</v>
      </c>
    </row>
    <row r="12" customFormat="false" ht="15" hidden="false" customHeight="false" outlineLevel="0" collapsed="false">
      <c r="A12" s="2" t="s">
        <v>29</v>
      </c>
      <c r="B12" s="6" t="n">
        <f aca="false">SUM(Deliveries!$P$2:$P$501)</f>
        <v>337500</v>
      </c>
    </row>
    <row r="13" customFormat="false" ht="15" hidden="false" customHeight="false" outlineLevel="0" collapsed="false">
      <c r="A13" s="2" t="s">
        <v>30</v>
      </c>
      <c r="B13" s="10" t="n">
        <f aca="false">SUM(Deliveries!$K$2:$K$501)/SUM(Deliveries!$H$2:$H$501)</f>
        <v>0.0202051717721533</v>
      </c>
    </row>
    <row r="14" customFormat="false" ht="15" hidden="false" customHeight="false" outlineLevel="0" collapsed="false">
      <c r="A14" s="2" t="s">
        <v>31</v>
      </c>
      <c r="B14" s="11" t="n">
        <f aca="false">SUM(Deliveries!$J$2:$J$501)/SUM(Deliveries!$I$2:$I$501)</f>
        <v>95.2432293193345</v>
      </c>
    </row>
    <row r="16" customFormat="false" ht="15" hidden="false" customHeight="false" outlineLevel="0" collapsed="false">
      <c r="A16" s="5" t="s">
        <v>32</v>
      </c>
    </row>
    <row r="17" customFormat="false" ht="15" hidden="false" customHeight="false" outlineLevel="0" collapsed="false">
      <c r="A17" s="2" t="s">
        <v>33</v>
      </c>
      <c r="B17" s="12" t="str">
        <f aca="false">INDEX(A23:A28,MATCH(MAX(E23:E28),E23:E28,0))</f>
        <v>Highland Foods Ltd</v>
      </c>
    </row>
    <row r="18" customFormat="false" ht="15" hidden="false" customHeight="false" outlineLevel="0" collapsed="false">
      <c r="A18" s="2" t="s">
        <v>34</v>
      </c>
      <c r="B18" s="12" t="str">
        <f aca="false">INDEX(A23:A28,MATCH(MIN(E23:E28),E23:E28,0))</f>
        <v>Lakeside Hardware</v>
      </c>
    </row>
    <row r="19" customFormat="false" ht="15" hidden="false" customHeight="false" outlineLevel="0" collapsed="false">
      <c r="A19" s="2" t="s">
        <v>35</v>
      </c>
      <c r="B19" s="12" t="str">
        <f aca="false">INDEX(A33:A38,MATCH(MIN(E33:E38),E33:E38,0))</f>
        <v>Bomet</v>
      </c>
    </row>
    <row r="20" customFormat="false" ht="15" hidden="false" customHeight="false" outlineLevel="0" collapsed="false">
      <c r="A20" s="2" t="s">
        <v>36</v>
      </c>
      <c r="B20" s="12" t="n">
        <f aca="false">COUNTIF(J23:J28,"C")</f>
        <v>3</v>
      </c>
    </row>
    <row r="21" customFormat="false" ht="15" hidden="false" customHeight="false" outlineLevel="0" collapsed="false">
      <c r="A21" s="5" t="s">
        <v>37</v>
      </c>
    </row>
    <row r="22" customFormat="false" ht="30" hidden="false" customHeight="true" outlineLevel="0" collapsed="false">
      <c r="A22" s="13" t="s">
        <v>38</v>
      </c>
      <c r="B22" s="13" t="s">
        <v>22</v>
      </c>
      <c r="C22" s="13" t="s">
        <v>24</v>
      </c>
      <c r="D22" s="13" t="s">
        <v>25</v>
      </c>
      <c r="E22" s="13" t="s">
        <v>23</v>
      </c>
      <c r="F22" s="13" t="s">
        <v>39</v>
      </c>
      <c r="G22" s="13" t="s">
        <v>40</v>
      </c>
      <c r="H22" s="13" t="s">
        <v>41</v>
      </c>
      <c r="I22" s="13" t="s">
        <v>42</v>
      </c>
      <c r="J22" s="13" t="s">
        <v>43</v>
      </c>
      <c r="K22" s="13" t="s">
        <v>44</v>
      </c>
    </row>
    <row r="23" customFormat="false" ht="15" hidden="false" customHeight="false" outlineLevel="0" collapsed="false">
      <c r="A23" s="14" t="s">
        <v>45</v>
      </c>
      <c r="B23" s="15" t="n">
        <f aca="false">COUNTIFS(Deliveries!$B$2:$B$501,$A23)</f>
        <v>68</v>
      </c>
      <c r="C23" s="16" t="n">
        <f aca="false">IF(B23=0,0,SUMIFS(Deliveries!$M$2:$M$501,Deliveries!$B$2:$B$501,$A23)/B23)</f>
        <v>0.955882352941177</v>
      </c>
      <c r="D23" s="16" t="n">
        <f aca="false">IF(B23=0,0,SUMIFS(Deliveries!$N$2:$N$501,Deliveries!$B$2:$B$501,$A23)/B23)</f>
        <v>0.941176470588235</v>
      </c>
      <c r="E23" s="16" t="n">
        <f aca="false">IF(B23=0,0,SUMIFS(Deliveries!$O$2:$O$501,Deliveries!$B$2:$B$501,$A23)/B23)</f>
        <v>0.897058823529412</v>
      </c>
      <c r="F23" s="17" t="n">
        <f aca="false">IF(B23=0,0,SUMIFS(Deliveries!$L$2:$L$501,Deliveries!$B$2:$B$501,$A23)/B23)</f>
        <v>0.147058823529412</v>
      </c>
      <c r="G23" s="18" t="n">
        <f aca="false">IFERROR(SUMIFS(Deliveries!$K$2:$K$501,Deliveries!$B$2:$B$501,$A23)/SUMIFS(Deliveries!$H$2:$H$501,Deliveries!$B$2:$B$501,$A23),0)</f>
        <v>0.00956884561891516</v>
      </c>
      <c r="H23" s="15" t="n">
        <f aca="false">SUMIFS(Deliveries!$J$2:$J$501,Deliveries!$B$2:$B$501,$A23)</f>
        <v>1331271</v>
      </c>
      <c r="I23" s="15" t="n">
        <f aca="false">SUMIFS(Deliveries!$P$2:$P$501,Deliveries!$B$2:$B$501,$A23)</f>
        <v>15000</v>
      </c>
      <c r="J23" s="19" t="str">
        <f aca="false">IF(E23&gt;=Assumptions!$B$7,"A",IF(E23&gt;=Assumptions!$B$8,"B","C"))</f>
        <v>B</v>
      </c>
      <c r="K23" s="19" t="str">
        <f aca="false">IF(G23&gt;Assumptions!$B$9,"Above tolerance","OK")</f>
        <v>OK</v>
      </c>
    </row>
    <row r="24" customFormat="false" ht="15" hidden="false" customHeight="false" outlineLevel="0" collapsed="false">
      <c r="A24" s="14" t="s">
        <v>46</v>
      </c>
      <c r="B24" s="15" t="n">
        <f aca="false">COUNTIFS(Deliveries!$B$2:$B$501,$A24)</f>
        <v>90</v>
      </c>
      <c r="C24" s="16" t="n">
        <f aca="false">IF(B24=0,0,SUMIFS(Deliveries!$M$2:$M$501,Deliveries!$B$2:$B$501,$A24)/B24)</f>
        <v>0.866666666666667</v>
      </c>
      <c r="D24" s="16" t="n">
        <f aca="false">IF(B24=0,0,SUMIFS(Deliveries!$N$2:$N$501,Deliveries!$B$2:$B$501,$A24)/B24)</f>
        <v>0.933333333333333</v>
      </c>
      <c r="E24" s="16" t="n">
        <f aca="false">IF(B24=0,0,SUMIFS(Deliveries!$O$2:$O$501,Deliveries!$B$2:$B$501,$A24)/B24)</f>
        <v>0.811111111111111</v>
      </c>
      <c r="F24" s="17" t="n">
        <f aca="false">IF(B24=0,0,SUMIFS(Deliveries!$L$2:$L$501,Deliveries!$B$2:$B$501,$A24)/B24)</f>
        <v>0.4</v>
      </c>
      <c r="G24" s="18" t="n">
        <f aca="false">IFERROR(SUMIFS(Deliveries!$K$2:$K$501,Deliveries!$B$2:$B$501,$A24)/SUMIFS(Deliveries!$H$2:$H$501,Deliveries!$B$2:$B$501,$A24),0)</f>
        <v>0.018078424715668</v>
      </c>
      <c r="H24" s="15" t="n">
        <f aca="false">SUMIFS(Deliveries!$J$2:$J$501,Deliveries!$B$2:$B$501,$A24)</f>
        <v>1993450</v>
      </c>
      <c r="I24" s="15" t="n">
        <f aca="false">SUMIFS(Deliveries!$P$2:$P$501,Deliveries!$B$2:$B$501,$A24)</f>
        <v>54000</v>
      </c>
      <c r="J24" s="19" t="str">
        <f aca="false">IF(E24&gt;=Assumptions!$B$7,"A",IF(E24&gt;=Assumptions!$B$8,"B","C"))</f>
        <v>B</v>
      </c>
      <c r="K24" s="19" t="str">
        <f aca="false">IF(G24&gt;Assumptions!$B$9,"Above tolerance","OK")</f>
        <v>OK</v>
      </c>
    </row>
    <row r="25" customFormat="false" ht="15" hidden="false" customHeight="false" outlineLevel="0" collapsed="false">
      <c r="A25" s="14" t="s">
        <v>47</v>
      </c>
      <c r="B25" s="15" t="n">
        <f aca="false">COUNTIFS(Deliveries!$B$2:$B$501,$A25)</f>
        <v>87</v>
      </c>
      <c r="C25" s="16" t="n">
        <f aca="false">IF(B25=0,0,SUMIFS(Deliveries!$M$2:$M$501,Deliveries!$B$2:$B$501,$A25)/B25)</f>
        <v>0.67816091954023</v>
      </c>
      <c r="D25" s="16" t="n">
        <f aca="false">IF(B25=0,0,SUMIFS(Deliveries!$N$2:$N$501,Deliveries!$B$2:$B$501,$A25)/B25)</f>
        <v>0.689655172413793</v>
      </c>
      <c r="E25" s="16" t="n">
        <f aca="false">IF(B25=0,0,SUMIFS(Deliveries!$O$2:$O$501,Deliveries!$B$2:$B$501,$A25)/B25)</f>
        <v>0.448275862068966</v>
      </c>
      <c r="F25" s="17" t="n">
        <f aca="false">IF(B25=0,0,SUMIFS(Deliveries!$L$2:$L$501,Deliveries!$B$2:$B$501,$A25)/B25)</f>
        <v>1.08045977011494</v>
      </c>
      <c r="G25" s="18" t="n">
        <f aca="false">IFERROR(SUMIFS(Deliveries!$K$2:$K$501,Deliveries!$B$2:$B$501,$A25)/SUMIFS(Deliveries!$H$2:$H$501,Deliveries!$B$2:$B$501,$A25),0)</f>
        <v>0.0368448365334717</v>
      </c>
      <c r="H25" s="15" t="n">
        <f aca="false">SUMIFS(Deliveries!$J$2:$J$501,Deliveries!$B$2:$B$501,$A25)</f>
        <v>2008153</v>
      </c>
      <c r="I25" s="15" t="n">
        <f aca="false">SUMIFS(Deliveries!$P$2:$P$501,Deliveries!$B$2:$B$501,$A25)</f>
        <v>141000</v>
      </c>
      <c r="J25" s="19" t="str">
        <f aca="false">IF(E25&gt;=Assumptions!$B$7,"A",IF(E25&gt;=Assumptions!$B$8,"B","C"))</f>
        <v>C</v>
      </c>
      <c r="K25" s="19" t="str">
        <f aca="false">IF(G25&gt;Assumptions!$B$9,"Above tolerance","OK")</f>
        <v>Above tolerance</v>
      </c>
    </row>
    <row r="26" customFormat="false" ht="15" hidden="false" customHeight="false" outlineLevel="0" collapsed="false">
      <c r="A26" s="14" t="s">
        <v>48</v>
      </c>
      <c r="B26" s="15" t="n">
        <f aca="false">COUNTIFS(Deliveries!$B$2:$B$501,$A26)</f>
        <v>88</v>
      </c>
      <c r="C26" s="16" t="n">
        <f aca="false">IF(B26=0,0,SUMIFS(Deliveries!$M$2:$M$501,Deliveries!$B$2:$B$501,$A26)/B26)</f>
        <v>0.852272727272727</v>
      </c>
      <c r="D26" s="16" t="n">
        <f aca="false">IF(B26=0,0,SUMIFS(Deliveries!$N$2:$N$501,Deliveries!$B$2:$B$501,$A26)/B26)</f>
        <v>0.784090909090909</v>
      </c>
      <c r="E26" s="16" t="n">
        <f aca="false">IF(B26=0,0,SUMIFS(Deliveries!$O$2:$O$501,Deliveries!$B$2:$B$501,$A26)/B26)</f>
        <v>0.659090909090909</v>
      </c>
      <c r="F26" s="17" t="n">
        <f aca="false">IF(B26=0,0,SUMIFS(Deliveries!$L$2:$L$501,Deliveries!$B$2:$B$501,$A26)/B26)</f>
        <v>0.488636363636364</v>
      </c>
      <c r="G26" s="18" t="n">
        <f aca="false">IFERROR(SUMIFS(Deliveries!$K$2:$K$501,Deliveries!$B$2:$B$501,$A26)/SUMIFS(Deliveries!$H$2:$H$501,Deliveries!$B$2:$B$501,$A26),0)</f>
        <v>0.0298706733355917</v>
      </c>
      <c r="H26" s="15" t="n">
        <f aca="false">SUMIFS(Deliveries!$J$2:$J$501,Deliveries!$B$2:$B$501,$A26)</f>
        <v>1993145</v>
      </c>
      <c r="I26" s="15" t="n">
        <f aca="false">SUMIFS(Deliveries!$P$2:$P$501,Deliveries!$B$2:$B$501,$A26)</f>
        <v>64500</v>
      </c>
      <c r="J26" s="19" t="str">
        <f aca="false">IF(E26&gt;=Assumptions!$B$7,"A",IF(E26&gt;=Assumptions!$B$8,"B","C"))</f>
        <v>C</v>
      </c>
      <c r="K26" s="19" t="str">
        <f aca="false">IF(G26&gt;Assumptions!$B$9,"Above tolerance","OK")</f>
        <v>Above tolerance</v>
      </c>
    </row>
    <row r="27" customFormat="false" ht="15" hidden="false" customHeight="false" outlineLevel="0" collapsed="false">
      <c r="A27" s="14" t="s">
        <v>49</v>
      </c>
      <c r="B27" s="15" t="n">
        <f aca="false">COUNTIFS(Deliveries!$B$2:$B$501,$A27)</f>
        <v>89</v>
      </c>
      <c r="C27" s="16" t="n">
        <f aca="false">IF(B27=0,0,SUMIFS(Deliveries!$M$2:$M$501,Deliveries!$B$2:$B$501,$A27)/B27)</f>
        <v>0.97752808988764</v>
      </c>
      <c r="D27" s="16" t="n">
        <f aca="false">IF(B27=0,0,SUMIFS(Deliveries!$N$2:$N$501,Deliveries!$B$2:$B$501,$A27)/B27)</f>
        <v>1</v>
      </c>
      <c r="E27" s="16" t="n">
        <f aca="false">IF(B27=0,0,SUMIFS(Deliveries!$O$2:$O$501,Deliveries!$B$2:$B$501,$A27)/B27)</f>
        <v>0.97752808988764</v>
      </c>
      <c r="F27" s="17" t="n">
        <f aca="false">IF(B27=0,0,SUMIFS(Deliveries!$L$2:$L$501,Deliveries!$B$2:$B$501,$A27)/B27)</f>
        <v>0.0224719101123596</v>
      </c>
      <c r="G27" s="18" t="n">
        <f aca="false">IFERROR(SUMIFS(Deliveries!$K$2:$K$501,Deliveries!$B$2:$B$501,$A27)/SUMIFS(Deliveries!$H$2:$H$501,Deliveries!$B$2:$B$501,$A27),0)</f>
        <v>0.0069674067076051</v>
      </c>
      <c r="H27" s="15" t="n">
        <f aca="false">SUMIFS(Deliveries!$J$2:$J$501,Deliveries!$B$2:$B$501,$A27)</f>
        <v>1883031</v>
      </c>
      <c r="I27" s="15" t="n">
        <f aca="false">SUMIFS(Deliveries!$P$2:$P$501,Deliveries!$B$2:$B$501,$A27)</f>
        <v>3000</v>
      </c>
      <c r="J27" s="19" t="str">
        <f aca="false">IF(E27&gt;=Assumptions!$B$7,"A",IF(E27&gt;=Assumptions!$B$8,"B","C"))</f>
        <v>A</v>
      </c>
      <c r="K27" s="19" t="str">
        <f aca="false">IF(G27&gt;Assumptions!$B$9,"Above tolerance","OK")</f>
        <v>OK</v>
      </c>
    </row>
    <row r="28" customFormat="false" ht="15" hidden="false" customHeight="false" outlineLevel="0" collapsed="false">
      <c r="A28" s="14" t="s">
        <v>50</v>
      </c>
      <c r="B28" s="15" t="n">
        <f aca="false">COUNTIFS(Deliveries!$B$2:$B$501,$A28)</f>
        <v>78</v>
      </c>
      <c r="C28" s="16" t="n">
        <f aca="false">IF(B28=0,0,SUMIFS(Deliveries!$M$2:$M$501,Deliveries!$B$2:$B$501,$A28)/B28)</f>
        <v>0.807692307692308</v>
      </c>
      <c r="D28" s="16" t="n">
        <f aca="false">IF(B28=0,0,SUMIFS(Deliveries!$N$2:$N$501,Deliveries!$B$2:$B$501,$A28)/B28)</f>
        <v>0.884615384615385</v>
      </c>
      <c r="E28" s="16" t="n">
        <f aca="false">IF(B28=0,0,SUMIFS(Deliveries!$O$2:$O$501,Deliveries!$B$2:$B$501,$A28)/B28)</f>
        <v>0.730769230769231</v>
      </c>
      <c r="F28" s="17" t="n">
        <f aca="false">IF(B28=0,0,SUMIFS(Deliveries!$L$2:$L$501,Deliveries!$B$2:$B$501,$A28)/B28)</f>
        <v>0.512820512820513</v>
      </c>
      <c r="G28" s="18" t="n">
        <f aca="false">IFERROR(SUMIFS(Deliveries!$K$2:$K$501,Deliveries!$B$2:$B$501,$A28)/SUMIFS(Deliveries!$H$2:$H$501,Deliveries!$B$2:$B$501,$A28),0)</f>
        <v>0.0133687186864428</v>
      </c>
      <c r="H28" s="15" t="n">
        <f aca="false">SUMIFS(Deliveries!$J$2:$J$501,Deliveries!$B$2:$B$501,$A28)</f>
        <v>1513528</v>
      </c>
      <c r="I28" s="15" t="n">
        <f aca="false">SUMIFS(Deliveries!$P$2:$P$501,Deliveries!$B$2:$B$501,$A28)</f>
        <v>60000</v>
      </c>
      <c r="J28" s="19" t="str">
        <f aca="false">IF(E28&gt;=Assumptions!$B$7,"A",IF(E28&gt;=Assumptions!$B$8,"B","C"))</f>
        <v>C</v>
      </c>
      <c r="K28" s="19" t="str">
        <f aca="false">IF(G28&gt;Assumptions!$B$9,"Above tolerance","OK")</f>
        <v>OK</v>
      </c>
    </row>
    <row r="31" customFormat="false" ht="15" hidden="false" customHeight="false" outlineLevel="0" collapsed="false">
      <c r="A31" s="5" t="s">
        <v>51</v>
      </c>
    </row>
    <row r="32" customFormat="false" ht="30" hidden="false" customHeight="true" outlineLevel="0" collapsed="false">
      <c r="A32" s="13" t="s">
        <v>52</v>
      </c>
      <c r="B32" s="13" t="s">
        <v>22</v>
      </c>
      <c r="C32" s="13" t="s">
        <v>24</v>
      </c>
      <c r="D32" s="13" t="s">
        <v>25</v>
      </c>
      <c r="E32" s="13" t="s">
        <v>23</v>
      </c>
      <c r="F32" s="13" t="s">
        <v>39</v>
      </c>
      <c r="G32" s="13" t="s">
        <v>40</v>
      </c>
      <c r="H32" s="13" t="s">
        <v>41</v>
      </c>
      <c r="I32" s="13" t="s">
        <v>42</v>
      </c>
    </row>
    <row r="33" customFormat="false" ht="15" hidden="false" customHeight="false" outlineLevel="0" collapsed="false">
      <c r="A33" s="14" t="s">
        <v>53</v>
      </c>
      <c r="B33" s="15" t="n">
        <f aca="false">COUNTIFS(Deliveries!$C$2:$C$501,$A33)</f>
        <v>138</v>
      </c>
      <c r="C33" s="16" t="n">
        <f aca="false">IF(B33=0,0,SUMIFS(Deliveries!$M$2:$M$501,Deliveries!$C$2:$C$501,$A33)/B33)</f>
        <v>0.855072463768116</v>
      </c>
      <c r="D33" s="16" t="n">
        <f aca="false">IF(B33=0,0,SUMIFS(Deliveries!$N$2:$N$501,Deliveries!$C$2:$C$501,$A33)/B33)</f>
        <v>0.869565217391304</v>
      </c>
      <c r="E33" s="16" t="n">
        <f aca="false">IF(B33=0,0,SUMIFS(Deliveries!$O$2:$O$501,Deliveries!$C$2:$C$501,$A33)/B33)</f>
        <v>0.760869565217391</v>
      </c>
      <c r="F33" s="17" t="n">
        <f aca="false">IF(B33=0,0,SUMIFS(Deliveries!$L$2:$L$501,Deliveries!$C$2:$C$501,$A33)/B33)</f>
        <v>0.384057971014493</v>
      </c>
      <c r="G33" s="18" t="n">
        <f aca="false">IFERROR(SUMIFS(Deliveries!$K$2:$K$501,Deliveries!$C$2:$C$501,$A33)/SUMIFS(Deliveries!$H$2:$H$501,Deliveries!$C$2:$C$501,$A33),0)</f>
        <v>0.0201728328382393</v>
      </c>
      <c r="H33" s="15" t="n">
        <f aca="false">SUMIFS(Deliveries!$J$2:$J$501,Deliveries!$C$2:$C$501,$A33)</f>
        <v>766297</v>
      </c>
      <c r="I33" s="15" t="n">
        <f aca="false">SUMIFS(Deliveries!$P$2:$P$501,Deliveries!$C$2:$C$501,$A33)</f>
        <v>79500</v>
      </c>
    </row>
    <row r="34" customFormat="false" ht="15" hidden="false" customHeight="false" outlineLevel="0" collapsed="false">
      <c r="A34" s="14" t="s">
        <v>54</v>
      </c>
      <c r="B34" s="15" t="n">
        <f aca="false">COUNTIFS(Deliveries!$C$2:$C$501,$A34)</f>
        <v>71</v>
      </c>
      <c r="C34" s="16" t="n">
        <f aca="false">IF(B34=0,0,SUMIFS(Deliveries!$M$2:$M$501,Deliveries!$C$2:$C$501,$A34)/B34)</f>
        <v>0.859154929577465</v>
      </c>
      <c r="D34" s="16" t="n">
        <f aca="false">IF(B34=0,0,SUMIFS(Deliveries!$N$2:$N$501,Deliveries!$C$2:$C$501,$A34)/B34)</f>
        <v>0.845070422535211</v>
      </c>
      <c r="E34" s="16" t="n">
        <f aca="false">IF(B34=0,0,SUMIFS(Deliveries!$O$2:$O$501,Deliveries!$C$2:$C$501,$A34)/B34)</f>
        <v>0.71830985915493</v>
      </c>
      <c r="F34" s="17" t="n">
        <f aca="false">IF(B34=0,0,SUMIFS(Deliveries!$L$2:$L$501,Deliveries!$C$2:$C$501,$A34)/B34)</f>
        <v>0.507042253521127</v>
      </c>
      <c r="G34" s="18" t="n">
        <f aca="false">IFERROR(SUMIFS(Deliveries!$K$2:$K$501,Deliveries!$C$2:$C$501,$A34)/SUMIFS(Deliveries!$H$2:$H$501,Deliveries!$C$2:$C$501,$A34),0)</f>
        <v>0.0214414462887735</v>
      </c>
      <c r="H34" s="15" t="n">
        <f aca="false">SUMIFS(Deliveries!$J$2:$J$501,Deliveries!$C$2:$C$501,$A34)</f>
        <v>2955637</v>
      </c>
      <c r="I34" s="15" t="n">
        <f aca="false">SUMIFS(Deliveries!$P$2:$P$501,Deliveries!$C$2:$C$501,$A34)</f>
        <v>54000</v>
      </c>
    </row>
    <row r="35" customFormat="false" ht="15" hidden="false" customHeight="false" outlineLevel="0" collapsed="false">
      <c r="A35" s="14" t="s">
        <v>55</v>
      </c>
      <c r="B35" s="15" t="n">
        <f aca="false">COUNTIFS(Deliveries!$C$2:$C$501,$A35)</f>
        <v>68</v>
      </c>
      <c r="C35" s="16" t="n">
        <f aca="false">IF(B35=0,0,SUMIFS(Deliveries!$M$2:$M$501,Deliveries!$C$2:$C$501,$A35)/B35)</f>
        <v>0.823529411764706</v>
      </c>
      <c r="D35" s="16" t="n">
        <f aca="false">IF(B35=0,0,SUMIFS(Deliveries!$N$2:$N$501,Deliveries!$C$2:$C$501,$A35)/B35)</f>
        <v>0.897058823529412</v>
      </c>
      <c r="E35" s="16" t="n">
        <f aca="false">IF(B35=0,0,SUMIFS(Deliveries!$O$2:$O$501,Deliveries!$C$2:$C$501,$A35)/B35)</f>
        <v>0.735294117647059</v>
      </c>
      <c r="F35" s="17" t="n">
        <f aca="false">IF(B35=0,0,SUMIFS(Deliveries!$L$2:$L$501,Deliveries!$C$2:$C$501,$A35)/B35)</f>
        <v>0.647058823529412</v>
      </c>
      <c r="G35" s="18" t="n">
        <f aca="false">IFERROR(SUMIFS(Deliveries!$K$2:$K$501,Deliveries!$C$2:$C$501,$A35)/SUMIFS(Deliveries!$H$2:$H$501,Deliveries!$C$2:$C$501,$A35),0)</f>
        <v>0.0225511795430354</v>
      </c>
      <c r="H35" s="15" t="n">
        <f aca="false">SUMIFS(Deliveries!$J$2:$J$501,Deliveries!$C$2:$C$501,$A35)</f>
        <v>2012918</v>
      </c>
      <c r="I35" s="15" t="n">
        <f aca="false">SUMIFS(Deliveries!$P$2:$P$501,Deliveries!$C$2:$C$501,$A35)</f>
        <v>66000</v>
      </c>
    </row>
    <row r="36" customFormat="false" ht="15" hidden="false" customHeight="false" outlineLevel="0" collapsed="false">
      <c r="A36" s="14" t="s">
        <v>56</v>
      </c>
      <c r="B36" s="15" t="n">
        <f aca="false">COUNTIFS(Deliveries!$C$2:$C$501,$A36)</f>
        <v>76</v>
      </c>
      <c r="C36" s="16" t="n">
        <f aca="false">IF(B36=0,0,SUMIFS(Deliveries!$M$2:$M$501,Deliveries!$C$2:$C$501,$A36)/B36)</f>
        <v>0.907894736842105</v>
      </c>
      <c r="D36" s="16" t="n">
        <f aca="false">IF(B36=0,0,SUMIFS(Deliveries!$N$2:$N$501,Deliveries!$C$2:$C$501,$A36)/B36)</f>
        <v>0.907894736842105</v>
      </c>
      <c r="E36" s="16" t="n">
        <f aca="false">IF(B36=0,0,SUMIFS(Deliveries!$O$2:$O$501,Deliveries!$C$2:$C$501,$A36)/B36)</f>
        <v>0.828947368421053</v>
      </c>
      <c r="F36" s="17" t="n">
        <f aca="false">IF(B36=0,0,SUMIFS(Deliveries!$L$2:$L$501,Deliveries!$C$2:$C$501,$A36)/B36)</f>
        <v>0.289473684210526</v>
      </c>
      <c r="G36" s="18" t="n">
        <f aca="false">IFERROR(SUMIFS(Deliveries!$K$2:$K$501,Deliveries!$C$2:$C$501,$A36)/SUMIFS(Deliveries!$H$2:$H$501,Deliveries!$C$2:$C$501,$A36),0)</f>
        <v>0.0185311782801895</v>
      </c>
      <c r="H36" s="15" t="n">
        <f aca="false">SUMIFS(Deliveries!$J$2:$J$501,Deliveries!$C$2:$C$501,$A36)</f>
        <v>1315984</v>
      </c>
      <c r="I36" s="15" t="n">
        <f aca="false">SUMIFS(Deliveries!$P$2:$P$501,Deliveries!$C$2:$C$501,$A36)</f>
        <v>33000</v>
      </c>
    </row>
    <row r="37" customFormat="false" ht="15" hidden="false" customHeight="false" outlineLevel="0" collapsed="false">
      <c r="A37" s="14" t="s">
        <v>57</v>
      </c>
      <c r="B37" s="15" t="n">
        <f aca="false">COUNTIFS(Deliveries!$C$2:$C$501,$A37)</f>
        <v>90</v>
      </c>
      <c r="C37" s="16" t="n">
        <f aca="false">IF(B37=0,0,SUMIFS(Deliveries!$M$2:$M$501,Deliveries!$C$2:$C$501,$A37)/B37)</f>
        <v>0.833333333333333</v>
      </c>
      <c r="D37" s="16" t="n">
        <f aca="false">IF(B37=0,0,SUMIFS(Deliveries!$N$2:$N$501,Deliveries!$C$2:$C$501,$A37)/B37)</f>
        <v>0.9</v>
      </c>
      <c r="E37" s="16" t="n">
        <f aca="false">IF(B37=0,0,SUMIFS(Deliveries!$O$2:$O$501,Deliveries!$C$2:$C$501,$A37)/B37)</f>
        <v>0.788888888888889</v>
      </c>
      <c r="F37" s="17" t="n">
        <f aca="false">IF(B37=0,0,SUMIFS(Deliveries!$L$2:$L$501,Deliveries!$C$2:$C$501,$A37)/B37)</f>
        <v>0.544444444444444</v>
      </c>
      <c r="G37" s="18" t="n">
        <f aca="false">IFERROR(SUMIFS(Deliveries!$K$2:$K$501,Deliveries!$C$2:$C$501,$A37)/SUMIFS(Deliveries!$H$2:$H$501,Deliveries!$C$2:$C$501,$A37),0)</f>
        <v>0.0185928048392232</v>
      </c>
      <c r="H37" s="15" t="n">
        <f aca="false">SUMIFS(Deliveries!$J$2:$J$501,Deliveries!$C$2:$C$501,$A37)</f>
        <v>2408516</v>
      </c>
      <c r="I37" s="15" t="n">
        <f aca="false">SUMIFS(Deliveries!$P$2:$P$501,Deliveries!$C$2:$C$501,$A37)</f>
        <v>73500</v>
      </c>
    </row>
    <row r="38" customFormat="false" ht="15" hidden="false" customHeight="false" outlineLevel="0" collapsed="false">
      <c r="A38" s="14" t="s">
        <v>58</v>
      </c>
      <c r="B38" s="15" t="n">
        <f aca="false">COUNTIFS(Deliveries!$C$2:$C$501,$A38)</f>
        <v>57</v>
      </c>
      <c r="C38" s="16" t="n">
        <f aca="false">IF(B38=0,0,SUMIFS(Deliveries!$M$2:$M$501,Deliveries!$C$2:$C$501,$A38)/B38)</f>
        <v>0.842105263157895</v>
      </c>
      <c r="D38" s="16" t="n">
        <f aca="false">IF(B38=0,0,SUMIFS(Deliveries!$N$2:$N$501,Deliveries!$C$2:$C$501,$A38)/B38)</f>
        <v>0.771929824561404</v>
      </c>
      <c r="E38" s="16" t="n">
        <f aca="false">IF(B38=0,0,SUMIFS(Deliveries!$O$2:$O$501,Deliveries!$C$2:$C$501,$A38)/B38)</f>
        <v>0.614035087719298</v>
      </c>
      <c r="F38" s="17" t="n">
        <f aca="false">IF(B38=0,0,SUMIFS(Deliveries!$L$2:$L$501,Deliveries!$C$2:$C$501,$A38)/B38)</f>
        <v>0.368421052631579</v>
      </c>
      <c r="G38" s="18" t="n">
        <f aca="false">IFERROR(SUMIFS(Deliveries!$K$2:$K$501,Deliveries!$C$2:$C$501,$A38)/SUMIFS(Deliveries!$H$2:$H$501,Deliveries!$C$2:$C$501,$A38),0)</f>
        <v>0.0204407294832827</v>
      </c>
      <c r="H38" s="15" t="n">
        <f aca="false">SUMIFS(Deliveries!$J$2:$J$501,Deliveries!$C$2:$C$501,$A38)</f>
        <v>1263226</v>
      </c>
      <c r="I38" s="15" t="n">
        <f aca="false">SUMIFS(Deliveries!$P$2:$P$501,Deliveries!$C$2:$C$501,$A38)</f>
        <v>31500</v>
      </c>
    </row>
    <row r="41" customFormat="false" ht="15" hidden="false" customHeight="false" outlineLevel="0" collapsed="false">
      <c r="A41" s="5" t="s">
        <v>59</v>
      </c>
    </row>
    <row r="42" customFormat="false" ht="15" hidden="false" customHeight="false" outlineLevel="0" collapsed="false">
      <c r="A42" s="20" t="s">
        <v>60</v>
      </c>
      <c r="B42" s="20" t="s">
        <v>61</v>
      </c>
      <c r="C42" s="20" t="s">
        <v>22</v>
      </c>
      <c r="D42" s="20" t="s">
        <v>23</v>
      </c>
      <c r="E42" s="20" t="s">
        <v>42</v>
      </c>
    </row>
    <row r="43" customFormat="false" ht="15" hidden="false" customHeight="false" outlineLevel="0" collapsed="false">
      <c r="A43" s="14" t="s">
        <v>62</v>
      </c>
      <c r="B43" s="21" t="n">
        <v>1</v>
      </c>
      <c r="C43" s="14" t="n">
        <f aca="false">COUNTIFS(Deliveries!$S$2:$S$501,$B43)</f>
        <v>44</v>
      </c>
      <c r="D43" s="16" t="n">
        <f aca="false">IF(C43=0,0,SUMIFS(Deliveries!$O$2:$O$501,Deliveries!$S$2:$S$501,$B43)/C43)</f>
        <v>0.727272727272727</v>
      </c>
      <c r="E43" s="15" t="n">
        <f aca="false">SUMIFS(Deliveries!$P$2:$P$501,Deliveries!$S$2:$S$501,$B43)</f>
        <v>58500</v>
      </c>
    </row>
    <row r="44" customFormat="false" ht="15" hidden="false" customHeight="false" outlineLevel="0" collapsed="false">
      <c r="A44" s="14" t="s">
        <v>63</v>
      </c>
      <c r="B44" s="21" t="n">
        <v>2</v>
      </c>
      <c r="C44" s="14" t="n">
        <f aca="false">COUNTIFS(Deliveries!$S$2:$S$501,$B44)</f>
        <v>49</v>
      </c>
      <c r="D44" s="16" t="n">
        <f aca="false">IF(C44=0,0,SUMIFS(Deliveries!$O$2:$O$501,Deliveries!$S$2:$S$501,$B44)/C44)</f>
        <v>0.795918367346939</v>
      </c>
      <c r="E44" s="15" t="n">
        <f aca="false">SUMIFS(Deliveries!$P$2:$P$501,Deliveries!$S$2:$S$501,$B44)</f>
        <v>18000</v>
      </c>
    </row>
    <row r="45" customFormat="false" ht="15" hidden="false" customHeight="false" outlineLevel="0" collapsed="false">
      <c r="A45" s="14" t="s">
        <v>64</v>
      </c>
      <c r="B45" s="21" t="n">
        <v>3</v>
      </c>
      <c r="C45" s="14" t="n">
        <f aca="false">COUNTIFS(Deliveries!$S$2:$S$501,$B45)</f>
        <v>75</v>
      </c>
      <c r="D45" s="16" t="n">
        <f aca="false">IF(C45=0,0,SUMIFS(Deliveries!$O$2:$O$501,Deliveries!$S$2:$S$501,$B45)/C45)</f>
        <v>0.76</v>
      </c>
      <c r="E45" s="15" t="n">
        <f aca="false">SUMIFS(Deliveries!$P$2:$P$501,Deliveries!$S$2:$S$501,$B45)</f>
        <v>57000</v>
      </c>
    </row>
    <row r="46" customFormat="false" ht="15" hidden="false" customHeight="false" outlineLevel="0" collapsed="false">
      <c r="A46" s="14" t="s">
        <v>65</v>
      </c>
      <c r="B46" s="21" t="n">
        <v>4</v>
      </c>
      <c r="C46" s="14" t="n">
        <f aca="false">COUNTIFS(Deliveries!$S$2:$S$501,$B46)</f>
        <v>55</v>
      </c>
      <c r="D46" s="16" t="n">
        <f aca="false">IF(C46=0,0,SUMIFS(Deliveries!$O$2:$O$501,Deliveries!$S$2:$S$501,$B46)/C46)</f>
        <v>0.763636363636364</v>
      </c>
      <c r="E46" s="15" t="n">
        <f aca="false">SUMIFS(Deliveries!$P$2:$P$501,Deliveries!$S$2:$S$501,$B46)</f>
        <v>43500</v>
      </c>
    </row>
    <row r="47" customFormat="false" ht="15" hidden="false" customHeight="false" outlineLevel="0" collapsed="false">
      <c r="A47" s="14" t="s">
        <v>66</v>
      </c>
      <c r="B47" s="21" t="n">
        <v>5</v>
      </c>
      <c r="C47" s="14" t="n">
        <f aca="false">COUNTIFS(Deliveries!$S$2:$S$501,$B47)</f>
        <v>70</v>
      </c>
      <c r="D47" s="16" t="n">
        <f aca="false">IF(C47=0,0,SUMIFS(Deliveries!$O$2:$O$501,Deliveries!$S$2:$S$501,$B47)/C47)</f>
        <v>0.728571428571429</v>
      </c>
      <c r="E47" s="15" t="n">
        <f aca="false">SUMIFS(Deliveries!$P$2:$P$501,Deliveries!$S$2:$S$501,$B47)</f>
        <v>37500</v>
      </c>
    </row>
    <row r="48" customFormat="false" ht="15" hidden="false" customHeight="false" outlineLevel="0" collapsed="false">
      <c r="A48" s="14" t="s">
        <v>67</v>
      </c>
      <c r="B48" s="21" t="n">
        <v>6</v>
      </c>
      <c r="C48" s="14" t="n">
        <f aca="false">COUNTIFS(Deliveries!$S$2:$S$501,$B48)</f>
        <v>61</v>
      </c>
      <c r="D48" s="16" t="n">
        <f aca="false">IF(C48=0,0,SUMIFS(Deliveries!$O$2:$O$501,Deliveries!$S$2:$S$501,$B48)/C48)</f>
        <v>0.770491803278689</v>
      </c>
      <c r="E48" s="15" t="n">
        <f aca="false">SUMIFS(Deliveries!$P$2:$P$501,Deliveries!$S$2:$S$501,$B48)</f>
        <v>36000</v>
      </c>
    </row>
    <row r="49" customFormat="false" ht="15" hidden="false" customHeight="false" outlineLevel="0" collapsed="false">
      <c r="A49" s="14" t="s">
        <v>68</v>
      </c>
      <c r="B49" s="21" t="n">
        <v>7</v>
      </c>
      <c r="C49" s="14" t="n">
        <f aca="false">COUNTIFS(Deliveries!$S$2:$S$501,$B49)</f>
        <v>66</v>
      </c>
      <c r="D49" s="16" t="n">
        <f aca="false">IF(C49=0,0,SUMIFS(Deliveries!$O$2:$O$501,Deliveries!$S$2:$S$501,$B49)/C49)</f>
        <v>0.666666666666667</v>
      </c>
      <c r="E49" s="15" t="n">
        <f aca="false">SUMIFS(Deliveries!$P$2:$P$501,Deliveries!$S$2:$S$501,$B49)</f>
        <v>58500</v>
      </c>
    </row>
    <row r="50" customFormat="false" ht="15" hidden="false" customHeight="false" outlineLevel="0" collapsed="false">
      <c r="A50" s="14" t="s">
        <v>69</v>
      </c>
      <c r="B50" s="21" t="n">
        <v>8</v>
      </c>
      <c r="C50" s="14" t="n">
        <f aca="false">COUNTIFS(Deliveries!$S$2:$S$501,$B50)</f>
        <v>49</v>
      </c>
      <c r="D50" s="16" t="n">
        <f aca="false">IF(C50=0,0,SUMIFS(Deliveries!$O$2:$O$501,Deliveries!$S$2:$S$501,$B50)/C50)</f>
        <v>0.816326530612245</v>
      </c>
      <c r="E50" s="15" t="n">
        <f aca="false">SUMIFS(Deliveries!$P$2:$P$501,Deliveries!$S$2:$S$501,$B50)</f>
        <v>16500</v>
      </c>
    </row>
    <row r="51" customFormat="false" ht="15" hidden="false" customHeight="false" outlineLevel="0" collapsed="false">
      <c r="A51" s="14" t="s">
        <v>70</v>
      </c>
      <c r="B51" s="21" t="n">
        <v>9</v>
      </c>
      <c r="C51" s="14" t="n">
        <f aca="false">COUNTIFS(Deliveries!$S$2:$S$501,$B51)</f>
        <v>31</v>
      </c>
      <c r="D51" s="16" t="n">
        <f aca="false">IF(C51=0,0,SUMIFS(Deliveries!$O$2:$O$501,Deliveries!$S$2:$S$501,$B51)/C51)</f>
        <v>0.741935483870968</v>
      </c>
      <c r="E51" s="15" t="n">
        <f aca="false">SUMIFS(Deliveries!$P$2:$P$501,Deliveries!$S$2:$S$501,$B51)</f>
        <v>12000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70"/>
  </cols>
  <sheetData>
    <row r="1" customFormat="false" ht="17.35" hidden="false" customHeight="false" outlineLevel="0" collapsed="false">
      <c r="A1" s="22" t="s">
        <v>71</v>
      </c>
    </row>
    <row r="4" customFormat="false" ht="15" hidden="false" customHeight="false" outlineLevel="0" collapsed="false">
      <c r="A4" s="23" t="s">
        <v>72</v>
      </c>
      <c r="B4" s="23" t="s">
        <v>73</v>
      </c>
      <c r="C4" s="23" t="s">
        <v>74</v>
      </c>
    </row>
    <row r="5" customFormat="false" ht="15" hidden="false" customHeight="false" outlineLevel="0" collapsed="false">
      <c r="A5" s="14" t="s">
        <v>75</v>
      </c>
      <c r="B5" s="24" t="n">
        <v>0</v>
      </c>
      <c r="C5" s="4" t="s">
        <v>76</v>
      </c>
    </row>
    <row r="6" customFormat="false" ht="15" hidden="false" customHeight="false" outlineLevel="0" collapsed="false">
      <c r="A6" s="14" t="s">
        <v>77</v>
      </c>
      <c r="B6" s="25" t="n">
        <v>1500</v>
      </c>
      <c r="C6" s="4" t="s">
        <v>78</v>
      </c>
    </row>
    <row r="7" customFormat="false" ht="15" hidden="false" customHeight="false" outlineLevel="0" collapsed="false">
      <c r="A7" s="14" t="s">
        <v>79</v>
      </c>
      <c r="B7" s="26" t="n">
        <v>0.9</v>
      </c>
      <c r="C7" s="4" t="s">
        <v>80</v>
      </c>
    </row>
    <row r="8" customFormat="false" ht="15" hidden="false" customHeight="false" outlineLevel="0" collapsed="false">
      <c r="A8" s="14" t="s">
        <v>81</v>
      </c>
      <c r="B8" s="26" t="n">
        <v>0.8</v>
      </c>
      <c r="C8" s="4" t="s">
        <v>82</v>
      </c>
    </row>
    <row r="9" customFormat="false" ht="15" hidden="false" customHeight="false" outlineLevel="0" collapsed="false">
      <c r="A9" s="14" t="s">
        <v>83</v>
      </c>
      <c r="B9" s="26" t="n">
        <v>0.02</v>
      </c>
      <c r="C9" s="4"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1"/>
    <col collapsed="false" customWidth="true" hidden="false" outlineLevel="0" max="6" min="4" style="0" width="13"/>
    <col collapsed="false" customWidth="true" hidden="false" outlineLevel="0" max="19" min="7" style="0" width="14"/>
  </cols>
  <sheetData>
    <row r="1" customFormat="false" ht="31.5" hidden="false" customHeight="true" outlineLevel="0" collapsed="false">
      <c r="A1" s="27" t="s">
        <v>85</v>
      </c>
      <c r="B1" s="27" t="s">
        <v>38</v>
      </c>
      <c r="C1" s="27" t="s">
        <v>52</v>
      </c>
      <c r="D1" s="27" t="s">
        <v>86</v>
      </c>
      <c r="E1" s="27" t="s">
        <v>87</v>
      </c>
      <c r="F1" s="27" t="s">
        <v>88</v>
      </c>
      <c r="G1" s="27" t="s">
        <v>89</v>
      </c>
      <c r="H1" s="27" t="s">
        <v>90</v>
      </c>
      <c r="I1" s="27" t="s">
        <v>91</v>
      </c>
      <c r="J1" s="27" t="s">
        <v>92</v>
      </c>
      <c r="K1" s="27" t="s">
        <v>93</v>
      </c>
      <c r="L1" s="28" t="s">
        <v>94</v>
      </c>
      <c r="M1" s="28" t="s">
        <v>95</v>
      </c>
      <c r="N1" s="28" t="s">
        <v>96</v>
      </c>
      <c r="O1" s="28" t="s">
        <v>97</v>
      </c>
      <c r="P1" s="28" t="s">
        <v>42</v>
      </c>
      <c r="Q1" s="28" t="s">
        <v>31</v>
      </c>
      <c r="R1" s="28" t="s">
        <v>40</v>
      </c>
      <c r="S1" s="28" t="s">
        <v>61</v>
      </c>
    </row>
    <row r="2" customFormat="false" ht="15" hidden="false" customHeight="false" outlineLevel="0" collapsed="false">
      <c r="A2" s="21" t="s">
        <v>98</v>
      </c>
      <c r="B2" s="21" t="s">
        <v>49</v>
      </c>
      <c r="C2" s="21" t="s">
        <v>53</v>
      </c>
      <c r="D2" s="29" t="n">
        <v>46086</v>
      </c>
      <c r="E2" s="29" t="n">
        <v>46093</v>
      </c>
      <c r="F2" s="29" t="n">
        <v>46093</v>
      </c>
      <c r="G2" s="21" t="n">
        <v>880</v>
      </c>
      <c r="H2" s="21" t="n">
        <v>880</v>
      </c>
      <c r="I2" s="21" t="n">
        <v>52</v>
      </c>
      <c r="J2" s="30" t="n">
        <v>8132</v>
      </c>
      <c r="K2" s="21" t="n">
        <v>6</v>
      </c>
      <c r="L2" s="14" t="n">
        <f aca="false">MAX(0,F2-E2)</f>
        <v>0</v>
      </c>
      <c r="M2" s="14" t="n">
        <f aca="false">IF(L2&lt;=Assumptions!$B$5,1,0)</f>
        <v>1</v>
      </c>
      <c r="N2" s="14" t="n">
        <f aca="false">IF(H2&gt;=G2,1,0)</f>
        <v>1</v>
      </c>
      <c r="O2" s="14" t="n">
        <f aca="false">M2*N2</f>
        <v>1</v>
      </c>
      <c r="P2" s="15" t="n">
        <f aca="false">L2*Assumptions!$B$6</f>
        <v>0</v>
      </c>
      <c r="Q2" s="31" t="n">
        <f aca="false">IF(I2=0,0,J2/I2)</f>
        <v>156.384615384615</v>
      </c>
      <c r="R2" s="18" t="n">
        <f aca="false">IF(H2=0,0,K2/H2)</f>
        <v>0.00681818181818182</v>
      </c>
      <c r="S2" s="14" t="n">
        <f aca="false">MONTH(D2)</f>
        <v>3</v>
      </c>
    </row>
    <row r="3" customFormat="false" ht="15" hidden="false" customHeight="false" outlineLevel="0" collapsed="false">
      <c r="A3" s="21" t="s">
        <v>99</v>
      </c>
      <c r="B3" s="21" t="s">
        <v>47</v>
      </c>
      <c r="C3" s="21" t="s">
        <v>58</v>
      </c>
      <c r="D3" s="29" t="n">
        <v>46189</v>
      </c>
      <c r="E3" s="29" t="n">
        <v>46193</v>
      </c>
      <c r="F3" s="29" t="n">
        <v>46193</v>
      </c>
      <c r="G3" s="21" t="n">
        <v>710</v>
      </c>
      <c r="H3" s="21" t="n">
        <v>710</v>
      </c>
      <c r="I3" s="21" t="n">
        <v>223</v>
      </c>
      <c r="J3" s="30" t="n">
        <v>25527</v>
      </c>
      <c r="K3" s="21" t="n">
        <v>38</v>
      </c>
      <c r="L3" s="14" t="n">
        <f aca="false">MAX(0,F3-E3)</f>
        <v>0</v>
      </c>
      <c r="M3" s="14" t="n">
        <f aca="false">IF(L3&lt;=Assumptions!$B$5,1,0)</f>
        <v>1</v>
      </c>
      <c r="N3" s="14" t="n">
        <f aca="false">IF(H3&gt;=G3,1,0)</f>
        <v>1</v>
      </c>
      <c r="O3" s="14" t="n">
        <f aca="false">M3*N3</f>
        <v>1</v>
      </c>
      <c r="P3" s="15" t="n">
        <f aca="false">L3*Assumptions!$B$6</f>
        <v>0</v>
      </c>
      <c r="Q3" s="31" t="n">
        <f aca="false">IF(I3=0,0,J3/I3)</f>
        <v>114.470852017937</v>
      </c>
      <c r="R3" s="18" t="n">
        <f aca="false">IF(H3=0,0,K3/H3)</f>
        <v>0.0535211267605634</v>
      </c>
      <c r="S3" s="14" t="n">
        <f aca="false">MONTH(D3)</f>
        <v>6</v>
      </c>
    </row>
    <row r="4" customFormat="false" ht="15" hidden="false" customHeight="false" outlineLevel="0" collapsed="false">
      <c r="A4" s="21" t="s">
        <v>100</v>
      </c>
      <c r="B4" s="21" t="s">
        <v>47</v>
      </c>
      <c r="C4" s="21" t="s">
        <v>58</v>
      </c>
      <c r="D4" s="29" t="n">
        <v>46169</v>
      </c>
      <c r="E4" s="29" t="n">
        <v>46175</v>
      </c>
      <c r="F4" s="29" t="n">
        <v>46175</v>
      </c>
      <c r="G4" s="21" t="n">
        <v>450</v>
      </c>
      <c r="H4" s="21" t="n">
        <v>381</v>
      </c>
      <c r="I4" s="21" t="n">
        <v>233</v>
      </c>
      <c r="J4" s="30" t="n">
        <v>26538</v>
      </c>
      <c r="K4" s="21" t="n">
        <v>11</v>
      </c>
      <c r="L4" s="14" t="n">
        <f aca="false">MAX(0,F4-E4)</f>
        <v>0</v>
      </c>
      <c r="M4" s="14" t="n">
        <f aca="false">IF(L4&lt;=Assumptions!$B$5,1,0)</f>
        <v>1</v>
      </c>
      <c r="N4" s="14" t="n">
        <f aca="false">IF(H4&gt;=G4,1,0)</f>
        <v>0</v>
      </c>
      <c r="O4" s="14" t="n">
        <f aca="false">M4*N4</f>
        <v>0</v>
      </c>
      <c r="P4" s="15" t="n">
        <f aca="false">L4*Assumptions!$B$6</f>
        <v>0</v>
      </c>
      <c r="Q4" s="31" t="n">
        <f aca="false">IF(I4=0,0,J4/I4)</f>
        <v>113.896995708155</v>
      </c>
      <c r="R4" s="18" t="n">
        <f aca="false">IF(H4=0,0,K4/H4)</f>
        <v>0.0288713910761155</v>
      </c>
      <c r="S4" s="14" t="n">
        <f aca="false">MONTH(D4)</f>
        <v>5</v>
      </c>
    </row>
    <row r="5" customFormat="false" ht="15" hidden="false" customHeight="false" outlineLevel="0" collapsed="false">
      <c r="A5" s="21" t="s">
        <v>101</v>
      </c>
      <c r="B5" s="21" t="s">
        <v>50</v>
      </c>
      <c r="C5" s="21" t="s">
        <v>54</v>
      </c>
      <c r="D5" s="29" t="n">
        <v>46089</v>
      </c>
      <c r="E5" s="29" t="n">
        <v>46096</v>
      </c>
      <c r="F5" s="29" t="n">
        <v>46096</v>
      </c>
      <c r="G5" s="21" t="n">
        <v>720</v>
      </c>
      <c r="H5" s="21" t="n">
        <v>720</v>
      </c>
      <c r="I5" s="21" t="n">
        <v>471</v>
      </c>
      <c r="J5" s="30" t="n">
        <v>39517</v>
      </c>
      <c r="K5" s="21" t="n">
        <v>2</v>
      </c>
      <c r="L5" s="14" t="n">
        <f aca="false">MAX(0,F5-E5)</f>
        <v>0</v>
      </c>
      <c r="M5" s="14" t="n">
        <f aca="false">IF(L5&lt;=Assumptions!$B$5,1,0)</f>
        <v>1</v>
      </c>
      <c r="N5" s="14" t="n">
        <f aca="false">IF(H5&gt;=G5,1,0)</f>
        <v>1</v>
      </c>
      <c r="O5" s="14" t="n">
        <f aca="false">M5*N5</f>
        <v>1</v>
      </c>
      <c r="P5" s="15" t="n">
        <f aca="false">L5*Assumptions!$B$6</f>
        <v>0</v>
      </c>
      <c r="Q5" s="31" t="n">
        <f aca="false">IF(I5=0,0,J5/I5)</f>
        <v>83.9002123142251</v>
      </c>
      <c r="R5" s="18" t="n">
        <f aca="false">IF(H5=0,0,K5/H5)</f>
        <v>0.00277777777777778</v>
      </c>
      <c r="S5" s="14" t="n">
        <f aca="false">MONTH(D5)</f>
        <v>3</v>
      </c>
    </row>
    <row r="6" customFormat="false" ht="15" hidden="false" customHeight="false" outlineLevel="0" collapsed="false">
      <c r="A6" s="21" t="s">
        <v>102</v>
      </c>
      <c r="B6" s="21" t="s">
        <v>45</v>
      </c>
      <c r="C6" s="21" t="s">
        <v>54</v>
      </c>
      <c r="D6" s="29" t="n">
        <v>46187</v>
      </c>
      <c r="E6" s="29" t="n">
        <v>46191</v>
      </c>
      <c r="F6" s="29" t="n">
        <v>46191</v>
      </c>
      <c r="G6" s="21" t="n">
        <v>200</v>
      </c>
      <c r="H6" s="21" t="n">
        <v>200</v>
      </c>
      <c r="I6" s="21" t="n">
        <v>400</v>
      </c>
      <c r="J6" s="30" t="n">
        <v>25772</v>
      </c>
      <c r="K6" s="21" t="n">
        <v>0</v>
      </c>
      <c r="L6" s="14" t="n">
        <f aca="false">MAX(0,F6-E6)</f>
        <v>0</v>
      </c>
      <c r="M6" s="14" t="n">
        <f aca="false">IF(L6&lt;=Assumptions!$B$5,1,0)</f>
        <v>1</v>
      </c>
      <c r="N6" s="14" t="n">
        <f aca="false">IF(H6&gt;=G6,1,0)</f>
        <v>1</v>
      </c>
      <c r="O6" s="14" t="n">
        <f aca="false">M6*N6</f>
        <v>1</v>
      </c>
      <c r="P6" s="15" t="n">
        <f aca="false">L6*Assumptions!$B$6</f>
        <v>0</v>
      </c>
      <c r="Q6" s="31" t="n">
        <f aca="false">IF(I6=0,0,J6/I6)</f>
        <v>64.43</v>
      </c>
      <c r="R6" s="18" t="n">
        <f aca="false">IF(H6=0,0,K6/H6)</f>
        <v>0</v>
      </c>
      <c r="S6" s="14" t="n">
        <f aca="false">MONTH(D6)</f>
        <v>6</v>
      </c>
    </row>
    <row r="7" customFormat="false" ht="15" hidden="false" customHeight="false" outlineLevel="0" collapsed="false">
      <c r="A7" s="21" t="s">
        <v>103</v>
      </c>
      <c r="B7" s="21" t="s">
        <v>46</v>
      </c>
      <c r="C7" s="21" t="s">
        <v>56</v>
      </c>
      <c r="D7" s="29" t="n">
        <v>46126</v>
      </c>
      <c r="E7" s="29" t="n">
        <v>46136</v>
      </c>
      <c r="F7" s="29" t="n">
        <v>46136</v>
      </c>
      <c r="G7" s="21" t="n">
        <v>800</v>
      </c>
      <c r="H7" s="21" t="n">
        <v>800</v>
      </c>
      <c r="I7" s="21" t="n">
        <v>200</v>
      </c>
      <c r="J7" s="30" t="n">
        <v>23764</v>
      </c>
      <c r="K7" s="21" t="n">
        <v>0</v>
      </c>
      <c r="L7" s="14" t="n">
        <f aca="false">MAX(0,F7-E7)</f>
        <v>0</v>
      </c>
      <c r="M7" s="14" t="n">
        <f aca="false">IF(L7&lt;=Assumptions!$B$5,1,0)</f>
        <v>1</v>
      </c>
      <c r="N7" s="14" t="n">
        <f aca="false">IF(H7&gt;=G7,1,0)</f>
        <v>1</v>
      </c>
      <c r="O7" s="14" t="n">
        <f aca="false">M7*N7</f>
        <v>1</v>
      </c>
      <c r="P7" s="15" t="n">
        <f aca="false">L7*Assumptions!$B$6</f>
        <v>0</v>
      </c>
      <c r="Q7" s="31" t="n">
        <f aca="false">IF(I7=0,0,J7/I7)</f>
        <v>118.82</v>
      </c>
      <c r="R7" s="18" t="n">
        <f aca="false">IF(H7=0,0,K7/H7)</f>
        <v>0</v>
      </c>
      <c r="S7" s="14" t="n">
        <f aca="false">MONTH(D7)</f>
        <v>4</v>
      </c>
    </row>
    <row r="8" customFormat="false" ht="15" hidden="false" customHeight="false" outlineLevel="0" collapsed="false">
      <c r="A8" s="21" t="s">
        <v>104</v>
      </c>
      <c r="B8" s="21" t="s">
        <v>48</v>
      </c>
      <c r="C8" s="21" t="s">
        <v>54</v>
      </c>
      <c r="D8" s="29" t="n">
        <v>46226</v>
      </c>
      <c r="E8" s="29" t="n">
        <v>46234</v>
      </c>
      <c r="F8" s="29" t="n">
        <v>46234</v>
      </c>
      <c r="G8" s="21" t="n">
        <v>60</v>
      </c>
      <c r="H8" s="21" t="n">
        <v>54</v>
      </c>
      <c r="I8" s="21" t="n">
        <v>492</v>
      </c>
      <c r="J8" s="30" t="n">
        <v>37610</v>
      </c>
      <c r="K8" s="21" t="n">
        <v>2</v>
      </c>
      <c r="L8" s="14" t="n">
        <f aca="false">MAX(0,F8-E8)</f>
        <v>0</v>
      </c>
      <c r="M8" s="14" t="n">
        <f aca="false">IF(L8&lt;=Assumptions!$B$5,1,0)</f>
        <v>1</v>
      </c>
      <c r="N8" s="14" t="n">
        <f aca="false">IF(H8&gt;=G8,1,0)</f>
        <v>0</v>
      </c>
      <c r="O8" s="14" t="n">
        <f aca="false">M8*N8</f>
        <v>0</v>
      </c>
      <c r="P8" s="15" t="n">
        <f aca="false">L8*Assumptions!$B$6</f>
        <v>0</v>
      </c>
      <c r="Q8" s="31" t="n">
        <f aca="false">IF(I8=0,0,J8/I8)</f>
        <v>76.4430894308943</v>
      </c>
      <c r="R8" s="18" t="n">
        <f aca="false">IF(H8=0,0,K8/H8)</f>
        <v>0.037037037037037</v>
      </c>
      <c r="S8" s="14" t="n">
        <f aca="false">MONTH(D8)</f>
        <v>7</v>
      </c>
    </row>
    <row r="9" customFormat="false" ht="15" hidden="false" customHeight="false" outlineLevel="0" collapsed="false">
      <c r="A9" s="21" t="s">
        <v>105</v>
      </c>
      <c r="B9" s="21" t="s">
        <v>46</v>
      </c>
      <c r="C9" s="21" t="s">
        <v>58</v>
      </c>
      <c r="D9" s="29" t="n">
        <v>46213</v>
      </c>
      <c r="E9" s="29" t="n">
        <v>46223</v>
      </c>
      <c r="F9" s="29" t="n">
        <v>46223</v>
      </c>
      <c r="G9" s="21" t="n">
        <v>820</v>
      </c>
      <c r="H9" s="21" t="n">
        <v>695</v>
      </c>
      <c r="I9" s="21" t="n">
        <v>237</v>
      </c>
      <c r="J9" s="30" t="n">
        <v>22524</v>
      </c>
      <c r="K9" s="21" t="n">
        <v>7</v>
      </c>
      <c r="L9" s="14" t="n">
        <f aca="false">MAX(0,F9-E9)</f>
        <v>0</v>
      </c>
      <c r="M9" s="14" t="n">
        <f aca="false">IF(L9&lt;=Assumptions!$B$5,1,0)</f>
        <v>1</v>
      </c>
      <c r="N9" s="14" t="n">
        <f aca="false">IF(H9&gt;=G9,1,0)</f>
        <v>0</v>
      </c>
      <c r="O9" s="14" t="n">
        <f aca="false">M9*N9</f>
        <v>0</v>
      </c>
      <c r="P9" s="15" t="n">
        <f aca="false">L9*Assumptions!$B$6</f>
        <v>0</v>
      </c>
      <c r="Q9" s="31" t="n">
        <f aca="false">IF(I9=0,0,J9/I9)</f>
        <v>95.0379746835443</v>
      </c>
      <c r="R9" s="18" t="n">
        <f aca="false">IF(H9=0,0,K9/H9)</f>
        <v>0.0100719424460432</v>
      </c>
      <c r="S9" s="14" t="n">
        <f aca="false">MONTH(D9)</f>
        <v>7</v>
      </c>
    </row>
    <row r="10" customFormat="false" ht="15" hidden="false" customHeight="false" outlineLevel="0" collapsed="false">
      <c r="A10" s="21" t="s">
        <v>106</v>
      </c>
      <c r="B10" s="21" t="s">
        <v>49</v>
      </c>
      <c r="C10" s="21" t="s">
        <v>58</v>
      </c>
      <c r="D10" s="29" t="n">
        <v>46150</v>
      </c>
      <c r="E10" s="29" t="n">
        <v>46159</v>
      </c>
      <c r="F10" s="29" t="n">
        <v>46158</v>
      </c>
      <c r="G10" s="21" t="n">
        <v>450</v>
      </c>
      <c r="H10" s="21" t="n">
        <v>450</v>
      </c>
      <c r="I10" s="21" t="n">
        <v>240</v>
      </c>
      <c r="J10" s="30" t="n">
        <v>19036</v>
      </c>
      <c r="K10" s="21" t="n">
        <v>6</v>
      </c>
      <c r="L10" s="14" t="n">
        <f aca="false">MAX(0,F10-E10)</f>
        <v>0</v>
      </c>
      <c r="M10" s="14" t="n">
        <f aca="false">IF(L10&lt;=Assumptions!$B$5,1,0)</f>
        <v>1</v>
      </c>
      <c r="N10" s="14" t="n">
        <f aca="false">IF(H10&gt;=G10,1,0)</f>
        <v>1</v>
      </c>
      <c r="O10" s="14" t="n">
        <f aca="false">M10*N10</f>
        <v>1</v>
      </c>
      <c r="P10" s="15" t="n">
        <f aca="false">L10*Assumptions!$B$6</f>
        <v>0</v>
      </c>
      <c r="Q10" s="31" t="n">
        <f aca="false">IF(I10=0,0,J10/I10)</f>
        <v>79.3166666666667</v>
      </c>
      <c r="R10" s="18" t="n">
        <f aca="false">IF(H10=0,0,K10/H10)</f>
        <v>0.0133333333333333</v>
      </c>
      <c r="S10" s="14" t="n">
        <f aca="false">MONTH(D10)</f>
        <v>5</v>
      </c>
    </row>
    <row r="11" customFormat="false" ht="15" hidden="false" customHeight="false" outlineLevel="0" collapsed="false">
      <c r="A11" s="21" t="s">
        <v>107</v>
      </c>
      <c r="B11" s="21" t="s">
        <v>47</v>
      </c>
      <c r="C11" s="21" t="s">
        <v>56</v>
      </c>
      <c r="D11" s="29" t="n">
        <v>46100</v>
      </c>
      <c r="E11" s="29" t="n">
        <v>46105</v>
      </c>
      <c r="F11" s="29" t="n">
        <v>46108</v>
      </c>
      <c r="G11" s="21" t="n">
        <v>590</v>
      </c>
      <c r="H11" s="21" t="n">
        <v>590</v>
      </c>
      <c r="I11" s="21" t="n">
        <v>171</v>
      </c>
      <c r="J11" s="30" t="n">
        <v>21402</v>
      </c>
      <c r="K11" s="21" t="n">
        <v>35</v>
      </c>
      <c r="L11" s="14" t="n">
        <f aca="false">MAX(0,F11-E11)</f>
        <v>3</v>
      </c>
      <c r="M11" s="14" t="n">
        <f aca="false">IF(L11&lt;=Assumptions!$B$5,1,0)</f>
        <v>0</v>
      </c>
      <c r="N11" s="14" t="n">
        <f aca="false">IF(H11&gt;=G11,1,0)</f>
        <v>1</v>
      </c>
      <c r="O11" s="14" t="n">
        <f aca="false">M11*N11</f>
        <v>0</v>
      </c>
      <c r="P11" s="15" t="n">
        <f aca="false">L11*Assumptions!$B$6</f>
        <v>4500</v>
      </c>
      <c r="Q11" s="31" t="n">
        <f aca="false">IF(I11=0,0,J11/I11)</f>
        <v>125.157894736842</v>
      </c>
      <c r="R11" s="18" t="n">
        <f aca="false">IF(H11=0,0,K11/H11)</f>
        <v>0.0593220338983051</v>
      </c>
      <c r="S11" s="14" t="n">
        <f aca="false">MONTH(D11)</f>
        <v>3</v>
      </c>
    </row>
    <row r="12" customFormat="false" ht="15" hidden="false" customHeight="false" outlineLevel="0" collapsed="false">
      <c r="A12" s="21" t="s">
        <v>108</v>
      </c>
      <c r="B12" s="21" t="s">
        <v>49</v>
      </c>
      <c r="C12" s="21" t="s">
        <v>56</v>
      </c>
      <c r="D12" s="29" t="n">
        <v>46035</v>
      </c>
      <c r="E12" s="29" t="n">
        <v>46038</v>
      </c>
      <c r="F12" s="29" t="n">
        <v>46038</v>
      </c>
      <c r="G12" s="21" t="n">
        <v>390</v>
      </c>
      <c r="H12" s="21" t="n">
        <v>390</v>
      </c>
      <c r="I12" s="21" t="n">
        <v>155</v>
      </c>
      <c r="J12" s="30" t="n">
        <v>14830</v>
      </c>
      <c r="K12" s="21" t="n">
        <v>1</v>
      </c>
      <c r="L12" s="14" t="n">
        <f aca="false">MAX(0,F12-E12)</f>
        <v>0</v>
      </c>
      <c r="M12" s="14" t="n">
        <f aca="false">IF(L12&lt;=Assumptions!$B$5,1,0)</f>
        <v>1</v>
      </c>
      <c r="N12" s="14" t="n">
        <f aca="false">IF(H12&gt;=G12,1,0)</f>
        <v>1</v>
      </c>
      <c r="O12" s="14" t="n">
        <f aca="false">M12*N12</f>
        <v>1</v>
      </c>
      <c r="P12" s="15" t="n">
        <f aca="false">L12*Assumptions!$B$6</f>
        <v>0</v>
      </c>
      <c r="Q12" s="31" t="n">
        <f aca="false">IF(I12=0,0,J12/I12)</f>
        <v>95.6774193548387</v>
      </c>
      <c r="R12" s="18" t="n">
        <f aca="false">IF(H12=0,0,K12/H12)</f>
        <v>0.00256410256410256</v>
      </c>
      <c r="S12" s="14" t="n">
        <f aca="false">MONTH(D12)</f>
        <v>1</v>
      </c>
    </row>
    <row r="13" customFormat="false" ht="15" hidden="false" customHeight="false" outlineLevel="0" collapsed="false">
      <c r="A13" s="21" t="s">
        <v>109</v>
      </c>
      <c r="B13" s="21" t="s">
        <v>49</v>
      </c>
      <c r="C13" s="21" t="s">
        <v>53</v>
      </c>
      <c r="D13" s="29" t="n">
        <v>46264</v>
      </c>
      <c r="E13" s="29" t="n">
        <v>46267</v>
      </c>
      <c r="F13" s="29" t="n">
        <v>46267</v>
      </c>
      <c r="G13" s="21" t="n">
        <v>50</v>
      </c>
      <c r="H13" s="21" t="n">
        <v>50</v>
      </c>
      <c r="I13" s="21" t="n">
        <v>29</v>
      </c>
      <c r="J13" s="30" t="n">
        <v>2622</v>
      </c>
      <c r="K13" s="21" t="n">
        <v>0</v>
      </c>
      <c r="L13" s="14" t="n">
        <f aca="false">MAX(0,F13-E13)</f>
        <v>0</v>
      </c>
      <c r="M13" s="14" t="n">
        <f aca="false">IF(L13&lt;=Assumptions!$B$5,1,0)</f>
        <v>1</v>
      </c>
      <c r="N13" s="14" t="n">
        <f aca="false">IF(H13&gt;=G13,1,0)</f>
        <v>1</v>
      </c>
      <c r="O13" s="14" t="n">
        <f aca="false">M13*N13</f>
        <v>1</v>
      </c>
      <c r="P13" s="15" t="n">
        <f aca="false">L13*Assumptions!$B$6</f>
        <v>0</v>
      </c>
      <c r="Q13" s="31" t="n">
        <f aca="false">IF(I13=0,0,J13/I13)</f>
        <v>90.4137931034483</v>
      </c>
      <c r="R13" s="18" t="n">
        <f aca="false">IF(H13=0,0,K13/H13)</f>
        <v>0</v>
      </c>
      <c r="S13" s="14" t="n">
        <f aca="false">MONTH(D13)</f>
        <v>8</v>
      </c>
    </row>
    <row r="14" customFormat="false" ht="15" hidden="false" customHeight="false" outlineLevel="0" collapsed="false">
      <c r="A14" s="21" t="s">
        <v>110</v>
      </c>
      <c r="B14" s="21" t="s">
        <v>46</v>
      </c>
      <c r="C14" s="21" t="s">
        <v>55</v>
      </c>
      <c r="D14" s="29" t="n">
        <v>46226</v>
      </c>
      <c r="E14" s="29" t="n">
        <v>46229</v>
      </c>
      <c r="F14" s="29" t="n">
        <v>46229</v>
      </c>
      <c r="G14" s="21" t="n">
        <v>760</v>
      </c>
      <c r="H14" s="21" t="n">
        <v>760</v>
      </c>
      <c r="I14" s="21" t="n">
        <v>294</v>
      </c>
      <c r="J14" s="30" t="n">
        <v>24347</v>
      </c>
      <c r="K14" s="21" t="n">
        <v>27</v>
      </c>
      <c r="L14" s="14" t="n">
        <f aca="false">MAX(0,F14-E14)</f>
        <v>0</v>
      </c>
      <c r="M14" s="14" t="n">
        <f aca="false">IF(L14&lt;=Assumptions!$B$5,1,0)</f>
        <v>1</v>
      </c>
      <c r="N14" s="14" t="n">
        <f aca="false">IF(H14&gt;=G14,1,0)</f>
        <v>1</v>
      </c>
      <c r="O14" s="14" t="n">
        <f aca="false">M14*N14</f>
        <v>1</v>
      </c>
      <c r="P14" s="15" t="n">
        <f aca="false">L14*Assumptions!$B$6</f>
        <v>0</v>
      </c>
      <c r="Q14" s="31" t="n">
        <f aca="false">IF(I14=0,0,J14/I14)</f>
        <v>82.812925170068</v>
      </c>
      <c r="R14" s="18" t="n">
        <f aca="false">IF(H14=0,0,K14/H14)</f>
        <v>0.0355263157894737</v>
      </c>
      <c r="S14" s="14" t="n">
        <f aca="false">MONTH(D14)</f>
        <v>7</v>
      </c>
    </row>
    <row r="15" customFormat="false" ht="15" hidden="false" customHeight="false" outlineLevel="0" collapsed="false">
      <c r="A15" s="21" t="s">
        <v>111</v>
      </c>
      <c r="B15" s="21" t="s">
        <v>48</v>
      </c>
      <c r="C15" s="21" t="s">
        <v>57</v>
      </c>
      <c r="D15" s="29" t="n">
        <v>46274</v>
      </c>
      <c r="E15" s="29" t="n">
        <v>46277</v>
      </c>
      <c r="F15" s="29" t="n">
        <v>46277</v>
      </c>
      <c r="G15" s="21" t="n">
        <v>50</v>
      </c>
      <c r="H15" s="21" t="n">
        <v>50</v>
      </c>
      <c r="I15" s="21" t="n">
        <v>287</v>
      </c>
      <c r="J15" s="30" t="n">
        <v>26263</v>
      </c>
      <c r="K15" s="21" t="n">
        <v>0</v>
      </c>
      <c r="L15" s="14" t="n">
        <f aca="false">MAX(0,F15-E15)</f>
        <v>0</v>
      </c>
      <c r="M15" s="14" t="n">
        <f aca="false">IF(L15&lt;=Assumptions!$B$5,1,0)</f>
        <v>1</v>
      </c>
      <c r="N15" s="14" t="n">
        <f aca="false">IF(H15&gt;=G15,1,0)</f>
        <v>1</v>
      </c>
      <c r="O15" s="14" t="n">
        <f aca="false">M15*N15</f>
        <v>1</v>
      </c>
      <c r="P15" s="15" t="n">
        <f aca="false">L15*Assumptions!$B$6</f>
        <v>0</v>
      </c>
      <c r="Q15" s="31" t="n">
        <f aca="false">IF(I15=0,0,J15/I15)</f>
        <v>91.5087108013937</v>
      </c>
      <c r="R15" s="18" t="n">
        <f aca="false">IF(H15=0,0,K15/H15)</f>
        <v>0</v>
      </c>
      <c r="S15" s="14" t="n">
        <f aca="false">MONTH(D15)</f>
        <v>9</v>
      </c>
    </row>
    <row r="16" customFormat="false" ht="15" hidden="false" customHeight="false" outlineLevel="0" collapsed="false">
      <c r="A16" s="21" t="s">
        <v>112</v>
      </c>
      <c r="B16" s="21" t="s">
        <v>47</v>
      </c>
      <c r="C16" s="21" t="s">
        <v>53</v>
      </c>
      <c r="D16" s="29" t="n">
        <v>46126</v>
      </c>
      <c r="E16" s="29" t="n">
        <v>46136</v>
      </c>
      <c r="F16" s="29" t="n">
        <v>46139</v>
      </c>
      <c r="G16" s="21" t="n">
        <v>300</v>
      </c>
      <c r="H16" s="21" t="n">
        <v>266</v>
      </c>
      <c r="I16" s="21" t="n">
        <v>28</v>
      </c>
      <c r="J16" s="30" t="n">
        <v>2849</v>
      </c>
      <c r="K16" s="21" t="n">
        <v>11</v>
      </c>
      <c r="L16" s="14" t="n">
        <f aca="false">MAX(0,F16-E16)</f>
        <v>3</v>
      </c>
      <c r="M16" s="14" t="n">
        <f aca="false">IF(L16&lt;=Assumptions!$B$5,1,0)</f>
        <v>0</v>
      </c>
      <c r="N16" s="14" t="n">
        <f aca="false">IF(H16&gt;=G16,1,0)</f>
        <v>0</v>
      </c>
      <c r="O16" s="14" t="n">
        <f aca="false">M16*N16</f>
        <v>0</v>
      </c>
      <c r="P16" s="15" t="n">
        <f aca="false">L16*Assumptions!$B$6</f>
        <v>4500</v>
      </c>
      <c r="Q16" s="31" t="n">
        <f aca="false">IF(I16=0,0,J16/I16)</f>
        <v>101.75</v>
      </c>
      <c r="R16" s="18" t="n">
        <f aca="false">IF(H16=0,0,K16/H16)</f>
        <v>0.0413533834586466</v>
      </c>
      <c r="S16" s="14" t="n">
        <f aca="false">MONTH(D16)</f>
        <v>4</v>
      </c>
    </row>
    <row r="17" customFormat="false" ht="15" hidden="false" customHeight="false" outlineLevel="0" collapsed="false">
      <c r="A17" s="21" t="s">
        <v>113</v>
      </c>
      <c r="B17" s="21" t="s">
        <v>46</v>
      </c>
      <c r="C17" s="21" t="s">
        <v>57</v>
      </c>
      <c r="D17" s="29" t="n">
        <v>46166</v>
      </c>
      <c r="E17" s="29" t="n">
        <v>46176</v>
      </c>
      <c r="F17" s="29" t="n">
        <v>46176</v>
      </c>
      <c r="G17" s="21" t="n">
        <v>50</v>
      </c>
      <c r="H17" s="21" t="n">
        <v>50</v>
      </c>
      <c r="I17" s="21" t="n">
        <v>260</v>
      </c>
      <c r="J17" s="30" t="n">
        <v>17676</v>
      </c>
      <c r="K17" s="21" t="n">
        <v>1</v>
      </c>
      <c r="L17" s="14" t="n">
        <f aca="false">MAX(0,F17-E17)</f>
        <v>0</v>
      </c>
      <c r="M17" s="14" t="n">
        <f aca="false">IF(L17&lt;=Assumptions!$B$5,1,0)</f>
        <v>1</v>
      </c>
      <c r="N17" s="14" t="n">
        <f aca="false">IF(H17&gt;=G17,1,0)</f>
        <v>1</v>
      </c>
      <c r="O17" s="14" t="n">
        <f aca="false">M17*N17</f>
        <v>1</v>
      </c>
      <c r="P17" s="15" t="n">
        <f aca="false">L17*Assumptions!$B$6</f>
        <v>0</v>
      </c>
      <c r="Q17" s="31" t="n">
        <f aca="false">IF(I17=0,0,J17/I17)</f>
        <v>67.9846153846154</v>
      </c>
      <c r="R17" s="18" t="n">
        <f aca="false">IF(H17=0,0,K17/H17)</f>
        <v>0.02</v>
      </c>
      <c r="S17" s="14" t="n">
        <f aca="false">MONTH(D17)</f>
        <v>5</v>
      </c>
    </row>
    <row r="18" customFormat="false" ht="15" hidden="false" customHeight="false" outlineLevel="0" collapsed="false">
      <c r="A18" s="21" t="s">
        <v>114</v>
      </c>
      <c r="B18" s="21" t="s">
        <v>46</v>
      </c>
      <c r="C18" s="21" t="s">
        <v>54</v>
      </c>
      <c r="D18" s="29" t="n">
        <v>46240</v>
      </c>
      <c r="E18" s="29" t="n">
        <v>46243</v>
      </c>
      <c r="F18" s="29" t="n">
        <v>46242</v>
      </c>
      <c r="G18" s="21" t="n">
        <v>780</v>
      </c>
      <c r="H18" s="21" t="n">
        <v>780</v>
      </c>
      <c r="I18" s="21" t="n">
        <v>492</v>
      </c>
      <c r="J18" s="30" t="n">
        <v>40079</v>
      </c>
      <c r="K18" s="21" t="n">
        <v>8</v>
      </c>
      <c r="L18" s="14" t="n">
        <f aca="false">MAX(0,F18-E18)</f>
        <v>0</v>
      </c>
      <c r="M18" s="14" t="n">
        <f aca="false">IF(L18&lt;=Assumptions!$B$5,1,0)</f>
        <v>1</v>
      </c>
      <c r="N18" s="14" t="n">
        <f aca="false">IF(H18&gt;=G18,1,0)</f>
        <v>1</v>
      </c>
      <c r="O18" s="14" t="n">
        <f aca="false">M18*N18</f>
        <v>1</v>
      </c>
      <c r="P18" s="15" t="n">
        <f aca="false">L18*Assumptions!$B$6</f>
        <v>0</v>
      </c>
      <c r="Q18" s="31" t="n">
        <f aca="false">IF(I18=0,0,J18/I18)</f>
        <v>81.4613821138211</v>
      </c>
      <c r="R18" s="18" t="n">
        <f aca="false">IF(H18=0,0,K18/H18)</f>
        <v>0.0102564102564103</v>
      </c>
      <c r="S18" s="14" t="n">
        <f aca="false">MONTH(D18)</f>
        <v>8</v>
      </c>
    </row>
    <row r="19" customFormat="false" ht="15" hidden="false" customHeight="false" outlineLevel="0" collapsed="false">
      <c r="A19" s="21" t="s">
        <v>115</v>
      </c>
      <c r="B19" s="21" t="s">
        <v>48</v>
      </c>
      <c r="C19" s="21" t="s">
        <v>58</v>
      </c>
      <c r="D19" s="29" t="n">
        <v>46115</v>
      </c>
      <c r="E19" s="29" t="n">
        <v>46119</v>
      </c>
      <c r="F19" s="29" t="n">
        <v>46119</v>
      </c>
      <c r="G19" s="21" t="n">
        <v>870</v>
      </c>
      <c r="H19" s="21" t="n">
        <v>752</v>
      </c>
      <c r="I19" s="21" t="n">
        <v>235</v>
      </c>
      <c r="J19" s="30" t="n">
        <v>25501</v>
      </c>
      <c r="K19" s="21" t="n">
        <v>10</v>
      </c>
      <c r="L19" s="14" t="n">
        <f aca="false">MAX(0,F19-E19)</f>
        <v>0</v>
      </c>
      <c r="M19" s="14" t="n">
        <f aca="false">IF(L19&lt;=Assumptions!$B$5,1,0)</f>
        <v>1</v>
      </c>
      <c r="N19" s="14" t="n">
        <f aca="false">IF(H19&gt;=G19,1,0)</f>
        <v>0</v>
      </c>
      <c r="O19" s="14" t="n">
        <f aca="false">M19*N19</f>
        <v>0</v>
      </c>
      <c r="P19" s="15" t="n">
        <f aca="false">L19*Assumptions!$B$6</f>
        <v>0</v>
      </c>
      <c r="Q19" s="31" t="n">
        <f aca="false">IF(I19=0,0,J19/I19)</f>
        <v>108.514893617021</v>
      </c>
      <c r="R19" s="18" t="n">
        <f aca="false">IF(H19=0,0,K19/H19)</f>
        <v>0.0132978723404255</v>
      </c>
      <c r="S19" s="14" t="n">
        <f aca="false">MONTH(D19)</f>
        <v>4</v>
      </c>
    </row>
    <row r="20" customFormat="false" ht="15" hidden="false" customHeight="false" outlineLevel="0" collapsed="false">
      <c r="A20" s="21" t="s">
        <v>116</v>
      </c>
      <c r="B20" s="21" t="s">
        <v>46</v>
      </c>
      <c r="C20" s="21" t="s">
        <v>55</v>
      </c>
      <c r="D20" s="29" t="n">
        <v>46229</v>
      </c>
      <c r="E20" s="29" t="n">
        <v>46238</v>
      </c>
      <c r="F20" s="29" t="n">
        <v>46238</v>
      </c>
      <c r="G20" s="21" t="n">
        <v>840</v>
      </c>
      <c r="H20" s="21" t="n">
        <v>840</v>
      </c>
      <c r="I20" s="21" t="n">
        <v>305</v>
      </c>
      <c r="J20" s="30" t="n">
        <v>36047</v>
      </c>
      <c r="K20" s="21" t="n">
        <v>28</v>
      </c>
      <c r="L20" s="14" t="n">
        <f aca="false">MAX(0,F20-E20)</f>
        <v>0</v>
      </c>
      <c r="M20" s="14" t="n">
        <f aca="false">IF(L20&lt;=Assumptions!$B$5,1,0)</f>
        <v>1</v>
      </c>
      <c r="N20" s="14" t="n">
        <f aca="false">IF(H20&gt;=G20,1,0)</f>
        <v>1</v>
      </c>
      <c r="O20" s="14" t="n">
        <f aca="false">M20*N20</f>
        <v>1</v>
      </c>
      <c r="P20" s="15" t="n">
        <f aca="false">L20*Assumptions!$B$6</f>
        <v>0</v>
      </c>
      <c r="Q20" s="31" t="n">
        <f aca="false">IF(I20=0,0,J20/I20)</f>
        <v>118.186885245902</v>
      </c>
      <c r="R20" s="18" t="n">
        <f aca="false">IF(H20=0,0,K20/H20)</f>
        <v>0.0333333333333333</v>
      </c>
      <c r="S20" s="14" t="n">
        <f aca="false">MONTH(D20)</f>
        <v>7</v>
      </c>
    </row>
    <row r="21" customFormat="false" ht="15" hidden="false" customHeight="false" outlineLevel="0" collapsed="false">
      <c r="A21" s="21" t="s">
        <v>117</v>
      </c>
      <c r="B21" s="21" t="s">
        <v>50</v>
      </c>
      <c r="C21" s="21" t="s">
        <v>54</v>
      </c>
      <c r="D21" s="29" t="n">
        <v>46213</v>
      </c>
      <c r="E21" s="29" t="n">
        <v>46222</v>
      </c>
      <c r="F21" s="29" t="n">
        <v>46228</v>
      </c>
      <c r="G21" s="21" t="n">
        <v>600</v>
      </c>
      <c r="H21" s="21" t="n">
        <v>600</v>
      </c>
      <c r="I21" s="21" t="n">
        <v>485</v>
      </c>
      <c r="J21" s="30" t="n">
        <v>48349</v>
      </c>
      <c r="K21" s="21" t="n">
        <v>8</v>
      </c>
      <c r="L21" s="14" t="n">
        <f aca="false">MAX(0,F21-E21)</f>
        <v>6</v>
      </c>
      <c r="M21" s="14" t="n">
        <f aca="false">IF(L21&lt;=Assumptions!$B$5,1,0)</f>
        <v>0</v>
      </c>
      <c r="N21" s="14" t="n">
        <f aca="false">IF(H21&gt;=G21,1,0)</f>
        <v>1</v>
      </c>
      <c r="O21" s="14" t="n">
        <f aca="false">M21*N21</f>
        <v>0</v>
      </c>
      <c r="P21" s="15" t="n">
        <f aca="false">L21*Assumptions!$B$6</f>
        <v>9000</v>
      </c>
      <c r="Q21" s="31" t="n">
        <f aca="false">IF(I21=0,0,J21/I21)</f>
        <v>99.6886597938144</v>
      </c>
      <c r="R21" s="18" t="n">
        <f aca="false">IF(H21=0,0,K21/H21)</f>
        <v>0.0133333333333333</v>
      </c>
      <c r="S21" s="14" t="n">
        <f aca="false">MONTH(D21)</f>
        <v>7</v>
      </c>
    </row>
    <row r="22" customFormat="false" ht="15" hidden="false" customHeight="false" outlineLevel="0" collapsed="false">
      <c r="A22" s="21" t="s">
        <v>118</v>
      </c>
      <c r="B22" s="21" t="s">
        <v>50</v>
      </c>
      <c r="C22" s="21" t="s">
        <v>54</v>
      </c>
      <c r="D22" s="29" t="n">
        <v>46052</v>
      </c>
      <c r="E22" s="29" t="n">
        <v>46060</v>
      </c>
      <c r="F22" s="29" t="n">
        <v>46060</v>
      </c>
      <c r="G22" s="21" t="n">
        <v>400</v>
      </c>
      <c r="H22" s="21" t="n">
        <v>400</v>
      </c>
      <c r="I22" s="21" t="n">
        <v>404</v>
      </c>
      <c r="J22" s="30" t="n">
        <v>27430</v>
      </c>
      <c r="K22" s="21" t="n">
        <v>3</v>
      </c>
      <c r="L22" s="14" t="n">
        <f aca="false">MAX(0,F22-E22)</f>
        <v>0</v>
      </c>
      <c r="M22" s="14" t="n">
        <f aca="false">IF(L22&lt;=Assumptions!$B$5,1,0)</f>
        <v>1</v>
      </c>
      <c r="N22" s="14" t="n">
        <f aca="false">IF(H22&gt;=G22,1,0)</f>
        <v>1</v>
      </c>
      <c r="O22" s="14" t="n">
        <f aca="false">M22*N22</f>
        <v>1</v>
      </c>
      <c r="P22" s="15" t="n">
        <f aca="false">L22*Assumptions!$B$6</f>
        <v>0</v>
      </c>
      <c r="Q22" s="31" t="n">
        <f aca="false">IF(I22=0,0,J22/I22)</f>
        <v>67.8960396039604</v>
      </c>
      <c r="R22" s="18" t="n">
        <f aca="false">IF(H22=0,0,K22/H22)</f>
        <v>0.0075</v>
      </c>
      <c r="S22" s="14" t="n">
        <f aca="false">MONTH(D22)</f>
        <v>1</v>
      </c>
    </row>
    <row r="23" customFormat="false" ht="15" hidden="false" customHeight="false" outlineLevel="0" collapsed="false">
      <c r="A23" s="21" t="s">
        <v>119</v>
      </c>
      <c r="B23" s="21" t="s">
        <v>46</v>
      </c>
      <c r="C23" s="21" t="s">
        <v>57</v>
      </c>
      <c r="D23" s="29" t="n">
        <v>46060</v>
      </c>
      <c r="E23" s="29" t="n">
        <v>46066</v>
      </c>
      <c r="F23" s="29" t="n">
        <v>46066</v>
      </c>
      <c r="G23" s="21" t="n">
        <v>710</v>
      </c>
      <c r="H23" s="21" t="n">
        <v>710</v>
      </c>
      <c r="I23" s="21" t="n">
        <v>268</v>
      </c>
      <c r="J23" s="30" t="n">
        <v>31413</v>
      </c>
      <c r="K23" s="21" t="n">
        <v>2</v>
      </c>
      <c r="L23" s="14" t="n">
        <f aca="false">MAX(0,F23-E23)</f>
        <v>0</v>
      </c>
      <c r="M23" s="14" t="n">
        <f aca="false">IF(L23&lt;=Assumptions!$B$5,1,0)</f>
        <v>1</v>
      </c>
      <c r="N23" s="14" t="n">
        <f aca="false">IF(H23&gt;=G23,1,0)</f>
        <v>1</v>
      </c>
      <c r="O23" s="14" t="n">
        <f aca="false">M23*N23</f>
        <v>1</v>
      </c>
      <c r="P23" s="15" t="n">
        <f aca="false">L23*Assumptions!$B$6</f>
        <v>0</v>
      </c>
      <c r="Q23" s="31" t="n">
        <f aca="false">IF(I23=0,0,J23/I23)</f>
        <v>117.212686567164</v>
      </c>
      <c r="R23" s="18" t="n">
        <f aca="false">IF(H23=0,0,K23/H23)</f>
        <v>0.0028169014084507</v>
      </c>
      <c r="S23" s="14" t="n">
        <f aca="false">MONTH(D23)</f>
        <v>2</v>
      </c>
    </row>
    <row r="24" customFormat="false" ht="15" hidden="false" customHeight="false" outlineLevel="0" collapsed="false">
      <c r="A24" s="21" t="s">
        <v>120</v>
      </c>
      <c r="B24" s="21" t="s">
        <v>48</v>
      </c>
      <c r="C24" s="21" t="s">
        <v>58</v>
      </c>
      <c r="D24" s="29" t="n">
        <v>46257</v>
      </c>
      <c r="E24" s="29" t="n">
        <v>46267</v>
      </c>
      <c r="F24" s="29" t="n">
        <v>46267</v>
      </c>
      <c r="G24" s="21" t="n">
        <v>610</v>
      </c>
      <c r="H24" s="21" t="n">
        <v>610</v>
      </c>
      <c r="I24" s="21" t="n">
        <v>252</v>
      </c>
      <c r="J24" s="30" t="n">
        <v>27517</v>
      </c>
      <c r="K24" s="21" t="n">
        <v>35</v>
      </c>
      <c r="L24" s="14" t="n">
        <f aca="false">MAX(0,F24-E24)</f>
        <v>0</v>
      </c>
      <c r="M24" s="14" t="n">
        <f aca="false">IF(L24&lt;=Assumptions!$B$5,1,0)</f>
        <v>1</v>
      </c>
      <c r="N24" s="14" t="n">
        <f aca="false">IF(H24&gt;=G24,1,0)</f>
        <v>1</v>
      </c>
      <c r="O24" s="14" t="n">
        <f aca="false">M24*N24</f>
        <v>1</v>
      </c>
      <c r="P24" s="15" t="n">
        <f aca="false">L24*Assumptions!$B$6</f>
        <v>0</v>
      </c>
      <c r="Q24" s="31" t="n">
        <f aca="false">IF(I24=0,0,J24/I24)</f>
        <v>109.194444444444</v>
      </c>
      <c r="R24" s="18" t="n">
        <f aca="false">IF(H24=0,0,K24/H24)</f>
        <v>0.0573770491803279</v>
      </c>
      <c r="S24" s="14" t="n">
        <f aca="false">MONTH(D24)</f>
        <v>8</v>
      </c>
    </row>
    <row r="25" customFormat="false" ht="15" hidden="false" customHeight="false" outlineLevel="0" collapsed="false">
      <c r="A25" s="21" t="s">
        <v>121</v>
      </c>
      <c r="B25" s="21" t="s">
        <v>48</v>
      </c>
      <c r="C25" s="21" t="s">
        <v>54</v>
      </c>
      <c r="D25" s="29" t="n">
        <v>46144</v>
      </c>
      <c r="E25" s="29" t="n">
        <v>46150</v>
      </c>
      <c r="F25" s="29" t="n">
        <v>46150</v>
      </c>
      <c r="G25" s="21" t="n">
        <v>430</v>
      </c>
      <c r="H25" s="21" t="n">
        <v>430</v>
      </c>
      <c r="I25" s="21" t="n">
        <v>461</v>
      </c>
      <c r="J25" s="30" t="n">
        <v>36932</v>
      </c>
      <c r="K25" s="21" t="n">
        <v>23</v>
      </c>
      <c r="L25" s="14" t="n">
        <f aca="false">MAX(0,F25-E25)</f>
        <v>0</v>
      </c>
      <c r="M25" s="14" t="n">
        <f aca="false">IF(L25&lt;=Assumptions!$B$5,1,0)</f>
        <v>1</v>
      </c>
      <c r="N25" s="14" t="n">
        <f aca="false">IF(H25&gt;=G25,1,0)</f>
        <v>1</v>
      </c>
      <c r="O25" s="14" t="n">
        <f aca="false">M25*N25</f>
        <v>1</v>
      </c>
      <c r="P25" s="15" t="n">
        <f aca="false">L25*Assumptions!$B$6</f>
        <v>0</v>
      </c>
      <c r="Q25" s="31" t="n">
        <f aca="false">IF(I25=0,0,J25/I25)</f>
        <v>80.1127982646421</v>
      </c>
      <c r="R25" s="18" t="n">
        <f aca="false">IF(H25=0,0,K25/H25)</f>
        <v>0.0534883720930233</v>
      </c>
      <c r="S25" s="14" t="n">
        <f aca="false">MONTH(D25)</f>
        <v>5</v>
      </c>
    </row>
    <row r="26" customFormat="false" ht="15" hidden="false" customHeight="false" outlineLevel="0" collapsed="false">
      <c r="A26" s="21" t="s">
        <v>122</v>
      </c>
      <c r="B26" s="21" t="s">
        <v>47</v>
      </c>
      <c r="C26" s="21" t="s">
        <v>57</v>
      </c>
      <c r="D26" s="29" t="n">
        <v>46076</v>
      </c>
      <c r="E26" s="29" t="n">
        <v>46083</v>
      </c>
      <c r="F26" s="29" t="n">
        <v>46083</v>
      </c>
      <c r="G26" s="21" t="n">
        <v>370</v>
      </c>
      <c r="H26" s="21" t="n">
        <v>370</v>
      </c>
      <c r="I26" s="21" t="n">
        <v>314</v>
      </c>
      <c r="J26" s="30" t="n">
        <v>34755</v>
      </c>
      <c r="K26" s="21" t="n">
        <v>3</v>
      </c>
      <c r="L26" s="14" t="n">
        <f aca="false">MAX(0,F26-E26)</f>
        <v>0</v>
      </c>
      <c r="M26" s="14" t="n">
        <f aca="false">IF(L26&lt;=Assumptions!$B$5,1,0)</f>
        <v>1</v>
      </c>
      <c r="N26" s="14" t="n">
        <f aca="false">IF(H26&gt;=G26,1,0)</f>
        <v>1</v>
      </c>
      <c r="O26" s="14" t="n">
        <f aca="false">M26*N26</f>
        <v>1</v>
      </c>
      <c r="P26" s="15" t="n">
        <f aca="false">L26*Assumptions!$B$6</f>
        <v>0</v>
      </c>
      <c r="Q26" s="31" t="n">
        <f aca="false">IF(I26=0,0,J26/I26)</f>
        <v>110.684713375796</v>
      </c>
      <c r="R26" s="18" t="n">
        <f aca="false">IF(H26=0,0,K26/H26)</f>
        <v>0.00810810810810811</v>
      </c>
      <c r="S26" s="14" t="n">
        <f aca="false">MONTH(D26)</f>
        <v>2</v>
      </c>
    </row>
    <row r="27" customFormat="false" ht="15" hidden="false" customHeight="false" outlineLevel="0" collapsed="false">
      <c r="A27" s="21" t="s">
        <v>123</v>
      </c>
      <c r="B27" s="21" t="s">
        <v>45</v>
      </c>
      <c r="C27" s="21" t="s">
        <v>55</v>
      </c>
      <c r="D27" s="29" t="n">
        <v>46089</v>
      </c>
      <c r="E27" s="29" t="n">
        <v>46096</v>
      </c>
      <c r="F27" s="29" t="n">
        <v>46096</v>
      </c>
      <c r="G27" s="21" t="n">
        <v>880</v>
      </c>
      <c r="H27" s="21" t="n">
        <v>880</v>
      </c>
      <c r="I27" s="21" t="n">
        <v>283</v>
      </c>
      <c r="J27" s="30" t="n">
        <v>23236</v>
      </c>
      <c r="K27" s="21" t="n">
        <v>13</v>
      </c>
      <c r="L27" s="14" t="n">
        <f aca="false">MAX(0,F27-E27)</f>
        <v>0</v>
      </c>
      <c r="M27" s="14" t="n">
        <f aca="false">IF(L27&lt;=Assumptions!$B$5,1,0)</f>
        <v>1</v>
      </c>
      <c r="N27" s="14" t="n">
        <f aca="false">IF(H27&gt;=G27,1,0)</f>
        <v>1</v>
      </c>
      <c r="O27" s="14" t="n">
        <f aca="false">M27*N27</f>
        <v>1</v>
      </c>
      <c r="P27" s="15" t="n">
        <f aca="false">L27*Assumptions!$B$6</f>
        <v>0</v>
      </c>
      <c r="Q27" s="31" t="n">
        <f aca="false">IF(I27=0,0,J27/I27)</f>
        <v>82.1060070671378</v>
      </c>
      <c r="R27" s="18" t="n">
        <f aca="false">IF(H27=0,0,K27/H27)</f>
        <v>0.0147727272727273</v>
      </c>
      <c r="S27" s="14" t="n">
        <f aca="false">MONTH(D27)</f>
        <v>3</v>
      </c>
    </row>
    <row r="28" customFormat="false" ht="15" hidden="false" customHeight="false" outlineLevel="0" collapsed="false">
      <c r="A28" s="21" t="s">
        <v>124</v>
      </c>
      <c r="B28" s="21" t="s">
        <v>46</v>
      </c>
      <c r="C28" s="21" t="s">
        <v>53</v>
      </c>
      <c r="D28" s="29" t="n">
        <v>46210</v>
      </c>
      <c r="E28" s="29" t="n">
        <v>46217</v>
      </c>
      <c r="F28" s="29" t="n">
        <v>46216</v>
      </c>
      <c r="G28" s="21" t="n">
        <v>710</v>
      </c>
      <c r="H28" s="21" t="n">
        <v>710</v>
      </c>
      <c r="I28" s="21" t="n">
        <v>26</v>
      </c>
      <c r="J28" s="30" t="n">
        <v>4993</v>
      </c>
      <c r="K28" s="21" t="n">
        <v>10</v>
      </c>
      <c r="L28" s="14" t="n">
        <f aca="false">MAX(0,F28-E28)</f>
        <v>0</v>
      </c>
      <c r="M28" s="14" t="n">
        <f aca="false">IF(L28&lt;=Assumptions!$B$5,1,0)</f>
        <v>1</v>
      </c>
      <c r="N28" s="14" t="n">
        <f aca="false">IF(H28&gt;=G28,1,0)</f>
        <v>1</v>
      </c>
      <c r="O28" s="14" t="n">
        <f aca="false">M28*N28</f>
        <v>1</v>
      </c>
      <c r="P28" s="15" t="n">
        <f aca="false">L28*Assumptions!$B$6</f>
        <v>0</v>
      </c>
      <c r="Q28" s="31" t="n">
        <f aca="false">IF(I28=0,0,J28/I28)</f>
        <v>192.038461538462</v>
      </c>
      <c r="R28" s="18" t="n">
        <f aca="false">IF(H28=0,0,K28/H28)</f>
        <v>0.0140845070422535</v>
      </c>
      <c r="S28" s="14" t="n">
        <f aca="false">MONTH(D28)</f>
        <v>7</v>
      </c>
    </row>
    <row r="29" customFormat="false" ht="15" hidden="false" customHeight="false" outlineLevel="0" collapsed="false">
      <c r="A29" s="21" t="s">
        <v>125</v>
      </c>
      <c r="B29" s="21" t="s">
        <v>47</v>
      </c>
      <c r="C29" s="21" t="s">
        <v>54</v>
      </c>
      <c r="D29" s="29" t="n">
        <v>46273</v>
      </c>
      <c r="E29" s="29" t="n">
        <v>46276</v>
      </c>
      <c r="F29" s="29" t="n">
        <v>46275</v>
      </c>
      <c r="G29" s="21" t="n">
        <v>990</v>
      </c>
      <c r="H29" s="21" t="n">
        <v>807</v>
      </c>
      <c r="I29" s="21" t="n">
        <v>457</v>
      </c>
      <c r="J29" s="30" t="n">
        <v>52295</v>
      </c>
      <c r="K29" s="21" t="n">
        <v>27</v>
      </c>
      <c r="L29" s="14" t="n">
        <f aca="false">MAX(0,F29-E29)</f>
        <v>0</v>
      </c>
      <c r="M29" s="14" t="n">
        <f aca="false">IF(L29&lt;=Assumptions!$B$5,1,0)</f>
        <v>1</v>
      </c>
      <c r="N29" s="14" t="n">
        <f aca="false">IF(H29&gt;=G29,1,0)</f>
        <v>0</v>
      </c>
      <c r="O29" s="14" t="n">
        <f aca="false">M29*N29</f>
        <v>0</v>
      </c>
      <c r="P29" s="15" t="n">
        <f aca="false">L29*Assumptions!$B$6</f>
        <v>0</v>
      </c>
      <c r="Q29" s="31" t="n">
        <f aca="false">IF(I29=0,0,J29/I29)</f>
        <v>114.431072210066</v>
      </c>
      <c r="R29" s="18" t="n">
        <f aca="false">IF(H29=0,0,K29/H29)</f>
        <v>0.033457249070632</v>
      </c>
      <c r="S29" s="14" t="n">
        <f aca="false">MONTH(D29)</f>
        <v>9</v>
      </c>
    </row>
    <row r="30" customFormat="false" ht="15" hidden="false" customHeight="false" outlineLevel="0" collapsed="false">
      <c r="A30" s="21" t="s">
        <v>126</v>
      </c>
      <c r="B30" s="21" t="s">
        <v>47</v>
      </c>
      <c r="C30" s="21" t="s">
        <v>56</v>
      </c>
      <c r="D30" s="29" t="n">
        <v>46126</v>
      </c>
      <c r="E30" s="29" t="n">
        <v>46131</v>
      </c>
      <c r="F30" s="29" t="n">
        <v>46133</v>
      </c>
      <c r="G30" s="21" t="n">
        <v>960</v>
      </c>
      <c r="H30" s="21" t="n">
        <v>960</v>
      </c>
      <c r="I30" s="21" t="n">
        <v>173</v>
      </c>
      <c r="J30" s="30" t="n">
        <v>18216</v>
      </c>
      <c r="K30" s="21" t="n">
        <v>22</v>
      </c>
      <c r="L30" s="14" t="n">
        <f aca="false">MAX(0,F30-E30)</f>
        <v>2</v>
      </c>
      <c r="M30" s="14" t="n">
        <f aca="false">IF(L30&lt;=Assumptions!$B$5,1,0)</f>
        <v>0</v>
      </c>
      <c r="N30" s="14" t="n">
        <f aca="false">IF(H30&gt;=G30,1,0)</f>
        <v>1</v>
      </c>
      <c r="O30" s="14" t="n">
        <f aca="false">M30*N30</f>
        <v>0</v>
      </c>
      <c r="P30" s="15" t="n">
        <f aca="false">L30*Assumptions!$B$6</f>
        <v>3000</v>
      </c>
      <c r="Q30" s="31" t="n">
        <f aca="false">IF(I30=0,0,J30/I30)</f>
        <v>105.294797687861</v>
      </c>
      <c r="R30" s="18" t="n">
        <f aca="false">IF(H30=0,0,K30/H30)</f>
        <v>0.0229166666666667</v>
      </c>
      <c r="S30" s="14" t="n">
        <f aca="false">MONTH(D30)</f>
        <v>4</v>
      </c>
    </row>
    <row r="31" customFormat="false" ht="15" hidden="false" customHeight="false" outlineLevel="0" collapsed="false">
      <c r="A31" s="21" t="s">
        <v>127</v>
      </c>
      <c r="B31" s="21" t="s">
        <v>50</v>
      </c>
      <c r="C31" s="21" t="s">
        <v>56</v>
      </c>
      <c r="D31" s="29" t="n">
        <v>46106</v>
      </c>
      <c r="E31" s="29" t="n">
        <v>46111</v>
      </c>
      <c r="F31" s="29" t="n">
        <v>46111</v>
      </c>
      <c r="G31" s="21" t="n">
        <v>580</v>
      </c>
      <c r="H31" s="21" t="n">
        <v>580</v>
      </c>
      <c r="I31" s="21" t="n">
        <v>187</v>
      </c>
      <c r="J31" s="30" t="n">
        <v>20806</v>
      </c>
      <c r="K31" s="21" t="n">
        <v>2</v>
      </c>
      <c r="L31" s="14" t="n">
        <f aca="false">MAX(0,F31-E31)</f>
        <v>0</v>
      </c>
      <c r="M31" s="14" t="n">
        <f aca="false">IF(L31&lt;=Assumptions!$B$5,1,0)</f>
        <v>1</v>
      </c>
      <c r="N31" s="14" t="n">
        <f aca="false">IF(H31&gt;=G31,1,0)</f>
        <v>1</v>
      </c>
      <c r="O31" s="14" t="n">
        <f aca="false">M31*N31</f>
        <v>1</v>
      </c>
      <c r="P31" s="15" t="n">
        <f aca="false">L31*Assumptions!$B$6</f>
        <v>0</v>
      </c>
      <c r="Q31" s="31" t="n">
        <f aca="false">IF(I31=0,0,J31/I31)</f>
        <v>111.262032085562</v>
      </c>
      <c r="R31" s="18" t="n">
        <f aca="false">IF(H31=0,0,K31/H31)</f>
        <v>0.00344827586206897</v>
      </c>
      <c r="S31" s="14" t="n">
        <f aca="false">MONTH(D31)</f>
        <v>3</v>
      </c>
    </row>
    <row r="32" customFormat="false" ht="15" hidden="false" customHeight="false" outlineLevel="0" collapsed="false">
      <c r="A32" s="21" t="s">
        <v>128</v>
      </c>
      <c r="B32" s="21" t="s">
        <v>48</v>
      </c>
      <c r="C32" s="21" t="s">
        <v>56</v>
      </c>
      <c r="D32" s="29" t="n">
        <v>46132</v>
      </c>
      <c r="E32" s="29" t="n">
        <v>46138</v>
      </c>
      <c r="F32" s="29" t="n">
        <v>46138</v>
      </c>
      <c r="G32" s="21" t="n">
        <v>800</v>
      </c>
      <c r="H32" s="21" t="n">
        <v>800</v>
      </c>
      <c r="I32" s="21" t="n">
        <v>184</v>
      </c>
      <c r="J32" s="30" t="n">
        <v>22976</v>
      </c>
      <c r="K32" s="21" t="n">
        <v>23</v>
      </c>
      <c r="L32" s="14" t="n">
        <f aca="false">MAX(0,F32-E32)</f>
        <v>0</v>
      </c>
      <c r="M32" s="14" t="n">
        <f aca="false">IF(L32&lt;=Assumptions!$B$5,1,0)</f>
        <v>1</v>
      </c>
      <c r="N32" s="14" t="n">
        <f aca="false">IF(H32&gt;=G32,1,0)</f>
        <v>1</v>
      </c>
      <c r="O32" s="14" t="n">
        <f aca="false">M32*N32</f>
        <v>1</v>
      </c>
      <c r="P32" s="15" t="n">
        <f aca="false">L32*Assumptions!$B$6</f>
        <v>0</v>
      </c>
      <c r="Q32" s="31" t="n">
        <f aca="false">IF(I32=0,0,J32/I32)</f>
        <v>124.869565217391</v>
      </c>
      <c r="R32" s="18" t="n">
        <f aca="false">IF(H32=0,0,K32/H32)</f>
        <v>0.02875</v>
      </c>
      <c r="S32" s="14" t="n">
        <f aca="false">MONTH(D32)</f>
        <v>4</v>
      </c>
    </row>
    <row r="33" customFormat="false" ht="15" hidden="false" customHeight="false" outlineLevel="0" collapsed="false">
      <c r="A33" s="21" t="s">
        <v>129</v>
      </c>
      <c r="B33" s="21" t="s">
        <v>45</v>
      </c>
      <c r="C33" s="21" t="s">
        <v>53</v>
      </c>
      <c r="D33" s="29" t="n">
        <v>46188</v>
      </c>
      <c r="E33" s="29" t="n">
        <v>46194</v>
      </c>
      <c r="F33" s="29" t="n">
        <v>46194</v>
      </c>
      <c r="G33" s="21" t="n">
        <v>830</v>
      </c>
      <c r="H33" s="21" t="n">
        <v>830</v>
      </c>
      <c r="I33" s="21" t="n">
        <v>42</v>
      </c>
      <c r="J33" s="30" t="n">
        <v>5454</v>
      </c>
      <c r="K33" s="21" t="n">
        <v>11</v>
      </c>
      <c r="L33" s="14" t="n">
        <f aca="false">MAX(0,F33-E33)</f>
        <v>0</v>
      </c>
      <c r="M33" s="14" t="n">
        <f aca="false">IF(L33&lt;=Assumptions!$B$5,1,0)</f>
        <v>1</v>
      </c>
      <c r="N33" s="14" t="n">
        <f aca="false">IF(H33&gt;=G33,1,0)</f>
        <v>1</v>
      </c>
      <c r="O33" s="14" t="n">
        <f aca="false">M33*N33</f>
        <v>1</v>
      </c>
      <c r="P33" s="15" t="n">
        <f aca="false">L33*Assumptions!$B$6</f>
        <v>0</v>
      </c>
      <c r="Q33" s="31" t="n">
        <f aca="false">IF(I33=0,0,J33/I33)</f>
        <v>129.857142857143</v>
      </c>
      <c r="R33" s="18" t="n">
        <f aca="false">IF(H33=0,0,K33/H33)</f>
        <v>0.0132530120481928</v>
      </c>
      <c r="S33" s="14" t="n">
        <f aca="false">MONTH(D33)</f>
        <v>6</v>
      </c>
    </row>
    <row r="34" customFormat="false" ht="15" hidden="false" customHeight="false" outlineLevel="0" collapsed="false">
      <c r="A34" s="21" t="s">
        <v>130</v>
      </c>
      <c r="B34" s="21" t="s">
        <v>45</v>
      </c>
      <c r="C34" s="21" t="s">
        <v>53</v>
      </c>
      <c r="D34" s="29" t="n">
        <v>46044</v>
      </c>
      <c r="E34" s="29" t="n">
        <v>46047</v>
      </c>
      <c r="F34" s="29" t="n">
        <v>46047</v>
      </c>
      <c r="G34" s="21" t="n">
        <v>750</v>
      </c>
      <c r="H34" s="21" t="n">
        <v>750</v>
      </c>
      <c r="I34" s="21" t="n">
        <v>54</v>
      </c>
      <c r="J34" s="30" t="n">
        <v>8386</v>
      </c>
      <c r="K34" s="21" t="n">
        <v>9</v>
      </c>
      <c r="L34" s="14" t="n">
        <f aca="false">MAX(0,F34-E34)</f>
        <v>0</v>
      </c>
      <c r="M34" s="14" t="n">
        <f aca="false">IF(L34&lt;=Assumptions!$B$5,1,0)</f>
        <v>1</v>
      </c>
      <c r="N34" s="14" t="n">
        <f aca="false">IF(H34&gt;=G34,1,0)</f>
        <v>1</v>
      </c>
      <c r="O34" s="14" t="n">
        <f aca="false">M34*N34</f>
        <v>1</v>
      </c>
      <c r="P34" s="15" t="n">
        <f aca="false">L34*Assumptions!$B$6</f>
        <v>0</v>
      </c>
      <c r="Q34" s="31" t="n">
        <f aca="false">IF(I34=0,0,J34/I34)</f>
        <v>155.296296296296</v>
      </c>
      <c r="R34" s="18" t="n">
        <f aca="false">IF(H34=0,0,K34/H34)</f>
        <v>0.012</v>
      </c>
      <c r="S34" s="14" t="n">
        <f aca="false">MONTH(D34)</f>
        <v>1</v>
      </c>
    </row>
    <row r="35" customFormat="false" ht="15" hidden="false" customHeight="false" outlineLevel="0" collapsed="false">
      <c r="A35" s="21" t="s">
        <v>131</v>
      </c>
      <c r="B35" s="21" t="s">
        <v>50</v>
      </c>
      <c r="C35" s="21" t="s">
        <v>53</v>
      </c>
      <c r="D35" s="29" t="n">
        <v>46235</v>
      </c>
      <c r="E35" s="29" t="n">
        <v>46244</v>
      </c>
      <c r="F35" s="29" t="n">
        <v>46244</v>
      </c>
      <c r="G35" s="21" t="n">
        <v>70</v>
      </c>
      <c r="H35" s="21" t="n">
        <v>70</v>
      </c>
      <c r="I35" s="21" t="n">
        <v>25</v>
      </c>
      <c r="J35" s="30" t="n">
        <v>3015</v>
      </c>
      <c r="K35" s="21" t="n">
        <v>1</v>
      </c>
      <c r="L35" s="14" t="n">
        <f aca="false">MAX(0,F35-E35)</f>
        <v>0</v>
      </c>
      <c r="M35" s="14" t="n">
        <f aca="false">IF(L35&lt;=Assumptions!$B$5,1,0)</f>
        <v>1</v>
      </c>
      <c r="N35" s="14" t="n">
        <f aca="false">IF(H35&gt;=G35,1,0)</f>
        <v>1</v>
      </c>
      <c r="O35" s="14" t="n">
        <f aca="false">M35*N35</f>
        <v>1</v>
      </c>
      <c r="P35" s="15" t="n">
        <f aca="false">L35*Assumptions!$B$6</f>
        <v>0</v>
      </c>
      <c r="Q35" s="31" t="n">
        <f aca="false">IF(I35=0,0,J35/I35)</f>
        <v>120.6</v>
      </c>
      <c r="R35" s="18" t="n">
        <f aca="false">IF(H35=0,0,K35/H35)</f>
        <v>0.0142857142857143</v>
      </c>
      <c r="S35" s="14" t="n">
        <f aca="false">MONTH(D35)</f>
        <v>8</v>
      </c>
    </row>
    <row r="36" customFormat="false" ht="15" hidden="false" customHeight="false" outlineLevel="0" collapsed="false">
      <c r="A36" s="21" t="s">
        <v>132</v>
      </c>
      <c r="B36" s="21" t="s">
        <v>48</v>
      </c>
      <c r="C36" s="21" t="s">
        <v>56</v>
      </c>
      <c r="D36" s="29" t="n">
        <v>46190</v>
      </c>
      <c r="E36" s="29" t="n">
        <v>46198</v>
      </c>
      <c r="F36" s="29" t="n">
        <v>46201</v>
      </c>
      <c r="G36" s="21" t="n">
        <v>990</v>
      </c>
      <c r="H36" s="21" t="n">
        <v>990</v>
      </c>
      <c r="I36" s="21" t="n">
        <v>198</v>
      </c>
      <c r="J36" s="30" t="n">
        <v>20861</v>
      </c>
      <c r="K36" s="21" t="n">
        <v>33</v>
      </c>
      <c r="L36" s="14" t="n">
        <f aca="false">MAX(0,F36-E36)</f>
        <v>3</v>
      </c>
      <c r="M36" s="14" t="n">
        <f aca="false">IF(L36&lt;=Assumptions!$B$5,1,0)</f>
        <v>0</v>
      </c>
      <c r="N36" s="14" t="n">
        <f aca="false">IF(H36&gt;=G36,1,0)</f>
        <v>1</v>
      </c>
      <c r="O36" s="14" t="n">
        <f aca="false">M36*N36</f>
        <v>0</v>
      </c>
      <c r="P36" s="15" t="n">
        <f aca="false">L36*Assumptions!$B$6</f>
        <v>4500</v>
      </c>
      <c r="Q36" s="31" t="n">
        <f aca="false">IF(I36=0,0,J36/I36)</f>
        <v>105.358585858586</v>
      </c>
      <c r="R36" s="18" t="n">
        <f aca="false">IF(H36=0,0,K36/H36)</f>
        <v>0.0333333333333333</v>
      </c>
      <c r="S36" s="14" t="n">
        <f aca="false">MONTH(D36)</f>
        <v>6</v>
      </c>
    </row>
    <row r="37" customFormat="false" ht="15" hidden="false" customHeight="false" outlineLevel="0" collapsed="false">
      <c r="A37" s="21" t="s">
        <v>133</v>
      </c>
      <c r="B37" s="21" t="s">
        <v>46</v>
      </c>
      <c r="C37" s="21" t="s">
        <v>53</v>
      </c>
      <c r="D37" s="29" t="n">
        <v>46168</v>
      </c>
      <c r="E37" s="29" t="n">
        <v>46174</v>
      </c>
      <c r="F37" s="29" t="n">
        <v>46176</v>
      </c>
      <c r="G37" s="21" t="n">
        <v>100</v>
      </c>
      <c r="H37" s="21" t="n">
        <v>100</v>
      </c>
      <c r="I37" s="21" t="n">
        <v>34</v>
      </c>
      <c r="J37" s="30" t="n">
        <v>3472</v>
      </c>
      <c r="K37" s="21" t="n">
        <v>1</v>
      </c>
      <c r="L37" s="14" t="n">
        <f aca="false">MAX(0,F37-E37)</f>
        <v>2</v>
      </c>
      <c r="M37" s="14" t="n">
        <f aca="false">IF(L37&lt;=Assumptions!$B$5,1,0)</f>
        <v>0</v>
      </c>
      <c r="N37" s="14" t="n">
        <f aca="false">IF(H37&gt;=G37,1,0)</f>
        <v>1</v>
      </c>
      <c r="O37" s="14" t="n">
        <f aca="false">M37*N37</f>
        <v>0</v>
      </c>
      <c r="P37" s="15" t="n">
        <f aca="false">L37*Assumptions!$B$6</f>
        <v>3000</v>
      </c>
      <c r="Q37" s="31" t="n">
        <f aca="false">IF(I37=0,0,J37/I37)</f>
        <v>102.117647058824</v>
      </c>
      <c r="R37" s="18" t="n">
        <f aca="false">IF(H37=0,0,K37/H37)</f>
        <v>0.01</v>
      </c>
      <c r="S37" s="14" t="n">
        <f aca="false">MONTH(D37)</f>
        <v>5</v>
      </c>
    </row>
    <row r="38" customFormat="false" ht="15" hidden="false" customHeight="false" outlineLevel="0" collapsed="false">
      <c r="A38" s="21" t="s">
        <v>134</v>
      </c>
      <c r="B38" s="21" t="s">
        <v>50</v>
      </c>
      <c r="C38" s="21" t="s">
        <v>56</v>
      </c>
      <c r="D38" s="29" t="n">
        <v>46093</v>
      </c>
      <c r="E38" s="29" t="n">
        <v>46102</v>
      </c>
      <c r="F38" s="29" t="n">
        <v>46102</v>
      </c>
      <c r="G38" s="21" t="n">
        <v>130</v>
      </c>
      <c r="H38" s="21" t="n">
        <v>130</v>
      </c>
      <c r="I38" s="21" t="n">
        <v>172</v>
      </c>
      <c r="J38" s="30" t="n">
        <v>12036</v>
      </c>
      <c r="K38" s="21" t="n">
        <v>3</v>
      </c>
      <c r="L38" s="14" t="n">
        <f aca="false">MAX(0,F38-E38)</f>
        <v>0</v>
      </c>
      <c r="M38" s="14" t="n">
        <f aca="false">IF(L38&lt;=Assumptions!$B$5,1,0)</f>
        <v>1</v>
      </c>
      <c r="N38" s="14" t="n">
        <f aca="false">IF(H38&gt;=G38,1,0)</f>
        <v>1</v>
      </c>
      <c r="O38" s="14" t="n">
        <f aca="false">M38*N38</f>
        <v>1</v>
      </c>
      <c r="P38" s="15" t="n">
        <f aca="false">L38*Assumptions!$B$6</f>
        <v>0</v>
      </c>
      <c r="Q38" s="31" t="n">
        <f aca="false">IF(I38=0,0,J38/I38)</f>
        <v>69.9767441860465</v>
      </c>
      <c r="R38" s="18" t="n">
        <f aca="false">IF(H38=0,0,K38/H38)</f>
        <v>0.0230769230769231</v>
      </c>
      <c r="S38" s="14" t="n">
        <f aca="false">MONTH(D38)</f>
        <v>3</v>
      </c>
    </row>
    <row r="39" customFormat="false" ht="15" hidden="false" customHeight="false" outlineLevel="0" collapsed="false">
      <c r="A39" s="21" t="s">
        <v>135</v>
      </c>
      <c r="B39" s="21" t="s">
        <v>45</v>
      </c>
      <c r="C39" s="21" t="s">
        <v>58</v>
      </c>
      <c r="D39" s="29" t="n">
        <v>46193</v>
      </c>
      <c r="E39" s="29" t="n">
        <v>46201</v>
      </c>
      <c r="F39" s="29" t="n">
        <v>46201</v>
      </c>
      <c r="G39" s="21" t="n">
        <v>760</v>
      </c>
      <c r="H39" s="21" t="n">
        <v>760</v>
      </c>
      <c r="I39" s="21" t="n">
        <v>265</v>
      </c>
      <c r="J39" s="30" t="n">
        <v>20007</v>
      </c>
      <c r="K39" s="21" t="n">
        <v>5</v>
      </c>
      <c r="L39" s="14" t="n">
        <f aca="false">MAX(0,F39-E39)</f>
        <v>0</v>
      </c>
      <c r="M39" s="14" t="n">
        <f aca="false">IF(L39&lt;=Assumptions!$B$5,1,0)</f>
        <v>1</v>
      </c>
      <c r="N39" s="14" t="n">
        <f aca="false">IF(H39&gt;=G39,1,0)</f>
        <v>1</v>
      </c>
      <c r="O39" s="14" t="n">
        <f aca="false">M39*N39</f>
        <v>1</v>
      </c>
      <c r="P39" s="15" t="n">
        <f aca="false">L39*Assumptions!$B$6</f>
        <v>0</v>
      </c>
      <c r="Q39" s="31" t="n">
        <f aca="false">IF(I39=0,0,J39/I39)</f>
        <v>75.4981132075472</v>
      </c>
      <c r="R39" s="18" t="n">
        <f aca="false">IF(H39=0,0,K39/H39)</f>
        <v>0.00657894736842105</v>
      </c>
      <c r="S39" s="14" t="n">
        <f aca="false">MONTH(D39)</f>
        <v>6</v>
      </c>
    </row>
    <row r="40" customFormat="false" ht="15" hidden="false" customHeight="false" outlineLevel="0" collapsed="false">
      <c r="A40" s="21" t="s">
        <v>136</v>
      </c>
      <c r="B40" s="21" t="s">
        <v>47</v>
      </c>
      <c r="C40" s="21" t="s">
        <v>57</v>
      </c>
      <c r="D40" s="29" t="n">
        <v>46123</v>
      </c>
      <c r="E40" s="29" t="n">
        <v>46131</v>
      </c>
      <c r="F40" s="29" t="n">
        <v>46131</v>
      </c>
      <c r="G40" s="21" t="n">
        <v>710</v>
      </c>
      <c r="H40" s="21" t="n">
        <v>710</v>
      </c>
      <c r="I40" s="21" t="n">
        <v>271</v>
      </c>
      <c r="J40" s="30" t="n">
        <v>21037</v>
      </c>
      <c r="K40" s="21" t="n">
        <v>17</v>
      </c>
      <c r="L40" s="14" t="n">
        <f aca="false">MAX(0,F40-E40)</f>
        <v>0</v>
      </c>
      <c r="M40" s="14" t="n">
        <f aca="false">IF(L40&lt;=Assumptions!$B$5,1,0)</f>
        <v>1</v>
      </c>
      <c r="N40" s="14" t="n">
        <f aca="false">IF(H40&gt;=G40,1,0)</f>
        <v>1</v>
      </c>
      <c r="O40" s="14" t="n">
        <f aca="false">M40*N40</f>
        <v>1</v>
      </c>
      <c r="P40" s="15" t="n">
        <f aca="false">L40*Assumptions!$B$6</f>
        <v>0</v>
      </c>
      <c r="Q40" s="31" t="n">
        <f aca="false">IF(I40=0,0,J40/I40)</f>
        <v>77.6273062730627</v>
      </c>
      <c r="R40" s="18" t="n">
        <f aca="false">IF(H40=0,0,K40/H40)</f>
        <v>0.023943661971831</v>
      </c>
      <c r="S40" s="14" t="n">
        <f aca="false">MONTH(D40)</f>
        <v>4</v>
      </c>
    </row>
    <row r="41" customFormat="false" ht="15" hidden="false" customHeight="false" outlineLevel="0" collapsed="false">
      <c r="A41" s="21" t="s">
        <v>137</v>
      </c>
      <c r="B41" s="21" t="s">
        <v>47</v>
      </c>
      <c r="C41" s="21" t="s">
        <v>53</v>
      </c>
      <c r="D41" s="29" t="n">
        <v>46162</v>
      </c>
      <c r="E41" s="29" t="n">
        <v>46167</v>
      </c>
      <c r="F41" s="29" t="n">
        <v>46166</v>
      </c>
      <c r="G41" s="21" t="n">
        <v>610</v>
      </c>
      <c r="H41" s="21" t="n">
        <v>610</v>
      </c>
      <c r="I41" s="21" t="n">
        <v>51</v>
      </c>
      <c r="J41" s="30" t="n">
        <v>6550</v>
      </c>
      <c r="K41" s="21" t="n">
        <v>47</v>
      </c>
      <c r="L41" s="14" t="n">
        <f aca="false">MAX(0,F41-E41)</f>
        <v>0</v>
      </c>
      <c r="M41" s="14" t="n">
        <f aca="false">IF(L41&lt;=Assumptions!$B$5,1,0)</f>
        <v>1</v>
      </c>
      <c r="N41" s="14" t="n">
        <f aca="false">IF(H41&gt;=G41,1,0)</f>
        <v>1</v>
      </c>
      <c r="O41" s="14" t="n">
        <f aca="false">M41*N41</f>
        <v>1</v>
      </c>
      <c r="P41" s="15" t="n">
        <f aca="false">L41*Assumptions!$B$6</f>
        <v>0</v>
      </c>
      <c r="Q41" s="31" t="n">
        <f aca="false">IF(I41=0,0,J41/I41)</f>
        <v>128.43137254902</v>
      </c>
      <c r="R41" s="18" t="n">
        <f aca="false">IF(H41=0,0,K41/H41)</f>
        <v>0.0770491803278689</v>
      </c>
      <c r="S41" s="14" t="n">
        <f aca="false">MONTH(D41)</f>
        <v>5</v>
      </c>
    </row>
    <row r="42" customFormat="false" ht="15" hidden="false" customHeight="false" outlineLevel="0" collapsed="false">
      <c r="A42" s="21" t="s">
        <v>138</v>
      </c>
      <c r="B42" s="21" t="s">
        <v>49</v>
      </c>
      <c r="C42" s="21" t="s">
        <v>57</v>
      </c>
      <c r="D42" s="29" t="n">
        <v>46212</v>
      </c>
      <c r="E42" s="29" t="n">
        <v>46221</v>
      </c>
      <c r="F42" s="29" t="n">
        <v>46221</v>
      </c>
      <c r="G42" s="21" t="n">
        <v>110</v>
      </c>
      <c r="H42" s="21" t="n">
        <v>110</v>
      </c>
      <c r="I42" s="21" t="n">
        <v>272</v>
      </c>
      <c r="J42" s="30" t="n">
        <v>28560</v>
      </c>
      <c r="K42" s="21" t="n">
        <v>0</v>
      </c>
      <c r="L42" s="14" t="n">
        <f aca="false">MAX(0,F42-E42)</f>
        <v>0</v>
      </c>
      <c r="M42" s="14" t="n">
        <f aca="false">IF(L42&lt;=Assumptions!$B$5,1,0)</f>
        <v>1</v>
      </c>
      <c r="N42" s="14" t="n">
        <f aca="false">IF(H42&gt;=G42,1,0)</f>
        <v>1</v>
      </c>
      <c r="O42" s="14" t="n">
        <f aca="false">M42*N42</f>
        <v>1</v>
      </c>
      <c r="P42" s="15" t="n">
        <f aca="false">L42*Assumptions!$B$6</f>
        <v>0</v>
      </c>
      <c r="Q42" s="31" t="n">
        <f aca="false">IF(I42=0,0,J42/I42)</f>
        <v>105</v>
      </c>
      <c r="R42" s="18" t="n">
        <f aca="false">IF(H42=0,0,K42/H42)</f>
        <v>0</v>
      </c>
      <c r="S42" s="14" t="n">
        <f aca="false">MONTH(D42)</f>
        <v>7</v>
      </c>
    </row>
    <row r="43" customFormat="false" ht="15" hidden="false" customHeight="false" outlineLevel="0" collapsed="false">
      <c r="A43" s="21" t="s">
        <v>139</v>
      </c>
      <c r="B43" s="21" t="s">
        <v>49</v>
      </c>
      <c r="C43" s="21" t="s">
        <v>54</v>
      </c>
      <c r="D43" s="29" t="n">
        <v>46106</v>
      </c>
      <c r="E43" s="29" t="n">
        <v>46113</v>
      </c>
      <c r="F43" s="29" t="n">
        <v>46113</v>
      </c>
      <c r="G43" s="21" t="n">
        <v>280</v>
      </c>
      <c r="H43" s="21" t="n">
        <v>280</v>
      </c>
      <c r="I43" s="21" t="n">
        <v>515</v>
      </c>
      <c r="J43" s="30" t="n">
        <v>39496</v>
      </c>
      <c r="K43" s="21" t="n">
        <v>3</v>
      </c>
      <c r="L43" s="14" t="n">
        <f aca="false">MAX(0,F43-E43)</f>
        <v>0</v>
      </c>
      <c r="M43" s="14" t="n">
        <f aca="false">IF(L43&lt;=Assumptions!$B$5,1,0)</f>
        <v>1</v>
      </c>
      <c r="N43" s="14" t="n">
        <f aca="false">IF(H43&gt;=G43,1,0)</f>
        <v>1</v>
      </c>
      <c r="O43" s="14" t="n">
        <f aca="false">M43*N43</f>
        <v>1</v>
      </c>
      <c r="P43" s="15" t="n">
        <f aca="false">L43*Assumptions!$B$6</f>
        <v>0</v>
      </c>
      <c r="Q43" s="31" t="n">
        <f aca="false">IF(I43=0,0,J43/I43)</f>
        <v>76.6912621359223</v>
      </c>
      <c r="R43" s="18" t="n">
        <f aca="false">IF(H43=0,0,K43/H43)</f>
        <v>0.0107142857142857</v>
      </c>
      <c r="S43" s="14" t="n">
        <f aca="false">MONTH(D43)</f>
        <v>3</v>
      </c>
    </row>
    <row r="44" customFormat="false" ht="15" hidden="false" customHeight="false" outlineLevel="0" collapsed="false">
      <c r="A44" s="21" t="s">
        <v>140</v>
      </c>
      <c r="B44" s="21" t="s">
        <v>46</v>
      </c>
      <c r="C44" s="21" t="s">
        <v>53</v>
      </c>
      <c r="D44" s="29" t="n">
        <v>46202</v>
      </c>
      <c r="E44" s="29" t="n">
        <v>46206</v>
      </c>
      <c r="F44" s="29" t="n">
        <v>46206</v>
      </c>
      <c r="G44" s="21" t="n">
        <v>870</v>
      </c>
      <c r="H44" s="21" t="n">
        <v>870</v>
      </c>
      <c r="I44" s="21" t="n">
        <v>52</v>
      </c>
      <c r="J44" s="30" t="n">
        <v>9292</v>
      </c>
      <c r="K44" s="21" t="n">
        <v>26</v>
      </c>
      <c r="L44" s="14" t="n">
        <f aca="false">MAX(0,F44-E44)</f>
        <v>0</v>
      </c>
      <c r="M44" s="14" t="n">
        <f aca="false">IF(L44&lt;=Assumptions!$B$5,1,0)</f>
        <v>1</v>
      </c>
      <c r="N44" s="14" t="n">
        <f aca="false">IF(H44&gt;=G44,1,0)</f>
        <v>1</v>
      </c>
      <c r="O44" s="14" t="n">
        <f aca="false">M44*N44</f>
        <v>1</v>
      </c>
      <c r="P44" s="15" t="n">
        <f aca="false">L44*Assumptions!$B$6</f>
        <v>0</v>
      </c>
      <c r="Q44" s="31" t="n">
        <f aca="false">IF(I44=0,0,J44/I44)</f>
        <v>178.692307692308</v>
      </c>
      <c r="R44" s="18" t="n">
        <f aca="false">IF(H44=0,0,K44/H44)</f>
        <v>0.0298850574712644</v>
      </c>
      <c r="S44" s="14" t="n">
        <f aca="false">MONTH(D44)</f>
        <v>6</v>
      </c>
    </row>
    <row r="45" customFormat="false" ht="15" hidden="false" customHeight="false" outlineLevel="0" collapsed="false">
      <c r="A45" s="21" t="s">
        <v>141</v>
      </c>
      <c r="B45" s="21" t="s">
        <v>49</v>
      </c>
      <c r="C45" s="21" t="s">
        <v>57</v>
      </c>
      <c r="D45" s="29" t="n">
        <v>46229</v>
      </c>
      <c r="E45" s="29" t="n">
        <v>46234</v>
      </c>
      <c r="F45" s="29" t="n">
        <v>46235</v>
      </c>
      <c r="G45" s="21" t="n">
        <v>870</v>
      </c>
      <c r="H45" s="21" t="n">
        <v>870</v>
      </c>
      <c r="I45" s="21" t="n">
        <v>325</v>
      </c>
      <c r="J45" s="30" t="n">
        <v>35789</v>
      </c>
      <c r="K45" s="21" t="n">
        <v>2</v>
      </c>
      <c r="L45" s="14" t="n">
        <f aca="false">MAX(0,F45-E45)</f>
        <v>1</v>
      </c>
      <c r="M45" s="14" t="n">
        <f aca="false">IF(L45&lt;=Assumptions!$B$5,1,0)</f>
        <v>0</v>
      </c>
      <c r="N45" s="14" t="n">
        <f aca="false">IF(H45&gt;=G45,1,0)</f>
        <v>1</v>
      </c>
      <c r="O45" s="14" t="n">
        <f aca="false">M45*N45</f>
        <v>0</v>
      </c>
      <c r="P45" s="15" t="n">
        <f aca="false">L45*Assumptions!$B$6</f>
        <v>1500</v>
      </c>
      <c r="Q45" s="31" t="n">
        <f aca="false">IF(I45=0,0,J45/I45)</f>
        <v>110.12</v>
      </c>
      <c r="R45" s="18" t="n">
        <f aca="false">IF(H45=0,0,K45/H45)</f>
        <v>0.00229885057471264</v>
      </c>
      <c r="S45" s="14" t="n">
        <f aca="false">MONTH(D45)</f>
        <v>7</v>
      </c>
    </row>
    <row r="46" customFormat="false" ht="15" hidden="false" customHeight="false" outlineLevel="0" collapsed="false">
      <c r="A46" s="21" t="s">
        <v>142</v>
      </c>
      <c r="B46" s="21" t="s">
        <v>48</v>
      </c>
      <c r="C46" s="21" t="s">
        <v>58</v>
      </c>
      <c r="D46" s="29" t="n">
        <v>46236</v>
      </c>
      <c r="E46" s="29" t="n">
        <v>46244</v>
      </c>
      <c r="F46" s="29" t="n">
        <v>46244</v>
      </c>
      <c r="G46" s="21" t="n">
        <v>620</v>
      </c>
      <c r="H46" s="21" t="n">
        <v>556</v>
      </c>
      <c r="I46" s="21" t="n">
        <v>228</v>
      </c>
      <c r="J46" s="30" t="n">
        <v>24626</v>
      </c>
      <c r="K46" s="21" t="n">
        <v>6</v>
      </c>
      <c r="L46" s="14" t="n">
        <f aca="false">MAX(0,F46-E46)</f>
        <v>0</v>
      </c>
      <c r="M46" s="14" t="n">
        <f aca="false">IF(L46&lt;=Assumptions!$B$5,1,0)</f>
        <v>1</v>
      </c>
      <c r="N46" s="14" t="n">
        <f aca="false">IF(H46&gt;=G46,1,0)</f>
        <v>0</v>
      </c>
      <c r="O46" s="14" t="n">
        <f aca="false">M46*N46</f>
        <v>0</v>
      </c>
      <c r="P46" s="15" t="n">
        <f aca="false">L46*Assumptions!$B$6</f>
        <v>0</v>
      </c>
      <c r="Q46" s="31" t="n">
        <f aca="false">IF(I46=0,0,J46/I46)</f>
        <v>108.008771929825</v>
      </c>
      <c r="R46" s="18" t="n">
        <f aca="false">IF(H46=0,0,K46/H46)</f>
        <v>0.0107913669064748</v>
      </c>
      <c r="S46" s="14" t="n">
        <f aca="false">MONTH(D46)</f>
        <v>8</v>
      </c>
    </row>
    <row r="47" customFormat="false" ht="15" hidden="false" customHeight="false" outlineLevel="0" collapsed="false">
      <c r="A47" s="21" t="s">
        <v>143</v>
      </c>
      <c r="B47" s="21" t="s">
        <v>46</v>
      </c>
      <c r="C47" s="21" t="s">
        <v>55</v>
      </c>
      <c r="D47" s="29" t="n">
        <v>46108</v>
      </c>
      <c r="E47" s="29" t="n">
        <v>46111</v>
      </c>
      <c r="F47" s="29" t="n">
        <v>46112</v>
      </c>
      <c r="G47" s="21" t="n">
        <v>670</v>
      </c>
      <c r="H47" s="21" t="n">
        <v>670</v>
      </c>
      <c r="I47" s="21" t="n">
        <v>322</v>
      </c>
      <c r="J47" s="30" t="n">
        <v>34322</v>
      </c>
      <c r="K47" s="21" t="n">
        <v>7</v>
      </c>
      <c r="L47" s="14" t="n">
        <f aca="false">MAX(0,F47-E47)</f>
        <v>1</v>
      </c>
      <c r="M47" s="14" t="n">
        <f aca="false">IF(L47&lt;=Assumptions!$B$5,1,0)</f>
        <v>0</v>
      </c>
      <c r="N47" s="14" t="n">
        <f aca="false">IF(H47&gt;=G47,1,0)</f>
        <v>1</v>
      </c>
      <c r="O47" s="14" t="n">
        <f aca="false">M47*N47</f>
        <v>0</v>
      </c>
      <c r="P47" s="15" t="n">
        <f aca="false">L47*Assumptions!$B$6</f>
        <v>1500</v>
      </c>
      <c r="Q47" s="31" t="n">
        <f aca="false">IF(I47=0,0,J47/I47)</f>
        <v>106.590062111801</v>
      </c>
      <c r="R47" s="18" t="n">
        <f aca="false">IF(H47=0,0,K47/H47)</f>
        <v>0.0104477611940299</v>
      </c>
      <c r="S47" s="14" t="n">
        <f aca="false">MONTH(D47)</f>
        <v>3</v>
      </c>
    </row>
    <row r="48" customFormat="false" ht="15" hidden="false" customHeight="false" outlineLevel="0" collapsed="false">
      <c r="A48" s="21" t="s">
        <v>144</v>
      </c>
      <c r="B48" s="21" t="s">
        <v>49</v>
      </c>
      <c r="C48" s="21" t="s">
        <v>54</v>
      </c>
      <c r="D48" s="29" t="n">
        <v>46209</v>
      </c>
      <c r="E48" s="29" t="n">
        <v>46214</v>
      </c>
      <c r="F48" s="29" t="n">
        <v>46214</v>
      </c>
      <c r="G48" s="21" t="n">
        <v>120</v>
      </c>
      <c r="H48" s="21" t="n">
        <v>120</v>
      </c>
      <c r="I48" s="21" t="n">
        <v>495</v>
      </c>
      <c r="J48" s="30" t="n">
        <v>30801</v>
      </c>
      <c r="K48" s="21" t="n">
        <v>1</v>
      </c>
      <c r="L48" s="14" t="n">
        <f aca="false">MAX(0,F48-E48)</f>
        <v>0</v>
      </c>
      <c r="M48" s="14" t="n">
        <f aca="false">IF(L48&lt;=Assumptions!$B$5,1,0)</f>
        <v>1</v>
      </c>
      <c r="N48" s="14" t="n">
        <f aca="false">IF(H48&gt;=G48,1,0)</f>
        <v>1</v>
      </c>
      <c r="O48" s="14" t="n">
        <f aca="false">M48*N48</f>
        <v>1</v>
      </c>
      <c r="P48" s="15" t="n">
        <f aca="false">L48*Assumptions!$B$6</f>
        <v>0</v>
      </c>
      <c r="Q48" s="31" t="n">
        <f aca="false">IF(I48=0,0,J48/I48)</f>
        <v>62.2242424242424</v>
      </c>
      <c r="R48" s="18" t="n">
        <f aca="false">IF(H48=0,0,K48/H48)</f>
        <v>0.00833333333333333</v>
      </c>
      <c r="S48" s="14" t="n">
        <f aca="false">MONTH(D48)</f>
        <v>7</v>
      </c>
    </row>
    <row r="49" customFormat="false" ht="15" hidden="false" customHeight="false" outlineLevel="0" collapsed="false">
      <c r="A49" s="21" t="s">
        <v>145</v>
      </c>
      <c r="B49" s="21" t="s">
        <v>46</v>
      </c>
      <c r="C49" s="21" t="s">
        <v>57</v>
      </c>
      <c r="D49" s="29" t="n">
        <v>46116</v>
      </c>
      <c r="E49" s="29" t="n">
        <v>46120</v>
      </c>
      <c r="F49" s="29" t="n">
        <v>46120</v>
      </c>
      <c r="G49" s="21" t="n">
        <v>310</v>
      </c>
      <c r="H49" s="21" t="n">
        <v>310</v>
      </c>
      <c r="I49" s="21" t="n">
        <v>324</v>
      </c>
      <c r="J49" s="30" t="n">
        <v>22174</v>
      </c>
      <c r="K49" s="21" t="n">
        <v>1</v>
      </c>
      <c r="L49" s="14" t="n">
        <f aca="false">MAX(0,F49-E49)</f>
        <v>0</v>
      </c>
      <c r="M49" s="14" t="n">
        <f aca="false">IF(L49&lt;=Assumptions!$B$5,1,0)</f>
        <v>1</v>
      </c>
      <c r="N49" s="14" t="n">
        <f aca="false">IF(H49&gt;=G49,1,0)</f>
        <v>1</v>
      </c>
      <c r="O49" s="14" t="n">
        <f aca="false">M49*N49</f>
        <v>1</v>
      </c>
      <c r="P49" s="15" t="n">
        <f aca="false">L49*Assumptions!$B$6</f>
        <v>0</v>
      </c>
      <c r="Q49" s="31" t="n">
        <f aca="false">IF(I49=0,0,J49/I49)</f>
        <v>68.4382716049383</v>
      </c>
      <c r="R49" s="18" t="n">
        <f aca="false">IF(H49=0,0,K49/H49)</f>
        <v>0.0032258064516129</v>
      </c>
      <c r="S49" s="14" t="n">
        <f aca="false">MONTH(D49)</f>
        <v>4</v>
      </c>
    </row>
    <row r="50" customFormat="false" ht="15" hidden="false" customHeight="false" outlineLevel="0" collapsed="false">
      <c r="A50" s="21" t="s">
        <v>146</v>
      </c>
      <c r="B50" s="21" t="s">
        <v>50</v>
      </c>
      <c r="C50" s="21" t="s">
        <v>57</v>
      </c>
      <c r="D50" s="29" t="n">
        <v>46213</v>
      </c>
      <c r="E50" s="29" t="n">
        <v>46221</v>
      </c>
      <c r="F50" s="29" t="n">
        <v>46221</v>
      </c>
      <c r="G50" s="21" t="n">
        <v>100</v>
      </c>
      <c r="H50" s="21" t="n">
        <v>100</v>
      </c>
      <c r="I50" s="21" t="n">
        <v>308</v>
      </c>
      <c r="J50" s="30" t="n">
        <v>28181</v>
      </c>
      <c r="K50" s="21" t="n">
        <v>0</v>
      </c>
      <c r="L50" s="14" t="n">
        <f aca="false">MAX(0,F50-E50)</f>
        <v>0</v>
      </c>
      <c r="M50" s="14" t="n">
        <f aca="false">IF(L50&lt;=Assumptions!$B$5,1,0)</f>
        <v>1</v>
      </c>
      <c r="N50" s="14" t="n">
        <f aca="false">IF(H50&gt;=G50,1,0)</f>
        <v>1</v>
      </c>
      <c r="O50" s="14" t="n">
        <f aca="false">M50*N50</f>
        <v>1</v>
      </c>
      <c r="P50" s="15" t="n">
        <f aca="false">L50*Assumptions!$B$6</f>
        <v>0</v>
      </c>
      <c r="Q50" s="31" t="n">
        <f aca="false">IF(I50=0,0,J50/I50)</f>
        <v>91.4967532467532</v>
      </c>
      <c r="R50" s="18" t="n">
        <f aca="false">IF(H50=0,0,K50/H50)</f>
        <v>0</v>
      </c>
      <c r="S50" s="14" t="n">
        <f aca="false">MONTH(D50)</f>
        <v>7</v>
      </c>
    </row>
    <row r="51" customFormat="false" ht="15" hidden="false" customHeight="false" outlineLevel="0" collapsed="false">
      <c r="A51" s="21" t="s">
        <v>147</v>
      </c>
      <c r="B51" s="21" t="s">
        <v>46</v>
      </c>
      <c r="C51" s="21" t="s">
        <v>56</v>
      </c>
      <c r="D51" s="29" t="n">
        <v>46062</v>
      </c>
      <c r="E51" s="29" t="n">
        <v>46071</v>
      </c>
      <c r="F51" s="29" t="n">
        <v>46076</v>
      </c>
      <c r="G51" s="21" t="n">
        <v>260</v>
      </c>
      <c r="H51" s="21" t="n">
        <v>260</v>
      </c>
      <c r="I51" s="21" t="n">
        <v>168</v>
      </c>
      <c r="J51" s="30" t="n">
        <v>17577</v>
      </c>
      <c r="K51" s="21" t="n">
        <v>8</v>
      </c>
      <c r="L51" s="14" t="n">
        <f aca="false">MAX(0,F51-E51)</f>
        <v>5</v>
      </c>
      <c r="M51" s="14" t="n">
        <f aca="false">IF(L51&lt;=Assumptions!$B$5,1,0)</f>
        <v>0</v>
      </c>
      <c r="N51" s="14" t="n">
        <f aca="false">IF(H51&gt;=G51,1,0)</f>
        <v>1</v>
      </c>
      <c r="O51" s="14" t="n">
        <f aca="false">M51*N51</f>
        <v>0</v>
      </c>
      <c r="P51" s="15" t="n">
        <f aca="false">L51*Assumptions!$B$6</f>
        <v>7500</v>
      </c>
      <c r="Q51" s="31" t="n">
        <f aca="false">IF(I51=0,0,J51/I51)</f>
        <v>104.625</v>
      </c>
      <c r="R51" s="18" t="n">
        <f aca="false">IF(H51=0,0,K51/H51)</f>
        <v>0.0307692307692308</v>
      </c>
      <c r="S51" s="14" t="n">
        <f aca="false">MONTH(D51)</f>
        <v>2</v>
      </c>
    </row>
    <row r="52" customFormat="false" ht="15" hidden="false" customHeight="false" outlineLevel="0" collapsed="false">
      <c r="A52" s="21" t="s">
        <v>148</v>
      </c>
      <c r="B52" s="21" t="s">
        <v>48</v>
      </c>
      <c r="C52" s="21" t="s">
        <v>56</v>
      </c>
      <c r="D52" s="29" t="n">
        <v>46273</v>
      </c>
      <c r="E52" s="29" t="n">
        <v>46281</v>
      </c>
      <c r="F52" s="29" t="n">
        <v>46280</v>
      </c>
      <c r="G52" s="21" t="n">
        <v>910</v>
      </c>
      <c r="H52" s="21" t="n">
        <v>910</v>
      </c>
      <c r="I52" s="21" t="n">
        <v>197</v>
      </c>
      <c r="J52" s="30" t="n">
        <v>20307</v>
      </c>
      <c r="K52" s="21" t="n">
        <v>37</v>
      </c>
      <c r="L52" s="14" t="n">
        <f aca="false">MAX(0,F52-E52)</f>
        <v>0</v>
      </c>
      <c r="M52" s="14" t="n">
        <f aca="false">IF(L52&lt;=Assumptions!$B$5,1,0)</f>
        <v>1</v>
      </c>
      <c r="N52" s="14" t="n">
        <f aca="false">IF(H52&gt;=G52,1,0)</f>
        <v>1</v>
      </c>
      <c r="O52" s="14" t="n">
        <f aca="false">M52*N52</f>
        <v>1</v>
      </c>
      <c r="P52" s="15" t="n">
        <f aca="false">L52*Assumptions!$B$6</f>
        <v>0</v>
      </c>
      <c r="Q52" s="31" t="n">
        <f aca="false">IF(I52=0,0,J52/I52)</f>
        <v>103.081218274112</v>
      </c>
      <c r="R52" s="18" t="n">
        <f aca="false">IF(H52=0,0,K52/H52)</f>
        <v>0.0406593406593407</v>
      </c>
      <c r="S52" s="14" t="n">
        <f aca="false">MONTH(D52)</f>
        <v>9</v>
      </c>
    </row>
    <row r="53" customFormat="false" ht="15" hidden="false" customHeight="false" outlineLevel="0" collapsed="false">
      <c r="A53" s="21" t="s">
        <v>149</v>
      </c>
      <c r="B53" s="21" t="s">
        <v>48</v>
      </c>
      <c r="C53" s="21" t="s">
        <v>54</v>
      </c>
      <c r="D53" s="29" t="n">
        <v>46273</v>
      </c>
      <c r="E53" s="29" t="n">
        <v>46282</v>
      </c>
      <c r="F53" s="29" t="n">
        <v>46282</v>
      </c>
      <c r="G53" s="21" t="n">
        <v>510</v>
      </c>
      <c r="H53" s="21" t="n">
        <v>510</v>
      </c>
      <c r="I53" s="21" t="n">
        <v>442</v>
      </c>
      <c r="J53" s="30" t="n">
        <v>29919</v>
      </c>
      <c r="K53" s="21" t="n">
        <v>10</v>
      </c>
      <c r="L53" s="14" t="n">
        <f aca="false">MAX(0,F53-E53)</f>
        <v>0</v>
      </c>
      <c r="M53" s="14" t="n">
        <f aca="false">IF(L53&lt;=Assumptions!$B$5,1,0)</f>
        <v>1</v>
      </c>
      <c r="N53" s="14" t="n">
        <f aca="false">IF(H53&gt;=G53,1,0)</f>
        <v>1</v>
      </c>
      <c r="O53" s="14" t="n">
        <f aca="false">M53*N53</f>
        <v>1</v>
      </c>
      <c r="P53" s="15" t="n">
        <f aca="false">L53*Assumptions!$B$6</f>
        <v>0</v>
      </c>
      <c r="Q53" s="31" t="n">
        <f aca="false">IF(I53=0,0,J53/I53)</f>
        <v>67.6900452488688</v>
      </c>
      <c r="R53" s="18" t="n">
        <f aca="false">IF(H53=0,0,K53/H53)</f>
        <v>0.0196078431372549</v>
      </c>
      <c r="S53" s="14" t="n">
        <f aca="false">MONTH(D53)</f>
        <v>9</v>
      </c>
    </row>
    <row r="54" customFormat="false" ht="15" hidden="false" customHeight="false" outlineLevel="0" collapsed="false">
      <c r="A54" s="21" t="s">
        <v>150</v>
      </c>
      <c r="B54" s="21" t="s">
        <v>45</v>
      </c>
      <c r="C54" s="21" t="s">
        <v>53</v>
      </c>
      <c r="D54" s="29" t="n">
        <v>46199</v>
      </c>
      <c r="E54" s="29" t="n">
        <v>46207</v>
      </c>
      <c r="F54" s="29" t="n">
        <v>46207</v>
      </c>
      <c r="G54" s="21" t="n">
        <v>570</v>
      </c>
      <c r="H54" s="21" t="n">
        <v>570</v>
      </c>
      <c r="I54" s="21" t="n">
        <v>51</v>
      </c>
      <c r="J54" s="30" t="n">
        <v>5695</v>
      </c>
      <c r="K54" s="21" t="n">
        <v>10</v>
      </c>
      <c r="L54" s="14" t="n">
        <f aca="false">MAX(0,F54-E54)</f>
        <v>0</v>
      </c>
      <c r="M54" s="14" t="n">
        <f aca="false">IF(L54&lt;=Assumptions!$B$5,1,0)</f>
        <v>1</v>
      </c>
      <c r="N54" s="14" t="n">
        <f aca="false">IF(H54&gt;=G54,1,0)</f>
        <v>1</v>
      </c>
      <c r="O54" s="14" t="n">
        <f aca="false">M54*N54</f>
        <v>1</v>
      </c>
      <c r="P54" s="15" t="n">
        <f aca="false">L54*Assumptions!$B$6</f>
        <v>0</v>
      </c>
      <c r="Q54" s="31" t="n">
        <f aca="false">IF(I54=0,0,J54/I54)</f>
        <v>111.666666666667</v>
      </c>
      <c r="R54" s="18" t="n">
        <f aca="false">IF(H54=0,0,K54/H54)</f>
        <v>0.0175438596491228</v>
      </c>
      <c r="S54" s="14" t="n">
        <f aca="false">MONTH(D54)</f>
        <v>6</v>
      </c>
    </row>
    <row r="55" customFormat="false" ht="15" hidden="false" customHeight="false" outlineLevel="0" collapsed="false">
      <c r="A55" s="21" t="s">
        <v>151</v>
      </c>
      <c r="B55" s="21" t="s">
        <v>47</v>
      </c>
      <c r="C55" s="21" t="s">
        <v>58</v>
      </c>
      <c r="D55" s="29" t="n">
        <v>46056</v>
      </c>
      <c r="E55" s="29" t="n">
        <v>46064</v>
      </c>
      <c r="F55" s="29" t="n">
        <v>46063</v>
      </c>
      <c r="G55" s="21" t="n">
        <v>480</v>
      </c>
      <c r="H55" s="21" t="n">
        <v>480</v>
      </c>
      <c r="I55" s="21" t="n">
        <v>246</v>
      </c>
      <c r="J55" s="30" t="n">
        <v>17478</v>
      </c>
      <c r="K55" s="21" t="n">
        <v>11</v>
      </c>
      <c r="L55" s="14" t="n">
        <f aca="false">MAX(0,F55-E55)</f>
        <v>0</v>
      </c>
      <c r="M55" s="14" t="n">
        <f aca="false">IF(L55&lt;=Assumptions!$B$5,1,0)</f>
        <v>1</v>
      </c>
      <c r="N55" s="14" t="n">
        <f aca="false">IF(H55&gt;=G55,1,0)</f>
        <v>1</v>
      </c>
      <c r="O55" s="14" t="n">
        <f aca="false">M55*N55</f>
        <v>1</v>
      </c>
      <c r="P55" s="15" t="n">
        <f aca="false">L55*Assumptions!$B$6</f>
        <v>0</v>
      </c>
      <c r="Q55" s="31" t="n">
        <f aca="false">IF(I55=0,0,J55/I55)</f>
        <v>71.0487804878049</v>
      </c>
      <c r="R55" s="18" t="n">
        <f aca="false">IF(H55=0,0,K55/H55)</f>
        <v>0.0229166666666667</v>
      </c>
      <c r="S55" s="14" t="n">
        <f aca="false">MONTH(D55)</f>
        <v>2</v>
      </c>
    </row>
    <row r="56" customFormat="false" ht="15" hidden="false" customHeight="false" outlineLevel="0" collapsed="false">
      <c r="A56" s="21" t="s">
        <v>152</v>
      </c>
      <c r="B56" s="21" t="s">
        <v>50</v>
      </c>
      <c r="C56" s="21" t="s">
        <v>54</v>
      </c>
      <c r="D56" s="29" t="n">
        <v>46222</v>
      </c>
      <c r="E56" s="29" t="n">
        <v>46227</v>
      </c>
      <c r="F56" s="29" t="n">
        <v>46227</v>
      </c>
      <c r="G56" s="21" t="n">
        <v>810</v>
      </c>
      <c r="H56" s="21" t="n">
        <v>810</v>
      </c>
      <c r="I56" s="21" t="n">
        <v>407</v>
      </c>
      <c r="J56" s="30" t="n">
        <v>49193</v>
      </c>
      <c r="K56" s="21" t="n">
        <v>3</v>
      </c>
      <c r="L56" s="14" t="n">
        <f aca="false">MAX(0,F56-E56)</f>
        <v>0</v>
      </c>
      <c r="M56" s="14" t="n">
        <f aca="false">IF(L56&lt;=Assumptions!$B$5,1,0)</f>
        <v>1</v>
      </c>
      <c r="N56" s="14" t="n">
        <f aca="false">IF(H56&gt;=G56,1,0)</f>
        <v>1</v>
      </c>
      <c r="O56" s="14" t="n">
        <f aca="false">M56*N56</f>
        <v>1</v>
      </c>
      <c r="P56" s="15" t="n">
        <f aca="false">L56*Assumptions!$B$6</f>
        <v>0</v>
      </c>
      <c r="Q56" s="31" t="n">
        <f aca="false">IF(I56=0,0,J56/I56)</f>
        <v>120.867321867322</v>
      </c>
      <c r="R56" s="18" t="n">
        <f aca="false">IF(H56=0,0,K56/H56)</f>
        <v>0.0037037037037037</v>
      </c>
      <c r="S56" s="14" t="n">
        <f aca="false">MONTH(D56)</f>
        <v>7</v>
      </c>
    </row>
    <row r="57" customFormat="false" ht="15" hidden="false" customHeight="false" outlineLevel="0" collapsed="false">
      <c r="A57" s="21" t="s">
        <v>153</v>
      </c>
      <c r="B57" s="21" t="s">
        <v>50</v>
      </c>
      <c r="C57" s="21" t="s">
        <v>55</v>
      </c>
      <c r="D57" s="29" t="n">
        <v>46178</v>
      </c>
      <c r="E57" s="29" t="n">
        <v>46187</v>
      </c>
      <c r="F57" s="29" t="n">
        <v>46187</v>
      </c>
      <c r="G57" s="21" t="n">
        <v>850</v>
      </c>
      <c r="H57" s="21" t="n">
        <v>850</v>
      </c>
      <c r="I57" s="21" t="n">
        <v>342</v>
      </c>
      <c r="J57" s="30" t="n">
        <v>34939</v>
      </c>
      <c r="K57" s="21" t="n">
        <v>24</v>
      </c>
      <c r="L57" s="14" t="n">
        <f aca="false">MAX(0,F57-E57)</f>
        <v>0</v>
      </c>
      <c r="M57" s="14" t="n">
        <f aca="false">IF(L57&lt;=Assumptions!$B$5,1,0)</f>
        <v>1</v>
      </c>
      <c r="N57" s="14" t="n">
        <f aca="false">IF(H57&gt;=G57,1,0)</f>
        <v>1</v>
      </c>
      <c r="O57" s="14" t="n">
        <f aca="false">M57*N57</f>
        <v>1</v>
      </c>
      <c r="P57" s="15" t="n">
        <f aca="false">L57*Assumptions!$B$6</f>
        <v>0</v>
      </c>
      <c r="Q57" s="31" t="n">
        <f aca="false">IF(I57=0,0,J57/I57)</f>
        <v>102.16081871345</v>
      </c>
      <c r="R57" s="18" t="n">
        <f aca="false">IF(H57=0,0,K57/H57)</f>
        <v>0.0282352941176471</v>
      </c>
      <c r="S57" s="14" t="n">
        <f aca="false">MONTH(D57)</f>
        <v>6</v>
      </c>
    </row>
    <row r="58" customFormat="false" ht="15" hidden="false" customHeight="false" outlineLevel="0" collapsed="false">
      <c r="A58" s="21" t="s">
        <v>154</v>
      </c>
      <c r="B58" s="21" t="s">
        <v>47</v>
      </c>
      <c r="C58" s="21" t="s">
        <v>57</v>
      </c>
      <c r="D58" s="29" t="n">
        <v>46096</v>
      </c>
      <c r="E58" s="29" t="n">
        <v>46105</v>
      </c>
      <c r="F58" s="29" t="n">
        <v>46105</v>
      </c>
      <c r="G58" s="21" t="n">
        <v>50</v>
      </c>
      <c r="H58" s="21" t="n">
        <v>50</v>
      </c>
      <c r="I58" s="21" t="n">
        <v>296</v>
      </c>
      <c r="J58" s="30" t="n">
        <v>32058</v>
      </c>
      <c r="K58" s="21" t="n">
        <v>3</v>
      </c>
      <c r="L58" s="14" t="n">
        <f aca="false">MAX(0,F58-E58)</f>
        <v>0</v>
      </c>
      <c r="M58" s="14" t="n">
        <f aca="false">IF(L58&lt;=Assumptions!$B$5,1,0)</f>
        <v>1</v>
      </c>
      <c r="N58" s="14" t="n">
        <f aca="false">IF(H58&gt;=G58,1,0)</f>
        <v>1</v>
      </c>
      <c r="O58" s="14" t="n">
        <f aca="false">M58*N58</f>
        <v>1</v>
      </c>
      <c r="P58" s="15" t="n">
        <f aca="false">L58*Assumptions!$B$6</f>
        <v>0</v>
      </c>
      <c r="Q58" s="31" t="n">
        <f aca="false">IF(I58=0,0,J58/I58)</f>
        <v>108.304054054054</v>
      </c>
      <c r="R58" s="18" t="n">
        <f aca="false">IF(H58=0,0,K58/H58)</f>
        <v>0.06</v>
      </c>
      <c r="S58" s="14" t="n">
        <f aca="false">MONTH(D58)</f>
        <v>3</v>
      </c>
    </row>
    <row r="59" customFormat="false" ht="15" hidden="false" customHeight="false" outlineLevel="0" collapsed="false">
      <c r="A59" s="21" t="s">
        <v>155</v>
      </c>
      <c r="B59" s="21" t="s">
        <v>46</v>
      </c>
      <c r="C59" s="21" t="s">
        <v>56</v>
      </c>
      <c r="D59" s="29" t="n">
        <v>46163</v>
      </c>
      <c r="E59" s="29" t="n">
        <v>46169</v>
      </c>
      <c r="F59" s="29" t="n">
        <v>46169</v>
      </c>
      <c r="G59" s="21" t="n">
        <v>370</v>
      </c>
      <c r="H59" s="21" t="n">
        <v>370</v>
      </c>
      <c r="I59" s="21" t="n">
        <v>173</v>
      </c>
      <c r="J59" s="30" t="n">
        <v>17811</v>
      </c>
      <c r="K59" s="21" t="n">
        <v>13</v>
      </c>
      <c r="L59" s="14" t="n">
        <f aca="false">MAX(0,F59-E59)</f>
        <v>0</v>
      </c>
      <c r="M59" s="14" t="n">
        <f aca="false">IF(L59&lt;=Assumptions!$B$5,1,0)</f>
        <v>1</v>
      </c>
      <c r="N59" s="14" t="n">
        <f aca="false">IF(H59&gt;=G59,1,0)</f>
        <v>1</v>
      </c>
      <c r="O59" s="14" t="n">
        <f aca="false">M59*N59</f>
        <v>1</v>
      </c>
      <c r="P59" s="15" t="n">
        <f aca="false">L59*Assumptions!$B$6</f>
        <v>0</v>
      </c>
      <c r="Q59" s="31" t="n">
        <f aca="false">IF(I59=0,0,J59/I59)</f>
        <v>102.953757225434</v>
      </c>
      <c r="R59" s="18" t="n">
        <f aca="false">IF(H59=0,0,K59/H59)</f>
        <v>0.0351351351351351</v>
      </c>
      <c r="S59" s="14" t="n">
        <f aca="false">MONTH(D59)</f>
        <v>5</v>
      </c>
    </row>
    <row r="60" customFormat="false" ht="15" hidden="false" customHeight="false" outlineLevel="0" collapsed="false">
      <c r="A60" s="21" t="s">
        <v>156</v>
      </c>
      <c r="B60" s="21" t="s">
        <v>45</v>
      </c>
      <c r="C60" s="21" t="s">
        <v>56</v>
      </c>
      <c r="D60" s="29" t="n">
        <v>46083</v>
      </c>
      <c r="E60" s="29" t="n">
        <v>46090</v>
      </c>
      <c r="F60" s="29" t="n">
        <v>46090</v>
      </c>
      <c r="G60" s="21" t="n">
        <v>400</v>
      </c>
      <c r="H60" s="21" t="n">
        <v>400</v>
      </c>
      <c r="I60" s="21" t="n">
        <v>199</v>
      </c>
      <c r="J60" s="30" t="n">
        <v>23130</v>
      </c>
      <c r="K60" s="21" t="n">
        <v>7</v>
      </c>
      <c r="L60" s="14" t="n">
        <f aca="false">MAX(0,F60-E60)</f>
        <v>0</v>
      </c>
      <c r="M60" s="14" t="n">
        <f aca="false">IF(L60&lt;=Assumptions!$B$5,1,0)</f>
        <v>1</v>
      </c>
      <c r="N60" s="14" t="n">
        <f aca="false">IF(H60&gt;=G60,1,0)</f>
        <v>1</v>
      </c>
      <c r="O60" s="14" t="n">
        <f aca="false">M60*N60</f>
        <v>1</v>
      </c>
      <c r="P60" s="15" t="n">
        <f aca="false">L60*Assumptions!$B$6</f>
        <v>0</v>
      </c>
      <c r="Q60" s="31" t="n">
        <f aca="false">IF(I60=0,0,J60/I60)</f>
        <v>116.231155778894</v>
      </c>
      <c r="R60" s="18" t="n">
        <f aca="false">IF(H60=0,0,K60/H60)</f>
        <v>0.0175</v>
      </c>
      <c r="S60" s="14" t="n">
        <f aca="false">MONTH(D60)</f>
        <v>3</v>
      </c>
    </row>
    <row r="61" customFormat="false" ht="15" hidden="false" customHeight="false" outlineLevel="0" collapsed="false">
      <c r="A61" s="21" t="s">
        <v>157</v>
      </c>
      <c r="B61" s="21" t="s">
        <v>49</v>
      </c>
      <c r="C61" s="21" t="s">
        <v>53</v>
      </c>
      <c r="D61" s="29" t="n">
        <v>46189</v>
      </c>
      <c r="E61" s="29" t="n">
        <v>46195</v>
      </c>
      <c r="F61" s="29" t="n">
        <v>46195</v>
      </c>
      <c r="G61" s="21" t="n">
        <v>140</v>
      </c>
      <c r="H61" s="21" t="n">
        <v>140</v>
      </c>
      <c r="I61" s="21" t="n">
        <v>35</v>
      </c>
      <c r="J61" s="30" t="n">
        <v>3785</v>
      </c>
      <c r="K61" s="21" t="n">
        <v>0</v>
      </c>
      <c r="L61" s="14" t="n">
        <f aca="false">MAX(0,F61-E61)</f>
        <v>0</v>
      </c>
      <c r="M61" s="14" t="n">
        <f aca="false">IF(L61&lt;=Assumptions!$B$5,1,0)</f>
        <v>1</v>
      </c>
      <c r="N61" s="14" t="n">
        <f aca="false">IF(H61&gt;=G61,1,0)</f>
        <v>1</v>
      </c>
      <c r="O61" s="14" t="n">
        <f aca="false">M61*N61</f>
        <v>1</v>
      </c>
      <c r="P61" s="15" t="n">
        <f aca="false">L61*Assumptions!$B$6</f>
        <v>0</v>
      </c>
      <c r="Q61" s="31" t="n">
        <f aca="false">IF(I61=0,0,J61/I61)</f>
        <v>108.142857142857</v>
      </c>
      <c r="R61" s="18" t="n">
        <f aca="false">IF(H61=0,0,K61/H61)</f>
        <v>0</v>
      </c>
      <c r="S61" s="14" t="n">
        <f aca="false">MONTH(D61)</f>
        <v>6</v>
      </c>
    </row>
    <row r="62" customFormat="false" ht="15" hidden="false" customHeight="false" outlineLevel="0" collapsed="false">
      <c r="A62" s="21" t="s">
        <v>158</v>
      </c>
      <c r="B62" s="21" t="s">
        <v>49</v>
      </c>
      <c r="C62" s="21" t="s">
        <v>54</v>
      </c>
      <c r="D62" s="29" t="n">
        <v>46127</v>
      </c>
      <c r="E62" s="29" t="n">
        <v>46131</v>
      </c>
      <c r="F62" s="29" t="n">
        <v>46131</v>
      </c>
      <c r="G62" s="21" t="n">
        <v>50</v>
      </c>
      <c r="H62" s="21" t="n">
        <v>50</v>
      </c>
      <c r="I62" s="21" t="n">
        <v>471</v>
      </c>
      <c r="J62" s="30" t="n">
        <v>32618</v>
      </c>
      <c r="K62" s="21" t="n">
        <v>0</v>
      </c>
      <c r="L62" s="14" t="n">
        <f aca="false">MAX(0,F62-E62)</f>
        <v>0</v>
      </c>
      <c r="M62" s="14" t="n">
        <f aca="false">IF(L62&lt;=Assumptions!$B$5,1,0)</f>
        <v>1</v>
      </c>
      <c r="N62" s="14" t="n">
        <f aca="false">IF(H62&gt;=G62,1,0)</f>
        <v>1</v>
      </c>
      <c r="O62" s="14" t="n">
        <f aca="false">M62*N62</f>
        <v>1</v>
      </c>
      <c r="P62" s="15" t="n">
        <f aca="false">L62*Assumptions!$B$6</f>
        <v>0</v>
      </c>
      <c r="Q62" s="31" t="n">
        <f aca="false">IF(I62=0,0,J62/I62)</f>
        <v>69.2526539278132</v>
      </c>
      <c r="R62" s="18" t="n">
        <f aca="false">IF(H62=0,0,K62/H62)</f>
        <v>0</v>
      </c>
      <c r="S62" s="14" t="n">
        <f aca="false">MONTH(D62)</f>
        <v>4</v>
      </c>
    </row>
    <row r="63" customFormat="false" ht="15" hidden="false" customHeight="false" outlineLevel="0" collapsed="false">
      <c r="A63" s="21" t="s">
        <v>159</v>
      </c>
      <c r="B63" s="21" t="s">
        <v>50</v>
      </c>
      <c r="C63" s="21" t="s">
        <v>53</v>
      </c>
      <c r="D63" s="29" t="n">
        <v>46190</v>
      </c>
      <c r="E63" s="29" t="n">
        <v>46194</v>
      </c>
      <c r="F63" s="29" t="n">
        <v>46198</v>
      </c>
      <c r="G63" s="21" t="n">
        <v>530</v>
      </c>
      <c r="H63" s="21" t="n">
        <v>530</v>
      </c>
      <c r="I63" s="21" t="n">
        <v>45</v>
      </c>
      <c r="J63" s="30" t="n">
        <v>6186</v>
      </c>
      <c r="K63" s="21" t="n">
        <v>10</v>
      </c>
      <c r="L63" s="14" t="n">
        <f aca="false">MAX(0,F63-E63)</f>
        <v>4</v>
      </c>
      <c r="M63" s="14" t="n">
        <f aca="false">IF(L63&lt;=Assumptions!$B$5,1,0)</f>
        <v>0</v>
      </c>
      <c r="N63" s="14" t="n">
        <f aca="false">IF(H63&gt;=G63,1,0)</f>
        <v>1</v>
      </c>
      <c r="O63" s="14" t="n">
        <f aca="false">M63*N63</f>
        <v>0</v>
      </c>
      <c r="P63" s="15" t="n">
        <f aca="false">L63*Assumptions!$B$6</f>
        <v>6000</v>
      </c>
      <c r="Q63" s="31" t="n">
        <f aca="false">IF(I63=0,0,J63/I63)</f>
        <v>137.466666666667</v>
      </c>
      <c r="R63" s="18" t="n">
        <f aca="false">IF(H63=0,0,K63/H63)</f>
        <v>0.0188679245283019</v>
      </c>
      <c r="S63" s="14" t="n">
        <f aca="false">MONTH(D63)</f>
        <v>6</v>
      </c>
    </row>
    <row r="64" customFormat="false" ht="15" hidden="false" customHeight="false" outlineLevel="0" collapsed="false">
      <c r="A64" s="21" t="s">
        <v>160</v>
      </c>
      <c r="B64" s="21" t="s">
        <v>45</v>
      </c>
      <c r="C64" s="21" t="s">
        <v>53</v>
      </c>
      <c r="D64" s="29" t="n">
        <v>46127</v>
      </c>
      <c r="E64" s="29" t="n">
        <v>46137</v>
      </c>
      <c r="F64" s="29" t="n">
        <v>46137</v>
      </c>
      <c r="G64" s="21" t="n">
        <v>350</v>
      </c>
      <c r="H64" s="21" t="n">
        <v>350</v>
      </c>
      <c r="I64" s="21" t="n">
        <v>23</v>
      </c>
      <c r="J64" s="30" t="n">
        <v>3619</v>
      </c>
      <c r="K64" s="21" t="n">
        <v>2</v>
      </c>
      <c r="L64" s="14" t="n">
        <f aca="false">MAX(0,F64-E64)</f>
        <v>0</v>
      </c>
      <c r="M64" s="14" t="n">
        <f aca="false">IF(L64&lt;=Assumptions!$B$5,1,0)</f>
        <v>1</v>
      </c>
      <c r="N64" s="14" t="n">
        <f aca="false">IF(H64&gt;=G64,1,0)</f>
        <v>1</v>
      </c>
      <c r="O64" s="14" t="n">
        <f aca="false">M64*N64</f>
        <v>1</v>
      </c>
      <c r="P64" s="15" t="n">
        <f aca="false">L64*Assumptions!$B$6</f>
        <v>0</v>
      </c>
      <c r="Q64" s="31" t="n">
        <f aca="false">IF(I64=0,0,J64/I64)</f>
        <v>157.347826086957</v>
      </c>
      <c r="R64" s="18" t="n">
        <f aca="false">IF(H64=0,0,K64/H64)</f>
        <v>0.00571428571428571</v>
      </c>
      <c r="S64" s="14" t="n">
        <f aca="false">MONTH(D64)</f>
        <v>4</v>
      </c>
    </row>
    <row r="65" customFormat="false" ht="15" hidden="false" customHeight="false" outlineLevel="0" collapsed="false">
      <c r="A65" s="21" t="s">
        <v>161</v>
      </c>
      <c r="B65" s="21" t="s">
        <v>50</v>
      </c>
      <c r="C65" s="21" t="s">
        <v>53</v>
      </c>
      <c r="D65" s="29" t="n">
        <v>46258</v>
      </c>
      <c r="E65" s="29" t="n">
        <v>46264</v>
      </c>
      <c r="F65" s="29" t="n">
        <v>46265</v>
      </c>
      <c r="G65" s="21" t="n">
        <v>100</v>
      </c>
      <c r="H65" s="21" t="n">
        <v>100</v>
      </c>
      <c r="I65" s="21" t="n">
        <v>21</v>
      </c>
      <c r="J65" s="30" t="n">
        <v>2631</v>
      </c>
      <c r="K65" s="21" t="n">
        <v>2</v>
      </c>
      <c r="L65" s="14" t="n">
        <f aca="false">MAX(0,F65-E65)</f>
        <v>1</v>
      </c>
      <c r="M65" s="14" t="n">
        <f aca="false">IF(L65&lt;=Assumptions!$B$5,1,0)</f>
        <v>0</v>
      </c>
      <c r="N65" s="14" t="n">
        <f aca="false">IF(H65&gt;=G65,1,0)</f>
        <v>1</v>
      </c>
      <c r="O65" s="14" t="n">
        <f aca="false">M65*N65</f>
        <v>0</v>
      </c>
      <c r="P65" s="15" t="n">
        <f aca="false">L65*Assumptions!$B$6</f>
        <v>1500</v>
      </c>
      <c r="Q65" s="31" t="n">
        <f aca="false">IF(I65=0,0,J65/I65)</f>
        <v>125.285714285714</v>
      </c>
      <c r="R65" s="18" t="n">
        <f aca="false">IF(H65=0,0,K65/H65)</f>
        <v>0.02</v>
      </c>
      <c r="S65" s="14" t="n">
        <f aca="false">MONTH(D65)</f>
        <v>8</v>
      </c>
    </row>
    <row r="66" customFormat="false" ht="15" hidden="false" customHeight="false" outlineLevel="0" collapsed="false">
      <c r="A66" s="21" t="s">
        <v>162</v>
      </c>
      <c r="B66" s="21" t="s">
        <v>49</v>
      </c>
      <c r="C66" s="21" t="s">
        <v>53</v>
      </c>
      <c r="D66" s="29" t="n">
        <v>46129</v>
      </c>
      <c r="E66" s="29" t="n">
        <v>46135</v>
      </c>
      <c r="F66" s="29" t="n">
        <v>46135</v>
      </c>
      <c r="G66" s="21" t="n">
        <v>60</v>
      </c>
      <c r="H66" s="21" t="n">
        <v>60</v>
      </c>
      <c r="I66" s="21" t="n">
        <v>47</v>
      </c>
      <c r="J66" s="30" t="n">
        <v>4412</v>
      </c>
      <c r="K66" s="21" t="n">
        <v>0</v>
      </c>
      <c r="L66" s="14" t="n">
        <f aca="false">MAX(0,F66-E66)</f>
        <v>0</v>
      </c>
      <c r="M66" s="14" t="n">
        <f aca="false">IF(L66&lt;=Assumptions!$B$5,1,0)</f>
        <v>1</v>
      </c>
      <c r="N66" s="14" t="n">
        <f aca="false">IF(H66&gt;=G66,1,0)</f>
        <v>1</v>
      </c>
      <c r="O66" s="14" t="n">
        <f aca="false">M66*N66</f>
        <v>1</v>
      </c>
      <c r="P66" s="15" t="n">
        <f aca="false">L66*Assumptions!$B$6</f>
        <v>0</v>
      </c>
      <c r="Q66" s="31" t="n">
        <f aca="false">IF(I66=0,0,J66/I66)</f>
        <v>93.8723404255319</v>
      </c>
      <c r="R66" s="18" t="n">
        <f aca="false">IF(H66=0,0,K66/H66)</f>
        <v>0</v>
      </c>
      <c r="S66" s="14" t="n">
        <f aca="false">MONTH(D66)</f>
        <v>4</v>
      </c>
    </row>
    <row r="67" customFormat="false" ht="15" hidden="false" customHeight="false" outlineLevel="0" collapsed="false">
      <c r="A67" s="21" t="s">
        <v>163</v>
      </c>
      <c r="B67" s="21" t="s">
        <v>47</v>
      </c>
      <c r="C67" s="21" t="s">
        <v>57</v>
      </c>
      <c r="D67" s="29" t="n">
        <v>46035</v>
      </c>
      <c r="E67" s="29" t="n">
        <v>46044</v>
      </c>
      <c r="F67" s="29" t="n">
        <v>46050</v>
      </c>
      <c r="G67" s="21" t="n">
        <v>560</v>
      </c>
      <c r="H67" s="21" t="n">
        <v>514</v>
      </c>
      <c r="I67" s="21" t="n">
        <v>272</v>
      </c>
      <c r="J67" s="30" t="n">
        <v>23283</v>
      </c>
      <c r="K67" s="21" t="n">
        <v>12</v>
      </c>
      <c r="L67" s="14" t="n">
        <f aca="false">MAX(0,F67-E67)</f>
        <v>6</v>
      </c>
      <c r="M67" s="14" t="n">
        <f aca="false">IF(L67&lt;=Assumptions!$B$5,1,0)</f>
        <v>0</v>
      </c>
      <c r="N67" s="14" t="n">
        <f aca="false">IF(H67&gt;=G67,1,0)</f>
        <v>0</v>
      </c>
      <c r="O67" s="14" t="n">
        <f aca="false">M67*N67</f>
        <v>0</v>
      </c>
      <c r="P67" s="15" t="n">
        <f aca="false">L67*Assumptions!$B$6</f>
        <v>9000</v>
      </c>
      <c r="Q67" s="31" t="n">
        <f aca="false">IF(I67=0,0,J67/I67)</f>
        <v>85.5992647058824</v>
      </c>
      <c r="R67" s="18" t="n">
        <f aca="false">IF(H67=0,0,K67/H67)</f>
        <v>0.0233463035019455</v>
      </c>
      <c r="S67" s="14" t="n">
        <f aca="false">MONTH(D67)</f>
        <v>1</v>
      </c>
    </row>
    <row r="68" customFormat="false" ht="15" hidden="false" customHeight="false" outlineLevel="0" collapsed="false">
      <c r="A68" s="21" t="s">
        <v>164</v>
      </c>
      <c r="B68" s="21" t="s">
        <v>47</v>
      </c>
      <c r="C68" s="21" t="s">
        <v>54</v>
      </c>
      <c r="D68" s="29" t="n">
        <v>46245</v>
      </c>
      <c r="E68" s="29" t="n">
        <v>46252</v>
      </c>
      <c r="F68" s="29" t="n">
        <v>46252</v>
      </c>
      <c r="G68" s="21" t="n">
        <v>1000</v>
      </c>
      <c r="H68" s="21" t="n">
        <v>1000</v>
      </c>
      <c r="I68" s="21" t="n">
        <v>427</v>
      </c>
      <c r="J68" s="30" t="n">
        <v>45357</v>
      </c>
      <c r="K68" s="21" t="n">
        <v>79</v>
      </c>
      <c r="L68" s="14" t="n">
        <f aca="false">MAX(0,F68-E68)</f>
        <v>0</v>
      </c>
      <c r="M68" s="14" t="n">
        <f aca="false">IF(L68&lt;=Assumptions!$B$5,1,0)</f>
        <v>1</v>
      </c>
      <c r="N68" s="14" t="n">
        <f aca="false">IF(H68&gt;=G68,1,0)</f>
        <v>1</v>
      </c>
      <c r="O68" s="14" t="n">
        <f aca="false">M68*N68</f>
        <v>1</v>
      </c>
      <c r="P68" s="15" t="n">
        <f aca="false">L68*Assumptions!$B$6</f>
        <v>0</v>
      </c>
      <c r="Q68" s="31" t="n">
        <f aca="false">IF(I68=0,0,J68/I68)</f>
        <v>106.222482435597</v>
      </c>
      <c r="R68" s="18" t="n">
        <f aca="false">IF(H68=0,0,K68/H68)</f>
        <v>0.079</v>
      </c>
      <c r="S68" s="14" t="n">
        <f aca="false">MONTH(D68)</f>
        <v>8</v>
      </c>
    </row>
    <row r="69" customFormat="false" ht="15" hidden="false" customHeight="false" outlineLevel="0" collapsed="false">
      <c r="A69" s="21" t="s">
        <v>165</v>
      </c>
      <c r="B69" s="21" t="s">
        <v>47</v>
      </c>
      <c r="C69" s="21" t="s">
        <v>57</v>
      </c>
      <c r="D69" s="29" t="n">
        <v>46123</v>
      </c>
      <c r="E69" s="29" t="n">
        <v>46132</v>
      </c>
      <c r="F69" s="29" t="n">
        <v>46132</v>
      </c>
      <c r="G69" s="21" t="n">
        <v>270</v>
      </c>
      <c r="H69" s="21" t="n">
        <v>270</v>
      </c>
      <c r="I69" s="21" t="n">
        <v>294</v>
      </c>
      <c r="J69" s="30" t="n">
        <v>26639</v>
      </c>
      <c r="K69" s="21" t="n">
        <v>17</v>
      </c>
      <c r="L69" s="14" t="n">
        <f aca="false">MAX(0,F69-E69)</f>
        <v>0</v>
      </c>
      <c r="M69" s="14" t="n">
        <f aca="false">IF(L69&lt;=Assumptions!$B$5,1,0)</f>
        <v>1</v>
      </c>
      <c r="N69" s="14" t="n">
        <f aca="false">IF(H69&gt;=G69,1,0)</f>
        <v>1</v>
      </c>
      <c r="O69" s="14" t="n">
        <f aca="false">M69*N69</f>
        <v>1</v>
      </c>
      <c r="P69" s="15" t="n">
        <f aca="false">L69*Assumptions!$B$6</f>
        <v>0</v>
      </c>
      <c r="Q69" s="31" t="n">
        <f aca="false">IF(I69=0,0,J69/I69)</f>
        <v>90.608843537415</v>
      </c>
      <c r="R69" s="18" t="n">
        <f aca="false">IF(H69=0,0,K69/H69)</f>
        <v>0.062962962962963</v>
      </c>
      <c r="S69" s="14" t="n">
        <f aca="false">MONTH(D69)</f>
        <v>4</v>
      </c>
    </row>
    <row r="70" customFormat="false" ht="15" hidden="false" customHeight="false" outlineLevel="0" collapsed="false">
      <c r="A70" s="21" t="s">
        <v>166</v>
      </c>
      <c r="B70" s="21" t="s">
        <v>45</v>
      </c>
      <c r="C70" s="21" t="s">
        <v>53</v>
      </c>
      <c r="D70" s="29" t="n">
        <v>46274</v>
      </c>
      <c r="E70" s="29" t="n">
        <v>46281</v>
      </c>
      <c r="F70" s="29" t="n">
        <v>46281</v>
      </c>
      <c r="G70" s="21" t="n">
        <v>170</v>
      </c>
      <c r="H70" s="21" t="n">
        <v>170</v>
      </c>
      <c r="I70" s="21" t="n">
        <v>46</v>
      </c>
      <c r="J70" s="30" t="n">
        <v>5033</v>
      </c>
      <c r="K70" s="21" t="n">
        <v>1</v>
      </c>
      <c r="L70" s="14" t="n">
        <f aca="false">MAX(0,F70-E70)</f>
        <v>0</v>
      </c>
      <c r="M70" s="14" t="n">
        <f aca="false">IF(L70&lt;=Assumptions!$B$5,1,0)</f>
        <v>1</v>
      </c>
      <c r="N70" s="14" t="n">
        <f aca="false">IF(H70&gt;=G70,1,0)</f>
        <v>1</v>
      </c>
      <c r="O70" s="14" t="n">
        <f aca="false">M70*N70</f>
        <v>1</v>
      </c>
      <c r="P70" s="15" t="n">
        <f aca="false">L70*Assumptions!$B$6</f>
        <v>0</v>
      </c>
      <c r="Q70" s="31" t="n">
        <f aca="false">IF(I70=0,0,J70/I70)</f>
        <v>109.413043478261</v>
      </c>
      <c r="R70" s="18" t="n">
        <f aca="false">IF(H70=0,0,K70/H70)</f>
        <v>0.00588235294117647</v>
      </c>
      <c r="S70" s="14" t="n">
        <f aca="false">MONTH(D70)</f>
        <v>9</v>
      </c>
    </row>
    <row r="71" customFormat="false" ht="15" hidden="false" customHeight="false" outlineLevel="0" collapsed="false">
      <c r="A71" s="21" t="s">
        <v>167</v>
      </c>
      <c r="B71" s="21" t="s">
        <v>45</v>
      </c>
      <c r="C71" s="21" t="s">
        <v>53</v>
      </c>
      <c r="D71" s="29" t="n">
        <v>46089</v>
      </c>
      <c r="E71" s="29" t="n">
        <v>46098</v>
      </c>
      <c r="F71" s="29" t="n">
        <v>46098</v>
      </c>
      <c r="G71" s="21" t="n">
        <v>920</v>
      </c>
      <c r="H71" s="21" t="n">
        <v>920</v>
      </c>
      <c r="I71" s="21" t="n">
        <v>49</v>
      </c>
      <c r="J71" s="30" t="n">
        <v>9237</v>
      </c>
      <c r="K71" s="21" t="n">
        <v>7</v>
      </c>
      <c r="L71" s="14" t="n">
        <f aca="false">MAX(0,F71-E71)</f>
        <v>0</v>
      </c>
      <c r="M71" s="14" t="n">
        <f aca="false">IF(L71&lt;=Assumptions!$B$5,1,0)</f>
        <v>1</v>
      </c>
      <c r="N71" s="14" t="n">
        <f aca="false">IF(H71&gt;=G71,1,0)</f>
        <v>1</v>
      </c>
      <c r="O71" s="14" t="n">
        <f aca="false">M71*N71</f>
        <v>1</v>
      </c>
      <c r="P71" s="15" t="n">
        <f aca="false">L71*Assumptions!$B$6</f>
        <v>0</v>
      </c>
      <c r="Q71" s="31" t="n">
        <f aca="false">IF(I71=0,0,J71/I71)</f>
        <v>188.510204081633</v>
      </c>
      <c r="R71" s="18" t="n">
        <f aca="false">IF(H71=0,0,K71/H71)</f>
        <v>0.00760869565217391</v>
      </c>
      <c r="S71" s="14" t="n">
        <f aca="false">MONTH(D71)</f>
        <v>3</v>
      </c>
    </row>
    <row r="72" customFormat="false" ht="15" hidden="false" customHeight="false" outlineLevel="0" collapsed="false">
      <c r="A72" s="21" t="s">
        <v>168</v>
      </c>
      <c r="B72" s="21" t="s">
        <v>49</v>
      </c>
      <c r="C72" s="21" t="s">
        <v>56</v>
      </c>
      <c r="D72" s="29" t="n">
        <v>46054</v>
      </c>
      <c r="E72" s="29" t="n">
        <v>46063</v>
      </c>
      <c r="F72" s="29" t="n">
        <v>46062</v>
      </c>
      <c r="G72" s="21" t="n">
        <v>680</v>
      </c>
      <c r="H72" s="21" t="n">
        <v>680</v>
      </c>
      <c r="I72" s="21" t="n">
        <v>181</v>
      </c>
      <c r="J72" s="30" t="n">
        <v>21412</v>
      </c>
      <c r="K72" s="21" t="n">
        <v>5</v>
      </c>
      <c r="L72" s="14" t="n">
        <f aca="false">MAX(0,F72-E72)</f>
        <v>0</v>
      </c>
      <c r="M72" s="14" t="n">
        <f aca="false">IF(L72&lt;=Assumptions!$B$5,1,0)</f>
        <v>1</v>
      </c>
      <c r="N72" s="14" t="n">
        <f aca="false">IF(H72&gt;=G72,1,0)</f>
        <v>1</v>
      </c>
      <c r="O72" s="14" t="n">
        <f aca="false">M72*N72</f>
        <v>1</v>
      </c>
      <c r="P72" s="15" t="n">
        <f aca="false">L72*Assumptions!$B$6</f>
        <v>0</v>
      </c>
      <c r="Q72" s="31" t="n">
        <f aca="false">IF(I72=0,0,J72/I72)</f>
        <v>118.298342541436</v>
      </c>
      <c r="R72" s="18" t="n">
        <f aca="false">IF(H72=0,0,K72/H72)</f>
        <v>0.00735294117647059</v>
      </c>
      <c r="S72" s="14" t="n">
        <f aca="false">MONTH(D72)</f>
        <v>2</v>
      </c>
    </row>
    <row r="73" customFormat="false" ht="15" hidden="false" customHeight="false" outlineLevel="0" collapsed="false">
      <c r="A73" s="21" t="s">
        <v>169</v>
      </c>
      <c r="B73" s="21" t="s">
        <v>45</v>
      </c>
      <c r="C73" s="21" t="s">
        <v>57</v>
      </c>
      <c r="D73" s="29" t="n">
        <v>46160</v>
      </c>
      <c r="E73" s="29" t="n">
        <v>46170</v>
      </c>
      <c r="F73" s="29" t="n">
        <v>46170</v>
      </c>
      <c r="G73" s="21" t="n">
        <v>370</v>
      </c>
      <c r="H73" s="21" t="n">
        <v>370</v>
      </c>
      <c r="I73" s="21" t="n">
        <v>307</v>
      </c>
      <c r="J73" s="30" t="n">
        <v>20823</v>
      </c>
      <c r="K73" s="21" t="n">
        <v>1</v>
      </c>
      <c r="L73" s="14" t="n">
        <f aca="false">MAX(0,F73-E73)</f>
        <v>0</v>
      </c>
      <c r="M73" s="14" t="n">
        <f aca="false">IF(L73&lt;=Assumptions!$B$5,1,0)</f>
        <v>1</v>
      </c>
      <c r="N73" s="14" t="n">
        <f aca="false">IF(H73&gt;=G73,1,0)</f>
        <v>1</v>
      </c>
      <c r="O73" s="14" t="n">
        <f aca="false">M73*N73</f>
        <v>1</v>
      </c>
      <c r="P73" s="15" t="n">
        <f aca="false">L73*Assumptions!$B$6</f>
        <v>0</v>
      </c>
      <c r="Q73" s="31" t="n">
        <f aca="false">IF(I73=0,0,J73/I73)</f>
        <v>67.8273615635179</v>
      </c>
      <c r="R73" s="18" t="n">
        <f aca="false">IF(H73=0,0,K73/H73)</f>
        <v>0.0027027027027027</v>
      </c>
      <c r="S73" s="14" t="n">
        <f aca="false">MONTH(D73)</f>
        <v>5</v>
      </c>
    </row>
    <row r="74" customFormat="false" ht="15" hidden="false" customHeight="false" outlineLevel="0" collapsed="false">
      <c r="A74" s="21" t="s">
        <v>170</v>
      </c>
      <c r="B74" s="21" t="s">
        <v>48</v>
      </c>
      <c r="C74" s="21" t="s">
        <v>54</v>
      </c>
      <c r="D74" s="29" t="n">
        <v>46154</v>
      </c>
      <c r="E74" s="29" t="n">
        <v>46159</v>
      </c>
      <c r="F74" s="29" t="n">
        <v>46159</v>
      </c>
      <c r="G74" s="21" t="n">
        <v>700</v>
      </c>
      <c r="H74" s="21" t="n">
        <v>700</v>
      </c>
      <c r="I74" s="21" t="n">
        <v>455</v>
      </c>
      <c r="J74" s="30" t="n">
        <v>41224</v>
      </c>
      <c r="K74" s="21" t="n">
        <v>41</v>
      </c>
      <c r="L74" s="14" t="n">
        <f aca="false">MAX(0,F74-E74)</f>
        <v>0</v>
      </c>
      <c r="M74" s="14" t="n">
        <f aca="false">IF(L74&lt;=Assumptions!$B$5,1,0)</f>
        <v>1</v>
      </c>
      <c r="N74" s="14" t="n">
        <f aca="false">IF(H74&gt;=G74,1,0)</f>
        <v>1</v>
      </c>
      <c r="O74" s="14" t="n">
        <f aca="false">M74*N74</f>
        <v>1</v>
      </c>
      <c r="P74" s="15" t="n">
        <f aca="false">L74*Assumptions!$B$6</f>
        <v>0</v>
      </c>
      <c r="Q74" s="31" t="n">
        <f aca="false">IF(I74=0,0,J74/I74)</f>
        <v>90.6021978021978</v>
      </c>
      <c r="R74" s="18" t="n">
        <f aca="false">IF(H74=0,0,K74/H74)</f>
        <v>0.0585714285714286</v>
      </c>
      <c r="S74" s="14" t="n">
        <f aca="false">MONTH(D74)</f>
        <v>5</v>
      </c>
    </row>
    <row r="75" customFormat="false" ht="15" hidden="false" customHeight="false" outlineLevel="0" collapsed="false">
      <c r="A75" s="21" t="s">
        <v>171</v>
      </c>
      <c r="B75" s="21" t="s">
        <v>45</v>
      </c>
      <c r="C75" s="21" t="s">
        <v>53</v>
      </c>
      <c r="D75" s="29" t="n">
        <v>46153</v>
      </c>
      <c r="E75" s="29" t="n">
        <v>46158</v>
      </c>
      <c r="F75" s="29" t="n">
        <v>46158</v>
      </c>
      <c r="G75" s="21" t="n">
        <v>780</v>
      </c>
      <c r="H75" s="21" t="n">
        <v>780</v>
      </c>
      <c r="I75" s="21" t="n">
        <v>54</v>
      </c>
      <c r="J75" s="30" t="n">
        <v>9526</v>
      </c>
      <c r="K75" s="21" t="n">
        <v>8</v>
      </c>
      <c r="L75" s="14" t="n">
        <f aca="false">MAX(0,F75-E75)</f>
        <v>0</v>
      </c>
      <c r="M75" s="14" t="n">
        <f aca="false">IF(L75&lt;=Assumptions!$B$5,1,0)</f>
        <v>1</v>
      </c>
      <c r="N75" s="14" t="n">
        <f aca="false">IF(H75&gt;=G75,1,0)</f>
        <v>1</v>
      </c>
      <c r="O75" s="14" t="n">
        <f aca="false">M75*N75</f>
        <v>1</v>
      </c>
      <c r="P75" s="15" t="n">
        <f aca="false">L75*Assumptions!$B$6</f>
        <v>0</v>
      </c>
      <c r="Q75" s="31" t="n">
        <f aca="false">IF(I75=0,0,J75/I75)</f>
        <v>176.407407407407</v>
      </c>
      <c r="R75" s="18" t="n">
        <f aca="false">IF(H75=0,0,K75/H75)</f>
        <v>0.0102564102564103</v>
      </c>
      <c r="S75" s="14" t="n">
        <f aca="false">MONTH(D75)</f>
        <v>5</v>
      </c>
    </row>
    <row r="76" customFormat="false" ht="15" hidden="false" customHeight="false" outlineLevel="0" collapsed="false">
      <c r="A76" s="21" t="s">
        <v>172</v>
      </c>
      <c r="B76" s="21" t="s">
        <v>46</v>
      </c>
      <c r="C76" s="21" t="s">
        <v>58</v>
      </c>
      <c r="D76" s="29" t="n">
        <v>46100</v>
      </c>
      <c r="E76" s="29" t="n">
        <v>46107</v>
      </c>
      <c r="F76" s="29" t="n">
        <v>46107</v>
      </c>
      <c r="G76" s="21" t="n">
        <v>50</v>
      </c>
      <c r="H76" s="21" t="n">
        <v>50</v>
      </c>
      <c r="I76" s="21" t="n">
        <v>220</v>
      </c>
      <c r="J76" s="30" t="n">
        <v>17519</v>
      </c>
      <c r="K76" s="21" t="n">
        <v>0</v>
      </c>
      <c r="L76" s="14" t="n">
        <f aca="false">MAX(0,F76-E76)</f>
        <v>0</v>
      </c>
      <c r="M76" s="14" t="n">
        <f aca="false">IF(L76&lt;=Assumptions!$B$5,1,0)</f>
        <v>1</v>
      </c>
      <c r="N76" s="14" t="n">
        <f aca="false">IF(H76&gt;=G76,1,0)</f>
        <v>1</v>
      </c>
      <c r="O76" s="14" t="n">
        <f aca="false">M76*N76</f>
        <v>1</v>
      </c>
      <c r="P76" s="15" t="n">
        <f aca="false">L76*Assumptions!$B$6</f>
        <v>0</v>
      </c>
      <c r="Q76" s="31" t="n">
        <f aca="false">IF(I76=0,0,J76/I76)</f>
        <v>79.6318181818182</v>
      </c>
      <c r="R76" s="18" t="n">
        <f aca="false">IF(H76=0,0,K76/H76)</f>
        <v>0</v>
      </c>
      <c r="S76" s="14" t="n">
        <f aca="false">MONTH(D76)</f>
        <v>3</v>
      </c>
    </row>
    <row r="77" customFormat="false" ht="15" hidden="false" customHeight="false" outlineLevel="0" collapsed="false">
      <c r="A77" s="21" t="s">
        <v>173</v>
      </c>
      <c r="B77" s="21" t="s">
        <v>49</v>
      </c>
      <c r="C77" s="21" t="s">
        <v>56</v>
      </c>
      <c r="D77" s="29" t="n">
        <v>46209</v>
      </c>
      <c r="E77" s="29" t="n">
        <v>46214</v>
      </c>
      <c r="F77" s="29" t="n">
        <v>46214</v>
      </c>
      <c r="G77" s="21" t="n">
        <v>900</v>
      </c>
      <c r="H77" s="21" t="n">
        <v>900</v>
      </c>
      <c r="I77" s="21" t="n">
        <v>183</v>
      </c>
      <c r="J77" s="30" t="n">
        <v>19884</v>
      </c>
      <c r="K77" s="21" t="n">
        <v>12</v>
      </c>
      <c r="L77" s="14" t="n">
        <f aca="false">MAX(0,F77-E77)</f>
        <v>0</v>
      </c>
      <c r="M77" s="14" t="n">
        <f aca="false">IF(L77&lt;=Assumptions!$B$5,1,0)</f>
        <v>1</v>
      </c>
      <c r="N77" s="14" t="n">
        <f aca="false">IF(H77&gt;=G77,1,0)</f>
        <v>1</v>
      </c>
      <c r="O77" s="14" t="n">
        <f aca="false">M77*N77</f>
        <v>1</v>
      </c>
      <c r="P77" s="15" t="n">
        <f aca="false">L77*Assumptions!$B$6</f>
        <v>0</v>
      </c>
      <c r="Q77" s="31" t="n">
        <f aca="false">IF(I77=0,0,J77/I77)</f>
        <v>108.655737704918</v>
      </c>
      <c r="R77" s="18" t="n">
        <f aca="false">IF(H77=0,0,K77/H77)</f>
        <v>0.0133333333333333</v>
      </c>
      <c r="S77" s="14" t="n">
        <f aca="false">MONTH(D77)</f>
        <v>7</v>
      </c>
    </row>
    <row r="78" customFormat="false" ht="15" hidden="false" customHeight="false" outlineLevel="0" collapsed="false">
      <c r="A78" s="21" t="s">
        <v>174</v>
      </c>
      <c r="B78" s="21" t="s">
        <v>50</v>
      </c>
      <c r="C78" s="21" t="s">
        <v>53</v>
      </c>
      <c r="D78" s="29" t="n">
        <v>46212</v>
      </c>
      <c r="E78" s="29" t="n">
        <v>46218</v>
      </c>
      <c r="F78" s="29" t="n">
        <v>46218</v>
      </c>
      <c r="G78" s="21" t="n">
        <v>840</v>
      </c>
      <c r="H78" s="21" t="n">
        <v>840</v>
      </c>
      <c r="I78" s="21" t="n">
        <v>29</v>
      </c>
      <c r="J78" s="30" t="n">
        <v>8009</v>
      </c>
      <c r="K78" s="21" t="n">
        <v>8</v>
      </c>
      <c r="L78" s="14" t="n">
        <f aca="false">MAX(0,F78-E78)</f>
        <v>0</v>
      </c>
      <c r="M78" s="14" t="n">
        <f aca="false">IF(L78&lt;=Assumptions!$B$5,1,0)</f>
        <v>1</v>
      </c>
      <c r="N78" s="14" t="n">
        <f aca="false">IF(H78&gt;=G78,1,0)</f>
        <v>1</v>
      </c>
      <c r="O78" s="14" t="n">
        <f aca="false">M78*N78</f>
        <v>1</v>
      </c>
      <c r="P78" s="15" t="n">
        <f aca="false">L78*Assumptions!$B$6</f>
        <v>0</v>
      </c>
      <c r="Q78" s="31" t="n">
        <f aca="false">IF(I78=0,0,J78/I78)</f>
        <v>276.172413793103</v>
      </c>
      <c r="R78" s="18" t="n">
        <f aca="false">IF(H78=0,0,K78/H78)</f>
        <v>0.00952380952380953</v>
      </c>
      <c r="S78" s="14" t="n">
        <f aca="false">MONTH(D78)</f>
        <v>7</v>
      </c>
    </row>
    <row r="79" customFormat="false" ht="15" hidden="false" customHeight="false" outlineLevel="0" collapsed="false">
      <c r="A79" s="21" t="s">
        <v>175</v>
      </c>
      <c r="B79" s="21" t="s">
        <v>46</v>
      </c>
      <c r="C79" s="21" t="s">
        <v>54</v>
      </c>
      <c r="D79" s="29" t="n">
        <v>46114</v>
      </c>
      <c r="E79" s="29" t="n">
        <v>46118</v>
      </c>
      <c r="F79" s="29" t="n">
        <v>46118</v>
      </c>
      <c r="G79" s="21" t="n">
        <v>340</v>
      </c>
      <c r="H79" s="21" t="n">
        <v>340</v>
      </c>
      <c r="I79" s="21" t="n">
        <v>423</v>
      </c>
      <c r="J79" s="30" t="n">
        <v>45016</v>
      </c>
      <c r="K79" s="21" t="n">
        <v>6</v>
      </c>
      <c r="L79" s="14" t="n">
        <f aca="false">MAX(0,F79-E79)</f>
        <v>0</v>
      </c>
      <c r="M79" s="14" t="n">
        <f aca="false">IF(L79&lt;=Assumptions!$B$5,1,0)</f>
        <v>1</v>
      </c>
      <c r="N79" s="14" t="n">
        <f aca="false">IF(H79&gt;=G79,1,0)</f>
        <v>1</v>
      </c>
      <c r="O79" s="14" t="n">
        <f aca="false">M79*N79</f>
        <v>1</v>
      </c>
      <c r="P79" s="15" t="n">
        <f aca="false">L79*Assumptions!$B$6</f>
        <v>0</v>
      </c>
      <c r="Q79" s="31" t="n">
        <f aca="false">IF(I79=0,0,J79/I79)</f>
        <v>106.420803782506</v>
      </c>
      <c r="R79" s="18" t="n">
        <f aca="false">IF(H79=0,0,K79/H79)</f>
        <v>0.0176470588235294</v>
      </c>
      <c r="S79" s="14" t="n">
        <f aca="false">MONTH(D79)</f>
        <v>4</v>
      </c>
    </row>
    <row r="80" customFormat="false" ht="15" hidden="false" customHeight="false" outlineLevel="0" collapsed="false">
      <c r="A80" s="21" t="s">
        <v>176</v>
      </c>
      <c r="B80" s="21" t="s">
        <v>50</v>
      </c>
      <c r="C80" s="21" t="s">
        <v>56</v>
      </c>
      <c r="D80" s="29" t="n">
        <v>46245</v>
      </c>
      <c r="E80" s="29" t="n">
        <v>46255</v>
      </c>
      <c r="F80" s="29" t="n">
        <v>46255</v>
      </c>
      <c r="G80" s="21" t="n">
        <v>790</v>
      </c>
      <c r="H80" s="21" t="n">
        <v>790</v>
      </c>
      <c r="I80" s="21" t="n">
        <v>180</v>
      </c>
      <c r="J80" s="30" t="n">
        <v>16314</v>
      </c>
      <c r="K80" s="21" t="n">
        <v>19</v>
      </c>
      <c r="L80" s="14" t="n">
        <f aca="false">MAX(0,F80-E80)</f>
        <v>0</v>
      </c>
      <c r="M80" s="14" t="n">
        <f aca="false">IF(L80&lt;=Assumptions!$B$5,1,0)</f>
        <v>1</v>
      </c>
      <c r="N80" s="14" t="n">
        <f aca="false">IF(H80&gt;=G80,1,0)</f>
        <v>1</v>
      </c>
      <c r="O80" s="14" t="n">
        <f aca="false">M80*N80</f>
        <v>1</v>
      </c>
      <c r="P80" s="15" t="n">
        <f aca="false">L80*Assumptions!$B$6</f>
        <v>0</v>
      </c>
      <c r="Q80" s="31" t="n">
        <f aca="false">IF(I80=0,0,J80/I80)</f>
        <v>90.6333333333333</v>
      </c>
      <c r="R80" s="18" t="n">
        <f aca="false">IF(H80=0,0,K80/H80)</f>
        <v>0.0240506329113924</v>
      </c>
      <c r="S80" s="14" t="n">
        <f aca="false">MONTH(D80)</f>
        <v>8</v>
      </c>
    </row>
    <row r="81" customFormat="false" ht="15" hidden="false" customHeight="false" outlineLevel="0" collapsed="false">
      <c r="A81" s="21" t="s">
        <v>177</v>
      </c>
      <c r="B81" s="21" t="s">
        <v>50</v>
      </c>
      <c r="C81" s="21" t="s">
        <v>57</v>
      </c>
      <c r="D81" s="29" t="n">
        <v>46043</v>
      </c>
      <c r="E81" s="29" t="n">
        <v>46053</v>
      </c>
      <c r="F81" s="29" t="n">
        <v>46056</v>
      </c>
      <c r="G81" s="21" t="n">
        <v>110</v>
      </c>
      <c r="H81" s="21" t="n">
        <v>110</v>
      </c>
      <c r="I81" s="21" t="n">
        <v>322</v>
      </c>
      <c r="J81" s="30" t="n">
        <v>32454</v>
      </c>
      <c r="K81" s="21" t="n">
        <v>1</v>
      </c>
      <c r="L81" s="14" t="n">
        <f aca="false">MAX(0,F81-E81)</f>
        <v>3</v>
      </c>
      <c r="M81" s="14" t="n">
        <f aca="false">IF(L81&lt;=Assumptions!$B$5,1,0)</f>
        <v>0</v>
      </c>
      <c r="N81" s="14" t="n">
        <f aca="false">IF(H81&gt;=G81,1,0)</f>
        <v>1</v>
      </c>
      <c r="O81" s="14" t="n">
        <f aca="false">M81*N81</f>
        <v>0</v>
      </c>
      <c r="P81" s="15" t="n">
        <f aca="false">L81*Assumptions!$B$6</f>
        <v>4500</v>
      </c>
      <c r="Q81" s="31" t="n">
        <f aca="false">IF(I81=0,0,J81/I81)</f>
        <v>100.788819875776</v>
      </c>
      <c r="R81" s="18" t="n">
        <f aca="false">IF(H81=0,0,K81/H81)</f>
        <v>0.00909090909090909</v>
      </c>
      <c r="S81" s="14" t="n">
        <f aca="false">MONTH(D81)</f>
        <v>1</v>
      </c>
    </row>
    <row r="82" customFormat="false" ht="15" hidden="false" customHeight="false" outlineLevel="0" collapsed="false">
      <c r="A82" s="21" t="s">
        <v>178</v>
      </c>
      <c r="B82" s="21" t="s">
        <v>50</v>
      </c>
      <c r="C82" s="21" t="s">
        <v>54</v>
      </c>
      <c r="D82" s="29" t="n">
        <v>46185</v>
      </c>
      <c r="E82" s="29" t="n">
        <v>46188</v>
      </c>
      <c r="F82" s="29" t="n">
        <v>46188</v>
      </c>
      <c r="G82" s="21" t="n">
        <v>650</v>
      </c>
      <c r="H82" s="21" t="n">
        <v>576</v>
      </c>
      <c r="I82" s="21" t="n">
        <v>415</v>
      </c>
      <c r="J82" s="30" t="n">
        <v>31807</v>
      </c>
      <c r="K82" s="21" t="n">
        <v>2</v>
      </c>
      <c r="L82" s="14" t="n">
        <f aca="false">MAX(0,F82-E82)</f>
        <v>0</v>
      </c>
      <c r="M82" s="14" t="n">
        <f aca="false">IF(L82&lt;=Assumptions!$B$5,1,0)</f>
        <v>1</v>
      </c>
      <c r="N82" s="14" t="n">
        <f aca="false">IF(H82&gt;=G82,1,0)</f>
        <v>0</v>
      </c>
      <c r="O82" s="14" t="n">
        <f aca="false">M82*N82</f>
        <v>0</v>
      </c>
      <c r="P82" s="15" t="n">
        <f aca="false">L82*Assumptions!$B$6</f>
        <v>0</v>
      </c>
      <c r="Q82" s="31" t="n">
        <f aca="false">IF(I82=0,0,J82/I82)</f>
        <v>76.6433734939759</v>
      </c>
      <c r="R82" s="18" t="n">
        <f aca="false">IF(H82=0,0,K82/H82)</f>
        <v>0.00347222222222222</v>
      </c>
      <c r="S82" s="14" t="n">
        <f aca="false">MONTH(D82)</f>
        <v>6</v>
      </c>
    </row>
    <row r="83" customFormat="false" ht="15" hidden="false" customHeight="false" outlineLevel="0" collapsed="false">
      <c r="A83" s="21" t="s">
        <v>179</v>
      </c>
      <c r="B83" s="21" t="s">
        <v>49</v>
      </c>
      <c r="C83" s="21" t="s">
        <v>55</v>
      </c>
      <c r="D83" s="29" t="n">
        <v>46175</v>
      </c>
      <c r="E83" s="29" t="n">
        <v>46181</v>
      </c>
      <c r="F83" s="29" t="n">
        <v>46181</v>
      </c>
      <c r="G83" s="21" t="n">
        <v>520</v>
      </c>
      <c r="H83" s="21" t="n">
        <v>520</v>
      </c>
      <c r="I83" s="21" t="n">
        <v>324</v>
      </c>
      <c r="J83" s="30" t="n">
        <v>32539</v>
      </c>
      <c r="K83" s="21" t="n">
        <v>1</v>
      </c>
      <c r="L83" s="14" t="n">
        <f aca="false">MAX(0,F83-E83)</f>
        <v>0</v>
      </c>
      <c r="M83" s="14" t="n">
        <f aca="false">IF(L83&lt;=Assumptions!$B$5,1,0)</f>
        <v>1</v>
      </c>
      <c r="N83" s="14" t="n">
        <f aca="false">IF(H83&gt;=G83,1,0)</f>
        <v>1</v>
      </c>
      <c r="O83" s="14" t="n">
        <f aca="false">M83*N83</f>
        <v>1</v>
      </c>
      <c r="P83" s="15" t="n">
        <f aca="false">L83*Assumptions!$B$6</f>
        <v>0</v>
      </c>
      <c r="Q83" s="31" t="n">
        <f aca="false">IF(I83=0,0,J83/I83)</f>
        <v>100.429012345679</v>
      </c>
      <c r="R83" s="18" t="n">
        <f aca="false">IF(H83=0,0,K83/H83)</f>
        <v>0.00192307692307692</v>
      </c>
      <c r="S83" s="14" t="n">
        <f aca="false">MONTH(D83)</f>
        <v>6</v>
      </c>
    </row>
    <row r="84" customFormat="false" ht="15" hidden="false" customHeight="false" outlineLevel="0" collapsed="false">
      <c r="A84" s="21" t="s">
        <v>180</v>
      </c>
      <c r="B84" s="21" t="s">
        <v>47</v>
      </c>
      <c r="C84" s="21" t="s">
        <v>58</v>
      </c>
      <c r="D84" s="29" t="n">
        <v>46192</v>
      </c>
      <c r="E84" s="29" t="n">
        <v>46199</v>
      </c>
      <c r="F84" s="29" t="n">
        <v>46200</v>
      </c>
      <c r="G84" s="21" t="n">
        <v>600</v>
      </c>
      <c r="H84" s="21" t="n">
        <v>600</v>
      </c>
      <c r="I84" s="21" t="n">
        <v>238</v>
      </c>
      <c r="J84" s="30" t="n">
        <v>23719</v>
      </c>
      <c r="K84" s="21" t="n">
        <v>19</v>
      </c>
      <c r="L84" s="14" t="n">
        <f aca="false">MAX(0,F84-E84)</f>
        <v>1</v>
      </c>
      <c r="M84" s="14" t="n">
        <f aca="false">IF(L84&lt;=Assumptions!$B$5,1,0)</f>
        <v>0</v>
      </c>
      <c r="N84" s="14" t="n">
        <f aca="false">IF(H84&gt;=G84,1,0)</f>
        <v>1</v>
      </c>
      <c r="O84" s="14" t="n">
        <f aca="false">M84*N84</f>
        <v>0</v>
      </c>
      <c r="P84" s="15" t="n">
        <f aca="false">L84*Assumptions!$B$6</f>
        <v>1500</v>
      </c>
      <c r="Q84" s="31" t="n">
        <f aca="false">IF(I84=0,0,J84/I84)</f>
        <v>99.6596638655462</v>
      </c>
      <c r="R84" s="18" t="n">
        <f aca="false">IF(H84=0,0,K84/H84)</f>
        <v>0.0316666666666667</v>
      </c>
      <c r="S84" s="14" t="n">
        <f aca="false">MONTH(D84)</f>
        <v>6</v>
      </c>
    </row>
    <row r="85" customFormat="false" ht="15" hidden="false" customHeight="false" outlineLevel="0" collapsed="false">
      <c r="A85" s="21" t="s">
        <v>181</v>
      </c>
      <c r="B85" s="21" t="s">
        <v>45</v>
      </c>
      <c r="C85" s="21" t="s">
        <v>57</v>
      </c>
      <c r="D85" s="29" t="n">
        <v>46083</v>
      </c>
      <c r="E85" s="29" t="n">
        <v>46088</v>
      </c>
      <c r="F85" s="29" t="n">
        <v>46088</v>
      </c>
      <c r="G85" s="21" t="n">
        <v>380</v>
      </c>
      <c r="H85" s="21" t="n">
        <v>380</v>
      </c>
      <c r="I85" s="21" t="n">
        <v>277</v>
      </c>
      <c r="J85" s="30" t="n">
        <v>26212</v>
      </c>
      <c r="K85" s="21" t="n">
        <v>5</v>
      </c>
      <c r="L85" s="14" t="n">
        <f aca="false">MAX(0,F85-E85)</f>
        <v>0</v>
      </c>
      <c r="M85" s="14" t="n">
        <f aca="false">IF(L85&lt;=Assumptions!$B$5,1,0)</f>
        <v>1</v>
      </c>
      <c r="N85" s="14" t="n">
        <f aca="false">IF(H85&gt;=G85,1,0)</f>
        <v>1</v>
      </c>
      <c r="O85" s="14" t="n">
        <f aca="false">M85*N85</f>
        <v>1</v>
      </c>
      <c r="P85" s="15" t="n">
        <f aca="false">L85*Assumptions!$B$6</f>
        <v>0</v>
      </c>
      <c r="Q85" s="31" t="n">
        <f aca="false">IF(I85=0,0,J85/I85)</f>
        <v>94.6281588447653</v>
      </c>
      <c r="R85" s="18" t="n">
        <f aca="false">IF(H85=0,0,K85/H85)</f>
        <v>0.0131578947368421</v>
      </c>
      <c r="S85" s="14" t="n">
        <f aca="false">MONTH(D85)</f>
        <v>3</v>
      </c>
    </row>
    <row r="86" customFormat="false" ht="15" hidden="false" customHeight="false" outlineLevel="0" collapsed="false">
      <c r="A86" s="21" t="s">
        <v>182</v>
      </c>
      <c r="B86" s="21" t="s">
        <v>47</v>
      </c>
      <c r="C86" s="21" t="s">
        <v>55</v>
      </c>
      <c r="D86" s="29" t="n">
        <v>46138</v>
      </c>
      <c r="E86" s="29" t="n">
        <v>46147</v>
      </c>
      <c r="F86" s="29" t="n">
        <v>46152</v>
      </c>
      <c r="G86" s="21" t="n">
        <v>850</v>
      </c>
      <c r="H86" s="21" t="n">
        <v>774</v>
      </c>
      <c r="I86" s="21" t="n">
        <v>319</v>
      </c>
      <c r="J86" s="30" t="n">
        <v>23109</v>
      </c>
      <c r="K86" s="21" t="n">
        <v>11</v>
      </c>
      <c r="L86" s="14" t="n">
        <f aca="false">MAX(0,F86-E86)</f>
        <v>5</v>
      </c>
      <c r="M86" s="14" t="n">
        <f aca="false">IF(L86&lt;=Assumptions!$B$5,1,0)</f>
        <v>0</v>
      </c>
      <c r="N86" s="14" t="n">
        <f aca="false">IF(H86&gt;=G86,1,0)</f>
        <v>0</v>
      </c>
      <c r="O86" s="14" t="n">
        <f aca="false">M86*N86</f>
        <v>0</v>
      </c>
      <c r="P86" s="15" t="n">
        <f aca="false">L86*Assumptions!$B$6</f>
        <v>7500</v>
      </c>
      <c r="Q86" s="31" t="n">
        <f aca="false">IF(I86=0,0,J86/I86)</f>
        <v>72.4420062695925</v>
      </c>
      <c r="R86" s="18" t="n">
        <f aca="false">IF(H86=0,0,K86/H86)</f>
        <v>0.0142118863049096</v>
      </c>
      <c r="S86" s="14" t="n">
        <f aca="false">MONTH(D86)</f>
        <v>4</v>
      </c>
    </row>
    <row r="87" customFormat="false" ht="15" hidden="false" customHeight="false" outlineLevel="0" collapsed="false">
      <c r="A87" s="21" t="s">
        <v>183</v>
      </c>
      <c r="B87" s="21" t="s">
        <v>49</v>
      </c>
      <c r="C87" s="21" t="s">
        <v>57</v>
      </c>
      <c r="D87" s="29" t="n">
        <v>46187</v>
      </c>
      <c r="E87" s="29" t="n">
        <v>46190</v>
      </c>
      <c r="F87" s="29" t="n">
        <v>46190</v>
      </c>
      <c r="G87" s="21" t="n">
        <v>810</v>
      </c>
      <c r="H87" s="21" t="n">
        <v>810</v>
      </c>
      <c r="I87" s="21" t="n">
        <v>275</v>
      </c>
      <c r="J87" s="30" t="n">
        <v>31150</v>
      </c>
      <c r="K87" s="21" t="n">
        <v>11</v>
      </c>
      <c r="L87" s="14" t="n">
        <f aca="false">MAX(0,F87-E87)</f>
        <v>0</v>
      </c>
      <c r="M87" s="14" t="n">
        <f aca="false">IF(L87&lt;=Assumptions!$B$5,1,0)</f>
        <v>1</v>
      </c>
      <c r="N87" s="14" t="n">
        <f aca="false">IF(H87&gt;=G87,1,0)</f>
        <v>1</v>
      </c>
      <c r="O87" s="14" t="n">
        <f aca="false">M87*N87</f>
        <v>1</v>
      </c>
      <c r="P87" s="15" t="n">
        <f aca="false">L87*Assumptions!$B$6</f>
        <v>0</v>
      </c>
      <c r="Q87" s="31" t="n">
        <f aca="false">IF(I87=0,0,J87/I87)</f>
        <v>113.272727272727</v>
      </c>
      <c r="R87" s="18" t="n">
        <f aca="false">IF(H87=0,0,K87/H87)</f>
        <v>0.0135802469135802</v>
      </c>
      <c r="S87" s="14" t="n">
        <f aca="false">MONTH(D87)</f>
        <v>6</v>
      </c>
    </row>
    <row r="88" customFormat="false" ht="15" hidden="false" customHeight="false" outlineLevel="0" collapsed="false">
      <c r="A88" s="21" t="s">
        <v>184</v>
      </c>
      <c r="B88" s="21" t="s">
        <v>47</v>
      </c>
      <c r="C88" s="21" t="s">
        <v>58</v>
      </c>
      <c r="D88" s="29" t="n">
        <v>46223</v>
      </c>
      <c r="E88" s="29" t="n">
        <v>46226</v>
      </c>
      <c r="F88" s="29" t="n">
        <v>46226</v>
      </c>
      <c r="G88" s="21" t="n">
        <v>500</v>
      </c>
      <c r="H88" s="21" t="n">
        <v>452</v>
      </c>
      <c r="I88" s="21" t="n">
        <v>230</v>
      </c>
      <c r="J88" s="30" t="n">
        <v>21611</v>
      </c>
      <c r="K88" s="21" t="n">
        <v>28</v>
      </c>
      <c r="L88" s="14" t="n">
        <f aca="false">MAX(0,F88-E88)</f>
        <v>0</v>
      </c>
      <c r="M88" s="14" t="n">
        <f aca="false">IF(L88&lt;=Assumptions!$B$5,1,0)</f>
        <v>1</v>
      </c>
      <c r="N88" s="14" t="n">
        <f aca="false">IF(H88&gt;=G88,1,0)</f>
        <v>0</v>
      </c>
      <c r="O88" s="14" t="n">
        <f aca="false">M88*N88</f>
        <v>0</v>
      </c>
      <c r="P88" s="15" t="n">
        <f aca="false">L88*Assumptions!$B$6</f>
        <v>0</v>
      </c>
      <c r="Q88" s="31" t="n">
        <f aca="false">IF(I88=0,0,J88/I88)</f>
        <v>93.9608695652174</v>
      </c>
      <c r="R88" s="18" t="n">
        <f aca="false">IF(H88=0,0,K88/H88)</f>
        <v>0.0619469026548673</v>
      </c>
      <c r="S88" s="14" t="n">
        <f aca="false">MONTH(D88)</f>
        <v>7</v>
      </c>
    </row>
    <row r="89" customFormat="false" ht="15" hidden="false" customHeight="false" outlineLevel="0" collapsed="false">
      <c r="A89" s="21" t="s">
        <v>185</v>
      </c>
      <c r="B89" s="21" t="s">
        <v>46</v>
      </c>
      <c r="C89" s="21" t="s">
        <v>53</v>
      </c>
      <c r="D89" s="29" t="n">
        <v>46172</v>
      </c>
      <c r="E89" s="29" t="n">
        <v>46182</v>
      </c>
      <c r="F89" s="29" t="n">
        <v>46182</v>
      </c>
      <c r="G89" s="21" t="n">
        <v>910</v>
      </c>
      <c r="H89" s="21" t="n">
        <v>910</v>
      </c>
      <c r="I89" s="21" t="n">
        <v>57</v>
      </c>
      <c r="J89" s="30" t="n">
        <v>6518</v>
      </c>
      <c r="K89" s="21" t="n">
        <v>32</v>
      </c>
      <c r="L89" s="14" t="n">
        <f aca="false">MAX(0,F89-E89)</f>
        <v>0</v>
      </c>
      <c r="M89" s="14" t="n">
        <f aca="false">IF(L89&lt;=Assumptions!$B$5,1,0)</f>
        <v>1</v>
      </c>
      <c r="N89" s="14" t="n">
        <f aca="false">IF(H89&gt;=G89,1,0)</f>
        <v>1</v>
      </c>
      <c r="O89" s="14" t="n">
        <f aca="false">M89*N89</f>
        <v>1</v>
      </c>
      <c r="P89" s="15" t="n">
        <f aca="false">L89*Assumptions!$B$6</f>
        <v>0</v>
      </c>
      <c r="Q89" s="31" t="n">
        <f aca="false">IF(I89=0,0,J89/I89)</f>
        <v>114.350877192982</v>
      </c>
      <c r="R89" s="18" t="n">
        <f aca="false">IF(H89=0,0,K89/H89)</f>
        <v>0.0351648351648352</v>
      </c>
      <c r="S89" s="14" t="n">
        <f aca="false">MONTH(D89)</f>
        <v>5</v>
      </c>
    </row>
    <row r="90" customFormat="false" ht="15" hidden="false" customHeight="false" outlineLevel="0" collapsed="false">
      <c r="A90" s="21" t="s">
        <v>186</v>
      </c>
      <c r="B90" s="21" t="s">
        <v>46</v>
      </c>
      <c r="C90" s="21" t="s">
        <v>53</v>
      </c>
      <c r="D90" s="29" t="n">
        <v>46192</v>
      </c>
      <c r="E90" s="29" t="n">
        <v>46199</v>
      </c>
      <c r="F90" s="29" t="n">
        <v>46199</v>
      </c>
      <c r="G90" s="21" t="n">
        <v>400</v>
      </c>
      <c r="H90" s="21" t="n">
        <v>400</v>
      </c>
      <c r="I90" s="21" t="n">
        <v>29</v>
      </c>
      <c r="J90" s="30" t="n">
        <v>3981</v>
      </c>
      <c r="K90" s="21" t="n">
        <v>12</v>
      </c>
      <c r="L90" s="14" t="n">
        <f aca="false">MAX(0,F90-E90)</f>
        <v>0</v>
      </c>
      <c r="M90" s="14" t="n">
        <f aca="false">IF(L90&lt;=Assumptions!$B$5,1,0)</f>
        <v>1</v>
      </c>
      <c r="N90" s="14" t="n">
        <f aca="false">IF(H90&gt;=G90,1,0)</f>
        <v>1</v>
      </c>
      <c r="O90" s="14" t="n">
        <f aca="false">M90*N90</f>
        <v>1</v>
      </c>
      <c r="P90" s="15" t="n">
        <f aca="false">L90*Assumptions!$B$6</f>
        <v>0</v>
      </c>
      <c r="Q90" s="31" t="n">
        <f aca="false">IF(I90=0,0,J90/I90)</f>
        <v>137.275862068966</v>
      </c>
      <c r="R90" s="18" t="n">
        <f aca="false">IF(H90=0,0,K90/H90)</f>
        <v>0.03</v>
      </c>
      <c r="S90" s="14" t="n">
        <f aca="false">MONTH(D90)</f>
        <v>6</v>
      </c>
    </row>
    <row r="91" customFormat="false" ht="15" hidden="false" customHeight="false" outlineLevel="0" collapsed="false">
      <c r="A91" s="21" t="s">
        <v>187</v>
      </c>
      <c r="B91" s="21" t="s">
        <v>48</v>
      </c>
      <c r="C91" s="21" t="s">
        <v>55</v>
      </c>
      <c r="D91" s="29" t="n">
        <v>46058</v>
      </c>
      <c r="E91" s="29" t="n">
        <v>46062</v>
      </c>
      <c r="F91" s="29" t="n">
        <v>46062</v>
      </c>
      <c r="G91" s="21" t="n">
        <v>310</v>
      </c>
      <c r="H91" s="21" t="n">
        <v>310</v>
      </c>
      <c r="I91" s="21" t="n">
        <v>309</v>
      </c>
      <c r="J91" s="30" t="n">
        <v>34170</v>
      </c>
      <c r="K91" s="21" t="n">
        <v>7</v>
      </c>
      <c r="L91" s="14" t="n">
        <f aca="false">MAX(0,F91-E91)</f>
        <v>0</v>
      </c>
      <c r="M91" s="14" t="n">
        <f aca="false">IF(L91&lt;=Assumptions!$B$5,1,0)</f>
        <v>1</v>
      </c>
      <c r="N91" s="14" t="n">
        <f aca="false">IF(H91&gt;=G91,1,0)</f>
        <v>1</v>
      </c>
      <c r="O91" s="14" t="n">
        <f aca="false">M91*N91</f>
        <v>1</v>
      </c>
      <c r="P91" s="15" t="n">
        <f aca="false">L91*Assumptions!$B$6</f>
        <v>0</v>
      </c>
      <c r="Q91" s="31" t="n">
        <f aca="false">IF(I91=0,0,J91/I91)</f>
        <v>110.582524271845</v>
      </c>
      <c r="R91" s="18" t="n">
        <f aca="false">IF(H91=0,0,K91/H91)</f>
        <v>0.0225806451612903</v>
      </c>
      <c r="S91" s="14" t="n">
        <f aca="false">MONTH(D91)</f>
        <v>2</v>
      </c>
    </row>
    <row r="92" customFormat="false" ht="15" hidden="false" customHeight="false" outlineLevel="0" collapsed="false">
      <c r="A92" s="21" t="s">
        <v>188</v>
      </c>
      <c r="B92" s="21" t="s">
        <v>49</v>
      </c>
      <c r="C92" s="21" t="s">
        <v>57</v>
      </c>
      <c r="D92" s="29" t="n">
        <v>46099</v>
      </c>
      <c r="E92" s="29" t="n">
        <v>46106</v>
      </c>
      <c r="F92" s="29" t="n">
        <v>46106</v>
      </c>
      <c r="G92" s="21" t="n">
        <v>420</v>
      </c>
      <c r="H92" s="21" t="n">
        <v>420</v>
      </c>
      <c r="I92" s="21" t="n">
        <v>313</v>
      </c>
      <c r="J92" s="30" t="n">
        <v>22366</v>
      </c>
      <c r="K92" s="21" t="n">
        <v>3</v>
      </c>
      <c r="L92" s="14" t="n">
        <f aca="false">MAX(0,F92-E92)</f>
        <v>0</v>
      </c>
      <c r="M92" s="14" t="n">
        <f aca="false">IF(L92&lt;=Assumptions!$B$5,1,0)</f>
        <v>1</v>
      </c>
      <c r="N92" s="14" t="n">
        <f aca="false">IF(H92&gt;=G92,1,0)</f>
        <v>1</v>
      </c>
      <c r="O92" s="14" t="n">
        <f aca="false">M92*N92</f>
        <v>1</v>
      </c>
      <c r="P92" s="15" t="n">
        <f aca="false">L92*Assumptions!$B$6</f>
        <v>0</v>
      </c>
      <c r="Q92" s="31" t="n">
        <f aca="false">IF(I92=0,0,J92/I92)</f>
        <v>71.4568690095847</v>
      </c>
      <c r="R92" s="18" t="n">
        <f aca="false">IF(H92=0,0,K92/H92)</f>
        <v>0.00714285714285714</v>
      </c>
      <c r="S92" s="14" t="n">
        <f aca="false">MONTH(D92)</f>
        <v>3</v>
      </c>
    </row>
    <row r="93" customFormat="false" ht="15" hidden="false" customHeight="false" outlineLevel="0" collapsed="false">
      <c r="A93" s="21" t="s">
        <v>189</v>
      </c>
      <c r="B93" s="21" t="s">
        <v>45</v>
      </c>
      <c r="C93" s="21" t="s">
        <v>57</v>
      </c>
      <c r="D93" s="29" t="n">
        <v>46088</v>
      </c>
      <c r="E93" s="29" t="n">
        <v>46091</v>
      </c>
      <c r="F93" s="29" t="n">
        <v>46091</v>
      </c>
      <c r="G93" s="21" t="n">
        <v>520</v>
      </c>
      <c r="H93" s="21" t="n">
        <v>520</v>
      </c>
      <c r="I93" s="21" t="n">
        <v>253</v>
      </c>
      <c r="J93" s="30" t="n">
        <v>24441</v>
      </c>
      <c r="K93" s="21" t="n">
        <v>0</v>
      </c>
      <c r="L93" s="14" t="n">
        <f aca="false">MAX(0,F93-E93)</f>
        <v>0</v>
      </c>
      <c r="M93" s="14" t="n">
        <f aca="false">IF(L93&lt;=Assumptions!$B$5,1,0)</f>
        <v>1</v>
      </c>
      <c r="N93" s="14" t="n">
        <f aca="false">IF(H93&gt;=G93,1,0)</f>
        <v>1</v>
      </c>
      <c r="O93" s="14" t="n">
        <f aca="false">M93*N93</f>
        <v>1</v>
      </c>
      <c r="P93" s="15" t="n">
        <f aca="false">L93*Assumptions!$B$6</f>
        <v>0</v>
      </c>
      <c r="Q93" s="31" t="n">
        <f aca="false">IF(I93=0,0,J93/I93)</f>
        <v>96.604743083004</v>
      </c>
      <c r="R93" s="18" t="n">
        <f aca="false">IF(H93=0,0,K93/H93)</f>
        <v>0</v>
      </c>
      <c r="S93" s="14" t="n">
        <f aca="false">MONTH(D93)</f>
        <v>3</v>
      </c>
    </row>
    <row r="94" customFormat="false" ht="15" hidden="false" customHeight="false" outlineLevel="0" collapsed="false">
      <c r="A94" s="21" t="s">
        <v>190</v>
      </c>
      <c r="B94" s="21" t="s">
        <v>48</v>
      </c>
      <c r="C94" s="21" t="s">
        <v>56</v>
      </c>
      <c r="D94" s="29" t="n">
        <v>46031</v>
      </c>
      <c r="E94" s="29" t="n">
        <v>46036</v>
      </c>
      <c r="F94" s="29" t="n">
        <v>46035</v>
      </c>
      <c r="G94" s="21" t="n">
        <v>100</v>
      </c>
      <c r="H94" s="21" t="n">
        <v>100</v>
      </c>
      <c r="I94" s="21" t="n">
        <v>150</v>
      </c>
      <c r="J94" s="30" t="n">
        <v>12099</v>
      </c>
      <c r="K94" s="21" t="n">
        <v>0</v>
      </c>
      <c r="L94" s="14" t="n">
        <f aca="false">MAX(0,F94-E94)</f>
        <v>0</v>
      </c>
      <c r="M94" s="14" t="n">
        <f aca="false">IF(L94&lt;=Assumptions!$B$5,1,0)</f>
        <v>1</v>
      </c>
      <c r="N94" s="14" t="n">
        <f aca="false">IF(H94&gt;=G94,1,0)</f>
        <v>1</v>
      </c>
      <c r="O94" s="14" t="n">
        <f aca="false">M94*N94</f>
        <v>1</v>
      </c>
      <c r="P94" s="15" t="n">
        <f aca="false">L94*Assumptions!$B$6</f>
        <v>0</v>
      </c>
      <c r="Q94" s="31" t="n">
        <f aca="false">IF(I94=0,0,J94/I94)</f>
        <v>80.66</v>
      </c>
      <c r="R94" s="18" t="n">
        <f aca="false">IF(H94=0,0,K94/H94)</f>
        <v>0</v>
      </c>
      <c r="S94" s="14" t="n">
        <f aca="false">MONTH(D94)</f>
        <v>1</v>
      </c>
    </row>
    <row r="95" customFormat="false" ht="15" hidden="false" customHeight="false" outlineLevel="0" collapsed="false">
      <c r="A95" s="21" t="s">
        <v>191</v>
      </c>
      <c r="B95" s="21" t="s">
        <v>50</v>
      </c>
      <c r="C95" s="21" t="s">
        <v>57</v>
      </c>
      <c r="D95" s="29" t="n">
        <v>46230</v>
      </c>
      <c r="E95" s="29" t="n">
        <v>46238</v>
      </c>
      <c r="F95" s="29" t="n">
        <v>46237</v>
      </c>
      <c r="G95" s="21" t="n">
        <v>630</v>
      </c>
      <c r="H95" s="21" t="n">
        <v>630</v>
      </c>
      <c r="I95" s="21" t="n">
        <v>291</v>
      </c>
      <c r="J95" s="30" t="n">
        <v>27827</v>
      </c>
      <c r="K95" s="21" t="n">
        <v>1</v>
      </c>
      <c r="L95" s="14" t="n">
        <f aca="false">MAX(0,F95-E95)</f>
        <v>0</v>
      </c>
      <c r="M95" s="14" t="n">
        <f aca="false">IF(L95&lt;=Assumptions!$B$5,1,0)</f>
        <v>1</v>
      </c>
      <c r="N95" s="14" t="n">
        <f aca="false">IF(H95&gt;=G95,1,0)</f>
        <v>1</v>
      </c>
      <c r="O95" s="14" t="n">
        <f aca="false">M95*N95</f>
        <v>1</v>
      </c>
      <c r="P95" s="15" t="n">
        <f aca="false">L95*Assumptions!$B$6</f>
        <v>0</v>
      </c>
      <c r="Q95" s="31" t="n">
        <f aca="false">IF(I95=0,0,J95/I95)</f>
        <v>95.6254295532646</v>
      </c>
      <c r="R95" s="18" t="n">
        <f aca="false">IF(H95=0,0,K95/H95)</f>
        <v>0.00158730158730159</v>
      </c>
      <c r="S95" s="14" t="n">
        <f aca="false">MONTH(D95)</f>
        <v>7</v>
      </c>
    </row>
    <row r="96" customFormat="false" ht="15" hidden="false" customHeight="false" outlineLevel="0" collapsed="false">
      <c r="A96" s="21" t="s">
        <v>192</v>
      </c>
      <c r="B96" s="21" t="s">
        <v>46</v>
      </c>
      <c r="C96" s="21" t="s">
        <v>53</v>
      </c>
      <c r="D96" s="29" t="n">
        <v>46146</v>
      </c>
      <c r="E96" s="29" t="n">
        <v>46149</v>
      </c>
      <c r="F96" s="29" t="n">
        <v>46149</v>
      </c>
      <c r="G96" s="21" t="n">
        <v>470</v>
      </c>
      <c r="H96" s="21" t="n">
        <v>377</v>
      </c>
      <c r="I96" s="21" t="n">
        <v>24</v>
      </c>
      <c r="J96" s="30" t="n">
        <v>3618</v>
      </c>
      <c r="K96" s="21" t="n">
        <v>13</v>
      </c>
      <c r="L96" s="14" t="n">
        <f aca="false">MAX(0,F96-E96)</f>
        <v>0</v>
      </c>
      <c r="M96" s="14" t="n">
        <f aca="false">IF(L96&lt;=Assumptions!$B$5,1,0)</f>
        <v>1</v>
      </c>
      <c r="N96" s="14" t="n">
        <f aca="false">IF(H96&gt;=G96,1,0)</f>
        <v>0</v>
      </c>
      <c r="O96" s="14" t="n">
        <f aca="false">M96*N96</f>
        <v>0</v>
      </c>
      <c r="P96" s="15" t="n">
        <f aca="false">L96*Assumptions!$B$6</f>
        <v>0</v>
      </c>
      <c r="Q96" s="31" t="n">
        <f aca="false">IF(I96=0,0,J96/I96)</f>
        <v>150.75</v>
      </c>
      <c r="R96" s="18" t="n">
        <f aca="false">IF(H96=0,0,K96/H96)</f>
        <v>0.0344827586206897</v>
      </c>
      <c r="S96" s="14" t="n">
        <f aca="false">MONTH(D96)</f>
        <v>5</v>
      </c>
    </row>
    <row r="97" customFormat="false" ht="15" hidden="false" customHeight="false" outlineLevel="0" collapsed="false">
      <c r="A97" s="21" t="s">
        <v>193</v>
      </c>
      <c r="B97" s="21" t="s">
        <v>48</v>
      </c>
      <c r="C97" s="21" t="s">
        <v>53</v>
      </c>
      <c r="D97" s="29" t="n">
        <v>46159</v>
      </c>
      <c r="E97" s="29" t="n">
        <v>46164</v>
      </c>
      <c r="F97" s="29" t="n">
        <v>46164</v>
      </c>
      <c r="G97" s="21" t="n">
        <v>300</v>
      </c>
      <c r="H97" s="21" t="n">
        <v>300</v>
      </c>
      <c r="I97" s="21" t="n">
        <v>60</v>
      </c>
      <c r="J97" s="30" t="n">
        <v>5615</v>
      </c>
      <c r="K97" s="21" t="n">
        <v>13</v>
      </c>
      <c r="L97" s="14" t="n">
        <f aca="false">MAX(0,F97-E97)</f>
        <v>0</v>
      </c>
      <c r="M97" s="14" t="n">
        <f aca="false">IF(L97&lt;=Assumptions!$B$5,1,0)</f>
        <v>1</v>
      </c>
      <c r="N97" s="14" t="n">
        <f aca="false">IF(H97&gt;=G97,1,0)</f>
        <v>1</v>
      </c>
      <c r="O97" s="14" t="n">
        <f aca="false">M97*N97</f>
        <v>1</v>
      </c>
      <c r="P97" s="15" t="n">
        <f aca="false">L97*Assumptions!$B$6</f>
        <v>0</v>
      </c>
      <c r="Q97" s="31" t="n">
        <f aca="false">IF(I97=0,0,J97/I97)</f>
        <v>93.5833333333333</v>
      </c>
      <c r="R97" s="18" t="n">
        <f aca="false">IF(H97=0,0,K97/H97)</f>
        <v>0.0433333333333333</v>
      </c>
      <c r="S97" s="14" t="n">
        <f aca="false">MONTH(D97)</f>
        <v>5</v>
      </c>
    </row>
    <row r="98" customFormat="false" ht="15" hidden="false" customHeight="false" outlineLevel="0" collapsed="false">
      <c r="A98" s="21" t="s">
        <v>194</v>
      </c>
      <c r="B98" s="21" t="s">
        <v>50</v>
      </c>
      <c r="C98" s="21" t="s">
        <v>56</v>
      </c>
      <c r="D98" s="29" t="n">
        <v>46085</v>
      </c>
      <c r="E98" s="29" t="n">
        <v>46089</v>
      </c>
      <c r="F98" s="29" t="n">
        <v>46089</v>
      </c>
      <c r="G98" s="21" t="n">
        <v>780</v>
      </c>
      <c r="H98" s="21" t="n">
        <v>780</v>
      </c>
      <c r="I98" s="21" t="n">
        <v>157</v>
      </c>
      <c r="J98" s="30" t="n">
        <v>16346</v>
      </c>
      <c r="K98" s="21" t="n">
        <v>13</v>
      </c>
      <c r="L98" s="14" t="n">
        <f aca="false">MAX(0,F98-E98)</f>
        <v>0</v>
      </c>
      <c r="M98" s="14" t="n">
        <f aca="false">IF(L98&lt;=Assumptions!$B$5,1,0)</f>
        <v>1</v>
      </c>
      <c r="N98" s="14" t="n">
        <f aca="false">IF(H98&gt;=G98,1,0)</f>
        <v>1</v>
      </c>
      <c r="O98" s="14" t="n">
        <f aca="false">M98*N98</f>
        <v>1</v>
      </c>
      <c r="P98" s="15" t="n">
        <f aca="false">L98*Assumptions!$B$6</f>
        <v>0</v>
      </c>
      <c r="Q98" s="31" t="n">
        <f aca="false">IF(I98=0,0,J98/I98)</f>
        <v>104.114649681529</v>
      </c>
      <c r="R98" s="18" t="n">
        <f aca="false">IF(H98=0,0,K98/H98)</f>
        <v>0.0166666666666667</v>
      </c>
      <c r="S98" s="14" t="n">
        <f aca="false">MONTH(D98)</f>
        <v>3</v>
      </c>
    </row>
    <row r="99" customFormat="false" ht="15" hidden="false" customHeight="false" outlineLevel="0" collapsed="false">
      <c r="A99" s="21" t="s">
        <v>195</v>
      </c>
      <c r="B99" s="21" t="s">
        <v>48</v>
      </c>
      <c r="C99" s="21" t="s">
        <v>57</v>
      </c>
      <c r="D99" s="29" t="n">
        <v>46158</v>
      </c>
      <c r="E99" s="29" t="n">
        <v>46163</v>
      </c>
      <c r="F99" s="29" t="n">
        <v>46162</v>
      </c>
      <c r="G99" s="21" t="n">
        <v>600</v>
      </c>
      <c r="H99" s="21" t="n">
        <v>600</v>
      </c>
      <c r="I99" s="21" t="n">
        <v>290</v>
      </c>
      <c r="J99" s="30" t="n">
        <v>29123</v>
      </c>
      <c r="K99" s="21" t="n">
        <v>30</v>
      </c>
      <c r="L99" s="14" t="n">
        <f aca="false">MAX(0,F99-E99)</f>
        <v>0</v>
      </c>
      <c r="M99" s="14" t="n">
        <f aca="false">IF(L99&lt;=Assumptions!$B$5,1,0)</f>
        <v>1</v>
      </c>
      <c r="N99" s="14" t="n">
        <f aca="false">IF(H99&gt;=G99,1,0)</f>
        <v>1</v>
      </c>
      <c r="O99" s="14" t="n">
        <f aca="false">M99*N99</f>
        <v>1</v>
      </c>
      <c r="P99" s="15" t="n">
        <f aca="false">L99*Assumptions!$B$6</f>
        <v>0</v>
      </c>
      <c r="Q99" s="31" t="n">
        <f aca="false">IF(I99=0,0,J99/I99)</f>
        <v>100.424137931034</v>
      </c>
      <c r="R99" s="18" t="n">
        <f aca="false">IF(H99=0,0,K99/H99)</f>
        <v>0.05</v>
      </c>
      <c r="S99" s="14" t="n">
        <f aca="false">MONTH(D99)</f>
        <v>5</v>
      </c>
    </row>
    <row r="100" customFormat="false" ht="15" hidden="false" customHeight="false" outlineLevel="0" collapsed="false">
      <c r="A100" s="21" t="s">
        <v>196</v>
      </c>
      <c r="B100" s="21" t="s">
        <v>48</v>
      </c>
      <c r="C100" s="21" t="s">
        <v>57</v>
      </c>
      <c r="D100" s="29" t="n">
        <v>46101</v>
      </c>
      <c r="E100" s="29" t="n">
        <v>46111</v>
      </c>
      <c r="F100" s="29" t="n">
        <v>46110</v>
      </c>
      <c r="G100" s="21" t="n">
        <v>560</v>
      </c>
      <c r="H100" s="21" t="n">
        <v>560</v>
      </c>
      <c r="I100" s="21" t="n">
        <v>275</v>
      </c>
      <c r="J100" s="30" t="n">
        <v>24359</v>
      </c>
      <c r="K100" s="21" t="n">
        <v>24</v>
      </c>
      <c r="L100" s="14" t="n">
        <f aca="false">MAX(0,F100-E100)</f>
        <v>0</v>
      </c>
      <c r="M100" s="14" t="n">
        <f aca="false">IF(L100&lt;=Assumptions!$B$5,1,0)</f>
        <v>1</v>
      </c>
      <c r="N100" s="14" t="n">
        <f aca="false">IF(H100&gt;=G100,1,0)</f>
        <v>1</v>
      </c>
      <c r="O100" s="14" t="n">
        <f aca="false">M100*N100</f>
        <v>1</v>
      </c>
      <c r="P100" s="15" t="n">
        <f aca="false">L100*Assumptions!$B$6</f>
        <v>0</v>
      </c>
      <c r="Q100" s="31" t="n">
        <f aca="false">IF(I100=0,0,J100/I100)</f>
        <v>88.5781818181818</v>
      </c>
      <c r="R100" s="18" t="n">
        <f aca="false">IF(H100=0,0,K100/H100)</f>
        <v>0.0428571428571429</v>
      </c>
      <c r="S100" s="14" t="n">
        <f aca="false">MONTH(D100)</f>
        <v>3</v>
      </c>
    </row>
    <row r="101" customFormat="false" ht="15" hidden="false" customHeight="false" outlineLevel="0" collapsed="false">
      <c r="A101" s="21" t="s">
        <v>197</v>
      </c>
      <c r="B101" s="21" t="s">
        <v>47</v>
      </c>
      <c r="C101" s="21" t="s">
        <v>53</v>
      </c>
      <c r="D101" s="29" t="n">
        <v>46245</v>
      </c>
      <c r="E101" s="29" t="n">
        <v>46254</v>
      </c>
      <c r="F101" s="29" t="n">
        <v>46254</v>
      </c>
      <c r="G101" s="21" t="n">
        <v>860</v>
      </c>
      <c r="H101" s="21" t="n">
        <v>860</v>
      </c>
      <c r="I101" s="21" t="n">
        <v>26</v>
      </c>
      <c r="J101" s="30" t="n">
        <v>5217</v>
      </c>
      <c r="K101" s="21" t="n">
        <v>8</v>
      </c>
      <c r="L101" s="14" t="n">
        <f aca="false">MAX(0,F101-E101)</f>
        <v>0</v>
      </c>
      <c r="M101" s="14" t="n">
        <f aca="false">IF(L101&lt;=Assumptions!$B$5,1,0)</f>
        <v>1</v>
      </c>
      <c r="N101" s="14" t="n">
        <f aca="false">IF(H101&gt;=G101,1,0)</f>
        <v>1</v>
      </c>
      <c r="O101" s="14" t="n">
        <f aca="false">M101*N101</f>
        <v>1</v>
      </c>
      <c r="P101" s="15" t="n">
        <f aca="false">L101*Assumptions!$B$6</f>
        <v>0</v>
      </c>
      <c r="Q101" s="31" t="n">
        <f aca="false">IF(I101=0,0,J101/I101)</f>
        <v>200.653846153846</v>
      </c>
      <c r="R101" s="18" t="n">
        <f aca="false">IF(H101=0,0,K101/H101)</f>
        <v>0.00930232558139535</v>
      </c>
      <c r="S101" s="14" t="n">
        <f aca="false">MONTH(D101)</f>
        <v>8</v>
      </c>
    </row>
    <row r="102" customFormat="false" ht="15" hidden="false" customHeight="false" outlineLevel="0" collapsed="false">
      <c r="A102" s="21" t="s">
        <v>198</v>
      </c>
      <c r="B102" s="21" t="s">
        <v>48</v>
      </c>
      <c r="C102" s="21" t="s">
        <v>58</v>
      </c>
      <c r="D102" s="29" t="n">
        <v>46145</v>
      </c>
      <c r="E102" s="29" t="n">
        <v>46148</v>
      </c>
      <c r="F102" s="29" t="n">
        <v>46148</v>
      </c>
      <c r="G102" s="21" t="n">
        <v>150</v>
      </c>
      <c r="H102" s="21" t="n">
        <v>150</v>
      </c>
      <c r="I102" s="21" t="n">
        <v>239</v>
      </c>
      <c r="J102" s="30" t="n">
        <v>24517</v>
      </c>
      <c r="K102" s="21" t="n">
        <v>5</v>
      </c>
      <c r="L102" s="14" t="n">
        <f aca="false">MAX(0,F102-E102)</f>
        <v>0</v>
      </c>
      <c r="M102" s="14" t="n">
        <f aca="false">IF(L102&lt;=Assumptions!$B$5,1,0)</f>
        <v>1</v>
      </c>
      <c r="N102" s="14" t="n">
        <f aca="false">IF(H102&gt;=G102,1,0)</f>
        <v>1</v>
      </c>
      <c r="O102" s="14" t="n">
        <f aca="false">M102*N102</f>
        <v>1</v>
      </c>
      <c r="P102" s="15" t="n">
        <f aca="false">L102*Assumptions!$B$6</f>
        <v>0</v>
      </c>
      <c r="Q102" s="31" t="n">
        <f aca="false">IF(I102=0,0,J102/I102)</f>
        <v>102.581589958159</v>
      </c>
      <c r="R102" s="18" t="n">
        <f aca="false">IF(H102=0,0,K102/H102)</f>
        <v>0.0333333333333333</v>
      </c>
      <c r="S102" s="14" t="n">
        <f aca="false">MONTH(D102)</f>
        <v>5</v>
      </c>
    </row>
    <row r="103" customFormat="false" ht="15" hidden="false" customHeight="false" outlineLevel="0" collapsed="false">
      <c r="A103" s="21" t="s">
        <v>199</v>
      </c>
      <c r="B103" s="21" t="s">
        <v>45</v>
      </c>
      <c r="C103" s="21" t="s">
        <v>57</v>
      </c>
      <c r="D103" s="29" t="n">
        <v>46140</v>
      </c>
      <c r="E103" s="29" t="n">
        <v>46147</v>
      </c>
      <c r="F103" s="29" t="n">
        <v>46146</v>
      </c>
      <c r="G103" s="21" t="n">
        <v>530</v>
      </c>
      <c r="H103" s="21" t="n">
        <v>530</v>
      </c>
      <c r="I103" s="21" t="n">
        <v>270</v>
      </c>
      <c r="J103" s="30" t="n">
        <v>31123</v>
      </c>
      <c r="K103" s="21" t="n">
        <v>5</v>
      </c>
      <c r="L103" s="14" t="n">
        <f aca="false">MAX(0,F103-E103)</f>
        <v>0</v>
      </c>
      <c r="M103" s="14" t="n">
        <f aca="false">IF(L103&lt;=Assumptions!$B$5,1,0)</f>
        <v>1</v>
      </c>
      <c r="N103" s="14" t="n">
        <f aca="false">IF(H103&gt;=G103,1,0)</f>
        <v>1</v>
      </c>
      <c r="O103" s="14" t="n">
        <f aca="false">M103*N103</f>
        <v>1</v>
      </c>
      <c r="P103" s="15" t="n">
        <f aca="false">L103*Assumptions!$B$6</f>
        <v>0</v>
      </c>
      <c r="Q103" s="31" t="n">
        <f aca="false">IF(I103=0,0,J103/I103)</f>
        <v>115.27037037037</v>
      </c>
      <c r="R103" s="18" t="n">
        <f aca="false">IF(H103=0,0,K103/H103)</f>
        <v>0.00943396226415094</v>
      </c>
      <c r="S103" s="14" t="n">
        <f aca="false">MONTH(D103)</f>
        <v>4</v>
      </c>
    </row>
    <row r="104" customFormat="false" ht="15" hidden="false" customHeight="false" outlineLevel="0" collapsed="false">
      <c r="A104" s="21" t="s">
        <v>200</v>
      </c>
      <c r="B104" s="21" t="s">
        <v>48</v>
      </c>
      <c r="C104" s="21" t="s">
        <v>53</v>
      </c>
      <c r="D104" s="29" t="n">
        <v>46272</v>
      </c>
      <c r="E104" s="29" t="n">
        <v>46281</v>
      </c>
      <c r="F104" s="29" t="n">
        <v>46281</v>
      </c>
      <c r="G104" s="21" t="n">
        <v>690</v>
      </c>
      <c r="H104" s="21" t="n">
        <v>589</v>
      </c>
      <c r="I104" s="21" t="n">
        <v>40</v>
      </c>
      <c r="J104" s="30" t="n">
        <v>6201</v>
      </c>
      <c r="K104" s="21" t="n">
        <v>22</v>
      </c>
      <c r="L104" s="14" t="n">
        <f aca="false">MAX(0,F104-E104)</f>
        <v>0</v>
      </c>
      <c r="M104" s="14" t="n">
        <f aca="false">IF(L104&lt;=Assumptions!$B$5,1,0)</f>
        <v>1</v>
      </c>
      <c r="N104" s="14" t="n">
        <f aca="false">IF(H104&gt;=G104,1,0)</f>
        <v>0</v>
      </c>
      <c r="O104" s="14" t="n">
        <f aca="false">M104*N104</f>
        <v>0</v>
      </c>
      <c r="P104" s="15" t="n">
        <f aca="false">L104*Assumptions!$B$6</f>
        <v>0</v>
      </c>
      <c r="Q104" s="31" t="n">
        <f aca="false">IF(I104=0,0,J104/I104)</f>
        <v>155.025</v>
      </c>
      <c r="R104" s="18" t="n">
        <f aca="false">IF(H104=0,0,K104/H104)</f>
        <v>0.0373514431239389</v>
      </c>
      <c r="S104" s="14" t="n">
        <f aca="false">MONTH(D104)</f>
        <v>9</v>
      </c>
    </row>
    <row r="105" customFormat="false" ht="15" hidden="false" customHeight="false" outlineLevel="0" collapsed="false">
      <c r="A105" s="21" t="s">
        <v>201</v>
      </c>
      <c r="B105" s="21" t="s">
        <v>47</v>
      </c>
      <c r="C105" s="21" t="s">
        <v>58</v>
      </c>
      <c r="D105" s="29" t="n">
        <v>46064</v>
      </c>
      <c r="E105" s="29" t="n">
        <v>46070</v>
      </c>
      <c r="F105" s="29" t="n">
        <v>46071</v>
      </c>
      <c r="G105" s="21" t="n">
        <v>220</v>
      </c>
      <c r="H105" s="21" t="n">
        <v>220</v>
      </c>
      <c r="I105" s="21" t="n">
        <v>257</v>
      </c>
      <c r="J105" s="30" t="n">
        <v>21394</v>
      </c>
      <c r="K105" s="21" t="n">
        <v>7</v>
      </c>
      <c r="L105" s="14" t="n">
        <f aca="false">MAX(0,F105-E105)</f>
        <v>1</v>
      </c>
      <c r="M105" s="14" t="n">
        <f aca="false">IF(L105&lt;=Assumptions!$B$5,1,0)</f>
        <v>0</v>
      </c>
      <c r="N105" s="14" t="n">
        <f aca="false">IF(H105&gt;=G105,1,0)</f>
        <v>1</v>
      </c>
      <c r="O105" s="14" t="n">
        <f aca="false">M105*N105</f>
        <v>0</v>
      </c>
      <c r="P105" s="15" t="n">
        <f aca="false">L105*Assumptions!$B$6</f>
        <v>1500</v>
      </c>
      <c r="Q105" s="31" t="n">
        <f aca="false">IF(I105=0,0,J105/I105)</f>
        <v>83.2451361867704</v>
      </c>
      <c r="R105" s="18" t="n">
        <f aca="false">IF(H105=0,0,K105/H105)</f>
        <v>0.0318181818181818</v>
      </c>
      <c r="S105" s="14" t="n">
        <f aca="false">MONTH(D105)</f>
        <v>2</v>
      </c>
    </row>
    <row r="106" customFormat="false" ht="15" hidden="false" customHeight="false" outlineLevel="0" collapsed="false">
      <c r="A106" s="21" t="s">
        <v>202</v>
      </c>
      <c r="B106" s="21" t="s">
        <v>50</v>
      </c>
      <c r="C106" s="21" t="s">
        <v>57</v>
      </c>
      <c r="D106" s="29" t="n">
        <v>46075</v>
      </c>
      <c r="E106" s="29" t="n">
        <v>46078</v>
      </c>
      <c r="F106" s="29" t="n">
        <v>46077</v>
      </c>
      <c r="G106" s="21" t="n">
        <v>370</v>
      </c>
      <c r="H106" s="21" t="n">
        <v>370</v>
      </c>
      <c r="I106" s="21" t="n">
        <v>293</v>
      </c>
      <c r="J106" s="30" t="n">
        <v>20907</v>
      </c>
      <c r="K106" s="21" t="n">
        <v>8</v>
      </c>
      <c r="L106" s="14" t="n">
        <f aca="false">MAX(0,F106-E106)</f>
        <v>0</v>
      </c>
      <c r="M106" s="14" t="n">
        <f aca="false">IF(L106&lt;=Assumptions!$B$5,1,0)</f>
        <v>1</v>
      </c>
      <c r="N106" s="14" t="n">
        <f aca="false">IF(H106&gt;=G106,1,0)</f>
        <v>1</v>
      </c>
      <c r="O106" s="14" t="n">
        <f aca="false">M106*N106</f>
        <v>1</v>
      </c>
      <c r="P106" s="15" t="n">
        <f aca="false">L106*Assumptions!$B$6</f>
        <v>0</v>
      </c>
      <c r="Q106" s="31" t="n">
        <f aca="false">IF(I106=0,0,J106/I106)</f>
        <v>71.3549488054608</v>
      </c>
      <c r="R106" s="18" t="n">
        <f aca="false">IF(H106=0,0,K106/H106)</f>
        <v>0.0216216216216216</v>
      </c>
      <c r="S106" s="14" t="n">
        <f aca="false">MONTH(D106)</f>
        <v>2</v>
      </c>
    </row>
    <row r="107" customFormat="false" ht="15" hidden="false" customHeight="false" outlineLevel="0" collapsed="false">
      <c r="A107" s="21" t="s">
        <v>203</v>
      </c>
      <c r="B107" s="21" t="s">
        <v>47</v>
      </c>
      <c r="C107" s="21" t="s">
        <v>54</v>
      </c>
      <c r="D107" s="29" t="n">
        <v>46170</v>
      </c>
      <c r="E107" s="29" t="n">
        <v>46176</v>
      </c>
      <c r="F107" s="29" t="n">
        <v>46176</v>
      </c>
      <c r="G107" s="21" t="n">
        <v>610</v>
      </c>
      <c r="H107" s="21" t="n">
        <v>499</v>
      </c>
      <c r="I107" s="21" t="n">
        <v>517</v>
      </c>
      <c r="J107" s="30" t="n">
        <v>54545</v>
      </c>
      <c r="K107" s="21" t="n">
        <v>23</v>
      </c>
      <c r="L107" s="14" t="n">
        <f aca="false">MAX(0,F107-E107)</f>
        <v>0</v>
      </c>
      <c r="M107" s="14" t="n">
        <f aca="false">IF(L107&lt;=Assumptions!$B$5,1,0)</f>
        <v>1</v>
      </c>
      <c r="N107" s="14" t="n">
        <f aca="false">IF(H107&gt;=G107,1,0)</f>
        <v>0</v>
      </c>
      <c r="O107" s="14" t="n">
        <f aca="false">M107*N107</f>
        <v>0</v>
      </c>
      <c r="P107" s="15" t="n">
        <f aca="false">L107*Assumptions!$B$6</f>
        <v>0</v>
      </c>
      <c r="Q107" s="31" t="n">
        <f aca="false">IF(I107=0,0,J107/I107)</f>
        <v>105.502901353965</v>
      </c>
      <c r="R107" s="18" t="n">
        <f aca="false">IF(H107=0,0,K107/H107)</f>
        <v>0.0460921843687375</v>
      </c>
      <c r="S107" s="14" t="n">
        <f aca="false">MONTH(D107)</f>
        <v>5</v>
      </c>
    </row>
    <row r="108" customFormat="false" ht="15" hidden="false" customHeight="false" outlineLevel="0" collapsed="false">
      <c r="A108" s="21" t="s">
        <v>204</v>
      </c>
      <c r="B108" s="21" t="s">
        <v>47</v>
      </c>
      <c r="C108" s="21" t="s">
        <v>54</v>
      </c>
      <c r="D108" s="29" t="n">
        <v>46100</v>
      </c>
      <c r="E108" s="29" t="n">
        <v>46108</v>
      </c>
      <c r="F108" s="29" t="n">
        <v>46112</v>
      </c>
      <c r="G108" s="21" t="n">
        <v>540</v>
      </c>
      <c r="H108" s="21" t="n">
        <v>540</v>
      </c>
      <c r="I108" s="21" t="n">
        <v>480</v>
      </c>
      <c r="J108" s="30" t="n">
        <v>38141</v>
      </c>
      <c r="K108" s="21" t="n">
        <v>5</v>
      </c>
      <c r="L108" s="14" t="n">
        <f aca="false">MAX(0,F108-E108)</f>
        <v>4</v>
      </c>
      <c r="M108" s="14" t="n">
        <f aca="false">IF(L108&lt;=Assumptions!$B$5,1,0)</f>
        <v>0</v>
      </c>
      <c r="N108" s="14" t="n">
        <f aca="false">IF(H108&gt;=G108,1,0)</f>
        <v>1</v>
      </c>
      <c r="O108" s="14" t="n">
        <f aca="false">M108*N108</f>
        <v>0</v>
      </c>
      <c r="P108" s="15" t="n">
        <f aca="false">L108*Assumptions!$B$6</f>
        <v>6000</v>
      </c>
      <c r="Q108" s="31" t="n">
        <f aca="false">IF(I108=0,0,J108/I108)</f>
        <v>79.4604166666667</v>
      </c>
      <c r="R108" s="18" t="n">
        <f aca="false">IF(H108=0,0,K108/H108)</f>
        <v>0.00925925925925926</v>
      </c>
      <c r="S108" s="14" t="n">
        <f aca="false">MONTH(D108)</f>
        <v>3</v>
      </c>
    </row>
    <row r="109" customFormat="false" ht="15" hidden="false" customHeight="false" outlineLevel="0" collapsed="false">
      <c r="A109" s="21" t="s">
        <v>205</v>
      </c>
      <c r="B109" s="21" t="s">
        <v>50</v>
      </c>
      <c r="C109" s="21" t="s">
        <v>53</v>
      </c>
      <c r="D109" s="29" t="n">
        <v>46124</v>
      </c>
      <c r="E109" s="29" t="n">
        <v>46132</v>
      </c>
      <c r="F109" s="29" t="n">
        <v>46132</v>
      </c>
      <c r="G109" s="21" t="n">
        <v>650</v>
      </c>
      <c r="H109" s="21" t="n">
        <v>650</v>
      </c>
      <c r="I109" s="21" t="n">
        <v>28</v>
      </c>
      <c r="J109" s="30" t="n">
        <v>5593</v>
      </c>
      <c r="K109" s="21" t="n">
        <v>7</v>
      </c>
      <c r="L109" s="14" t="n">
        <f aca="false">MAX(0,F109-E109)</f>
        <v>0</v>
      </c>
      <c r="M109" s="14" t="n">
        <f aca="false">IF(L109&lt;=Assumptions!$B$5,1,0)</f>
        <v>1</v>
      </c>
      <c r="N109" s="14" t="n">
        <f aca="false">IF(H109&gt;=G109,1,0)</f>
        <v>1</v>
      </c>
      <c r="O109" s="14" t="n">
        <f aca="false">M109*N109</f>
        <v>1</v>
      </c>
      <c r="P109" s="15" t="n">
        <f aca="false">L109*Assumptions!$B$6</f>
        <v>0</v>
      </c>
      <c r="Q109" s="31" t="n">
        <f aca="false">IF(I109=0,0,J109/I109)</f>
        <v>199.75</v>
      </c>
      <c r="R109" s="18" t="n">
        <f aca="false">IF(H109=0,0,K109/H109)</f>
        <v>0.0107692307692308</v>
      </c>
      <c r="S109" s="14" t="n">
        <f aca="false">MONTH(D109)</f>
        <v>4</v>
      </c>
    </row>
    <row r="110" customFormat="false" ht="15" hidden="false" customHeight="false" outlineLevel="0" collapsed="false">
      <c r="A110" s="21" t="s">
        <v>206</v>
      </c>
      <c r="B110" s="21" t="s">
        <v>49</v>
      </c>
      <c r="C110" s="21" t="s">
        <v>53</v>
      </c>
      <c r="D110" s="29" t="n">
        <v>46063</v>
      </c>
      <c r="E110" s="29" t="n">
        <v>46070</v>
      </c>
      <c r="F110" s="29" t="n">
        <v>46070</v>
      </c>
      <c r="G110" s="21" t="n">
        <v>930</v>
      </c>
      <c r="H110" s="21" t="n">
        <v>930</v>
      </c>
      <c r="I110" s="21" t="n">
        <v>48</v>
      </c>
      <c r="J110" s="30" t="n">
        <v>7266</v>
      </c>
      <c r="K110" s="21" t="n">
        <v>2</v>
      </c>
      <c r="L110" s="14" t="n">
        <f aca="false">MAX(0,F110-E110)</f>
        <v>0</v>
      </c>
      <c r="M110" s="14" t="n">
        <f aca="false">IF(L110&lt;=Assumptions!$B$5,1,0)</f>
        <v>1</v>
      </c>
      <c r="N110" s="14" t="n">
        <f aca="false">IF(H110&gt;=G110,1,0)</f>
        <v>1</v>
      </c>
      <c r="O110" s="14" t="n">
        <f aca="false">M110*N110</f>
        <v>1</v>
      </c>
      <c r="P110" s="15" t="n">
        <f aca="false">L110*Assumptions!$B$6</f>
        <v>0</v>
      </c>
      <c r="Q110" s="31" t="n">
        <f aca="false">IF(I110=0,0,J110/I110)</f>
        <v>151.375</v>
      </c>
      <c r="R110" s="18" t="n">
        <f aca="false">IF(H110=0,0,K110/H110)</f>
        <v>0.0021505376344086</v>
      </c>
      <c r="S110" s="14" t="n">
        <f aca="false">MONTH(D110)</f>
        <v>2</v>
      </c>
    </row>
    <row r="111" customFormat="false" ht="15" hidden="false" customHeight="false" outlineLevel="0" collapsed="false">
      <c r="A111" s="21" t="s">
        <v>207</v>
      </c>
      <c r="B111" s="21" t="s">
        <v>46</v>
      </c>
      <c r="C111" s="21" t="s">
        <v>56</v>
      </c>
      <c r="D111" s="29" t="n">
        <v>46050</v>
      </c>
      <c r="E111" s="29" t="n">
        <v>46054</v>
      </c>
      <c r="F111" s="29" t="n">
        <v>46053</v>
      </c>
      <c r="G111" s="21" t="n">
        <v>770</v>
      </c>
      <c r="H111" s="21" t="n">
        <v>770</v>
      </c>
      <c r="I111" s="21" t="n">
        <v>181</v>
      </c>
      <c r="J111" s="30" t="n">
        <v>14767</v>
      </c>
      <c r="K111" s="21" t="n">
        <v>12</v>
      </c>
      <c r="L111" s="14" t="n">
        <f aca="false">MAX(0,F111-E111)</f>
        <v>0</v>
      </c>
      <c r="M111" s="14" t="n">
        <f aca="false">IF(L111&lt;=Assumptions!$B$5,1,0)</f>
        <v>1</v>
      </c>
      <c r="N111" s="14" t="n">
        <f aca="false">IF(H111&gt;=G111,1,0)</f>
        <v>1</v>
      </c>
      <c r="O111" s="14" t="n">
        <f aca="false">M111*N111</f>
        <v>1</v>
      </c>
      <c r="P111" s="15" t="n">
        <f aca="false">L111*Assumptions!$B$6</f>
        <v>0</v>
      </c>
      <c r="Q111" s="31" t="n">
        <f aca="false">IF(I111=0,0,J111/I111)</f>
        <v>81.585635359116</v>
      </c>
      <c r="R111" s="18" t="n">
        <f aca="false">IF(H111=0,0,K111/H111)</f>
        <v>0.0155844155844156</v>
      </c>
      <c r="S111" s="14" t="n">
        <f aca="false">MONTH(D111)</f>
        <v>1</v>
      </c>
    </row>
    <row r="112" customFormat="false" ht="15" hidden="false" customHeight="false" outlineLevel="0" collapsed="false">
      <c r="A112" s="21" t="s">
        <v>208</v>
      </c>
      <c r="B112" s="21" t="s">
        <v>48</v>
      </c>
      <c r="C112" s="21" t="s">
        <v>55</v>
      </c>
      <c r="D112" s="29" t="n">
        <v>46199</v>
      </c>
      <c r="E112" s="29" t="n">
        <v>46209</v>
      </c>
      <c r="F112" s="29" t="n">
        <v>46208</v>
      </c>
      <c r="G112" s="21" t="n">
        <v>680</v>
      </c>
      <c r="H112" s="21" t="n">
        <v>680</v>
      </c>
      <c r="I112" s="21" t="n">
        <v>344</v>
      </c>
      <c r="J112" s="30" t="n">
        <v>31255</v>
      </c>
      <c r="K112" s="21" t="n">
        <v>39</v>
      </c>
      <c r="L112" s="14" t="n">
        <f aca="false">MAX(0,F112-E112)</f>
        <v>0</v>
      </c>
      <c r="M112" s="14" t="n">
        <f aca="false">IF(L112&lt;=Assumptions!$B$5,1,0)</f>
        <v>1</v>
      </c>
      <c r="N112" s="14" t="n">
        <f aca="false">IF(H112&gt;=G112,1,0)</f>
        <v>1</v>
      </c>
      <c r="O112" s="14" t="n">
        <f aca="false">M112*N112</f>
        <v>1</v>
      </c>
      <c r="P112" s="15" t="n">
        <f aca="false">L112*Assumptions!$B$6</f>
        <v>0</v>
      </c>
      <c r="Q112" s="31" t="n">
        <f aca="false">IF(I112=0,0,J112/I112)</f>
        <v>90.8575581395349</v>
      </c>
      <c r="R112" s="18" t="n">
        <f aca="false">IF(H112=0,0,K112/H112)</f>
        <v>0.0573529411764706</v>
      </c>
      <c r="S112" s="14" t="n">
        <f aca="false">MONTH(D112)</f>
        <v>6</v>
      </c>
    </row>
    <row r="113" customFormat="false" ht="15" hidden="false" customHeight="false" outlineLevel="0" collapsed="false">
      <c r="A113" s="21" t="s">
        <v>209</v>
      </c>
      <c r="B113" s="21" t="s">
        <v>47</v>
      </c>
      <c r="C113" s="21" t="s">
        <v>53</v>
      </c>
      <c r="D113" s="29" t="n">
        <v>46182</v>
      </c>
      <c r="E113" s="29" t="n">
        <v>46186</v>
      </c>
      <c r="F113" s="29" t="n">
        <v>46185</v>
      </c>
      <c r="G113" s="21" t="n">
        <v>450</v>
      </c>
      <c r="H113" s="21" t="n">
        <v>415</v>
      </c>
      <c r="I113" s="21" t="n">
        <v>41</v>
      </c>
      <c r="J113" s="30" t="n">
        <v>5165</v>
      </c>
      <c r="K113" s="21" t="n">
        <v>28</v>
      </c>
      <c r="L113" s="14" t="n">
        <f aca="false">MAX(0,F113-E113)</f>
        <v>0</v>
      </c>
      <c r="M113" s="14" t="n">
        <f aca="false">IF(L113&lt;=Assumptions!$B$5,1,0)</f>
        <v>1</v>
      </c>
      <c r="N113" s="14" t="n">
        <f aca="false">IF(H113&gt;=G113,1,0)</f>
        <v>0</v>
      </c>
      <c r="O113" s="14" t="n">
        <f aca="false">M113*N113</f>
        <v>0</v>
      </c>
      <c r="P113" s="15" t="n">
        <f aca="false">L113*Assumptions!$B$6</f>
        <v>0</v>
      </c>
      <c r="Q113" s="31" t="n">
        <f aca="false">IF(I113=0,0,J113/I113)</f>
        <v>125.975609756098</v>
      </c>
      <c r="R113" s="18" t="n">
        <f aca="false">IF(H113=0,0,K113/H113)</f>
        <v>0.0674698795180723</v>
      </c>
      <c r="S113" s="14" t="n">
        <f aca="false">MONTH(D113)</f>
        <v>6</v>
      </c>
    </row>
    <row r="114" customFormat="false" ht="15" hidden="false" customHeight="false" outlineLevel="0" collapsed="false">
      <c r="A114" s="21" t="s">
        <v>210</v>
      </c>
      <c r="B114" s="21" t="s">
        <v>46</v>
      </c>
      <c r="C114" s="21" t="s">
        <v>54</v>
      </c>
      <c r="D114" s="29" t="n">
        <v>46028</v>
      </c>
      <c r="E114" s="29" t="n">
        <v>46034</v>
      </c>
      <c r="F114" s="29" t="n">
        <v>46034</v>
      </c>
      <c r="G114" s="21" t="n">
        <v>240</v>
      </c>
      <c r="H114" s="21" t="n">
        <v>240</v>
      </c>
      <c r="I114" s="21" t="n">
        <v>449</v>
      </c>
      <c r="J114" s="30" t="n">
        <v>45137</v>
      </c>
      <c r="K114" s="21" t="n">
        <v>5</v>
      </c>
      <c r="L114" s="14" t="n">
        <f aca="false">MAX(0,F114-E114)</f>
        <v>0</v>
      </c>
      <c r="M114" s="14" t="n">
        <f aca="false">IF(L114&lt;=Assumptions!$B$5,1,0)</f>
        <v>1</v>
      </c>
      <c r="N114" s="14" t="n">
        <f aca="false">IF(H114&gt;=G114,1,0)</f>
        <v>1</v>
      </c>
      <c r="O114" s="14" t="n">
        <f aca="false">M114*N114</f>
        <v>1</v>
      </c>
      <c r="P114" s="15" t="n">
        <f aca="false">L114*Assumptions!$B$6</f>
        <v>0</v>
      </c>
      <c r="Q114" s="31" t="n">
        <f aca="false">IF(I114=0,0,J114/I114)</f>
        <v>100.527839643653</v>
      </c>
      <c r="R114" s="18" t="n">
        <f aca="false">IF(H114=0,0,K114/H114)</f>
        <v>0.0208333333333333</v>
      </c>
      <c r="S114" s="14" t="n">
        <f aca="false">MONTH(D114)</f>
        <v>1</v>
      </c>
    </row>
    <row r="115" customFormat="false" ht="15" hidden="false" customHeight="false" outlineLevel="0" collapsed="false">
      <c r="A115" s="21" t="s">
        <v>211</v>
      </c>
      <c r="B115" s="21" t="s">
        <v>47</v>
      </c>
      <c r="C115" s="21" t="s">
        <v>58</v>
      </c>
      <c r="D115" s="29" t="n">
        <v>46100</v>
      </c>
      <c r="E115" s="29" t="n">
        <v>46110</v>
      </c>
      <c r="F115" s="29" t="n">
        <v>46110</v>
      </c>
      <c r="G115" s="21" t="n">
        <v>310</v>
      </c>
      <c r="H115" s="21" t="n">
        <v>255</v>
      </c>
      <c r="I115" s="21" t="n">
        <v>253</v>
      </c>
      <c r="J115" s="30" t="n">
        <v>16638</v>
      </c>
      <c r="K115" s="21" t="n">
        <v>5</v>
      </c>
      <c r="L115" s="14" t="n">
        <f aca="false">MAX(0,F115-E115)</f>
        <v>0</v>
      </c>
      <c r="M115" s="14" t="n">
        <f aca="false">IF(L115&lt;=Assumptions!$B$5,1,0)</f>
        <v>1</v>
      </c>
      <c r="N115" s="14" t="n">
        <f aca="false">IF(H115&gt;=G115,1,0)</f>
        <v>0</v>
      </c>
      <c r="O115" s="14" t="n">
        <f aca="false">M115*N115</f>
        <v>0</v>
      </c>
      <c r="P115" s="15" t="n">
        <f aca="false">L115*Assumptions!$B$6</f>
        <v>0</v>
      </c>
      <c r="Q115" s="31" t="n">
        <f aca="false">IF(I115=0,0,J115/I115)</f>
        <v>65.7628458498024</v>
      </c>
      <c r="R115" s="18" t="n">
        <f aca="false">IF(H115=0,0,K115/H115)</f>
        <v>0.0196078431372549</v>
      </c>
      <c r="S115" s="14" t="n">
        <f aca="false">MONTH(D115)</f>
        <v>3</v>
      </c>
    </row>
    <row r="116" customFormat="false" ht="15" hidden="false" customHeight="false" outlineLevel="0" collapsed="false">
      <c r="A116" s="21" t="s">
        <v>212</v>
      </c>
      <c r="B116" s="21" t="s">
        <v>47</v>
      </c>
      <c r="C116" s="21" t="s">
        <v>55</v>
      </c>
      <c r="D116" s="29" t="n">
        <v>46053</v>
      </c>
      <c r="E116" s="29" t="n">
        <v>46061</v>
      </c>
      <c r="F116" s="29" t="n">
        <v>46060</v>
      </c>
      <c r="G116" s="21" t="n">
        <v>530</v>
      </c>
      <c r="H116" s="21" t="n">
        <v>481</v>
      </c>
      <c r="I116" s="21" t="n">
        <v>285</v>
      </c>
      <c r="J116" s="30" t="n">
        <v>20948</v>
      </c>
      <c r="K116" s="21" t="n">
        <v>5</v>
      </c>
      <c r="L116" s="14" t="n">
        <f aca="false">MAX(0,F116-E116)</f>
        <v>0</v>
      </c>
      <c r="M116" s="14" t="n">
        <f aca="false">IF(L116&lt;=Assumptions!$B$5,1,0)</f>
        <v>1</v>
      </c>
      <c r="N116" s="14" t="n">
        <f aca="false">IF(H116&gt;=G116,1,0)</f>
        <v>0</v>
      </c>
      <c r="O116" s="14" t="n">
        <f aca="false">M116*N116</f>
        <v>0</v>
      </c>
      <c r="P116" s="15" t="n">
        <f aca="false">L116*Assumptions!$B$6</f>
        <v>0</v>
      </c>
      <c r="Q116" s="31" t="n">
        <f aca="false">IF(I116=0,0,J116/I116)</f>
        <v>73.5017543859649</v>
      </c>
      <c r="R116" s="18" t="n">
        <f aca="false">IF(H116=0,0,K116/H116)</f>
        <v>0.0103950103950104</v>
      </c>
      <c r="S116" s="14" t="n">
        <f aca="false">MONTH(D116)</f>
        <v>1</v>
      </c>
    </row>
    <row r="117" customFormat="false" ht="15" hidden="false" customHeight="false" outlineLevel="0" collapsed="false">
      <c r="A117" s="21" t="s">
        <v>213</v>
      </c>
      <c r="B117" s="21" t="s">
        <v>47</v>
      </c>
      <c r="C117" s="21" t="s">
        <v>54</v>
      </c>
      <c r="D117" s="29" t="n">
        <v>46146</v>
      </c>
      <c r="E117" s="29" t="n">
        <v>46155</v>
      </c>
      <c r="F117" s="29" t="n">
        <v>46159</v>
      </c>
      <c r="G117" s="21" t="n">
        <v>890</v>
      </c>
      <c r="H117" s="21" t="n">
        <v>810</v>
      </c>
      <c r="I117" s="21" t="n">
        <v>495</v>
      </c>
      <c r="J117" s="30" t="n">
        <v>53409</v>
      </c>
      <c r="K117" s="21" t="n">
        <v>7</v>
      </c>
      <c r="L117" s="14" t="n">
        <f aca="false">MAX(0,F117-E117)</f>
        <v>4</v>
      </c>
      <c r="M117" s="14" t="n">
        <f aca="false">IF(L117&lt;=Assumptions!$B$5,1,0)</f>
        <v>0</v>
      </c>
      <c r="N117" s="14" t="n">
        <f aca="false">IF(H117&gt;=G117,1,0)</f>
        <v>0</v>
      </c>
      <c r="O117" s="14" t="n">
        <f aca="false">M117*N117</f>
        <v>0</v>
      </c>
      <c r="P117" s="15" t="n">
        <f aca="false">L117*Assumptions!$B$6</f>
        <v>6000</v>
      </c>
      <c r="Q117" s="31" t="n">
        <f aca="false">IF(I117=0,0,J117/I117)</f>
        <v>107.89696969697</v>
      </c>
      <c r="R117" s="18" t="n">
        <f aca="false">IF(H117=0,0,K117/H117)</f>
        <v>0.00864197530864197</v>
      </c>
      <c r="S117" s="14" t="n">
        <f aca="false">MONTH(D117)</f>
        <v>5</v>
      </c>
    </row>
    <row r="118" customFormat="false" ht="15" hidden="false" customHeight="false" outlineLevel="0" collapsed="false">
      <c r="A118" s="21" t="s">
        <v>214</v>
      </c>
      <c r="B118" s="21" t="s">
        <v>45</v>
      </c>
      <c r="C118" s="21" t="s">
        <v>57</v>
      </c>
      <c r="D118" s="29" t="n">
        <v>46108</v>
      </c>
      <c r="E118" s="29" t="n">
        <v>46113</v>
      </c>
      <c r="F118" s="29" t="n">
        <v>46112</v>
      </c>
      <c r="G118" s="21" t="n">
        <v>660</v>
      </c>
      <c r="H118" s="21" t="n">
        <v>660</v>
      </c>
      <c r="I118" s="21" t="n">
        <v>296</v>
      </c>
      <c r="J118" s="30" t="n">
        <v>29537</v>
      </c>
      <c r="K118" s="21" t="n">
        <v>6</v>
      </c>
      <c r="L118" s="14" t="n">
        <f aca="false">MAX(0,F118-E118)</f>
        <v>0</v>
      </c>
      <c r="M118" s="14" t="n">
        <f aca="false">IF(L118&lt;=Assumptions!$B$5,1,0)</f>
        <v>1</v>
      </c>
      <c r="N118" s="14" t="n">
        <f aca="false">IF(H118&gt;=G118,1,0)</f>
        <v>1</v>
      </c>
      <c r="O118" s="14" t="n">
        <f aca="false">M118*N118</f>
        <v>1</v>
      </c>
      <c r="P118" s="15" t="n">
        <f aca="false">L118*Assumptions!$B$6</f>
        <v>0</v>
      </c>
      <c r="Q118" s="31" t="n">
        <f aca="false">IF(I118=0,0,J118/I118)</f>
        <v>99.7871621621622</v>
      </c>
      <c r="R118" s="18" t="n">
        <f aca="false">IF(H118=0,0,K118/H118)</f>
        <v>0.00909090909090909</v>
      </c>
      <c r="S118" s="14" t="n">
        <f aca="false">MONTH(D118)</f>
        <v>3</v>
      </c>
    </row>
    <row r="119" customFormat="false" ht="15" hidden="false" customHeight="false" outlineLevel="0" collapsed="false">
      <c r="A119" s="21" t="s">
        <v>215</v>
      </c>
      <c r="B119" s="21" t="s">
        <v>48</v>
      </c>
      <c r="C119" s="21" t="s">
        <v>56</v>
      </c>
      <c r="D119" s="29" t="n">
        <v>46155</v>
      </c>
      <c r="E119" s="29" t="n">
        <v>46162</v>
      </c>
      <c r="F119" s="29" t="n">
        <v>46161</v>
      </c>
      <c r="G119" s="21" t="n">
        <v>840</v>
      </c>
      <c r="H119" s="21" t="n">
        <v>840</v>
      </c>
      <c r="I119" s="21" t="n">
        <v>157</v>
      </c>
      <c r="J119" s="30" t="n">
        <v>15368</v>
      </c>
      <c r="K119" s="21" t="n">
        <v>33</v>
      </c>
      <c r="L119" s="14" t="n">
        <f aca="false">MAX(0,F119-E119)</f>
        <v>0</v>
      </c>
      <c r="M119" s="14" t="n">
        <f aca="false">IF(L119&lt;=Assumptions!$B$5,1,0)</f>
        <v>1</v>
      </c>
      <c r="N119" s="14" t="n">
        <f aca="false">IF(H119&gt;=G119,1,0)</f>
        <v>1</v>
      </c>
      <c r="O119" s="14" t="n">
        <f aca="false">M119*N119</f>
        <v>1</v>
      </c>
      <c r="P119" s="15" t="n">
        <f aca="false">L119*Assumptions!$B$6</f>
        <v>0</v>
      </c>
      <c r="Q119" s="31" t="n">
        <f aca="false">IF(I119=0,0,J119/I119)</f>
        <v>97.8853503184713</v>
      </c>
      <c r="R119" s="18" t="n">
        <f aca="false">IF(H119=0,0,K119/H119)</f>
        <v>0.0392857142857143</v>
      </c>
      <c r="S119" s="14" t="n">
        <f aca="false">MONTH(D119)</f>
        <v>5</v>
      </c>
    </row>
    <row r="120" customFormat="false" ht="15" hidden="false" customHeight="false" outlineLevel="0" collapsed="false">
      <c r="A120" s="21" t="s">
        <v>216</v>
      </c>
      <c r="B120" s="21" t="s">
        <v>48</v>
      </c>
      <c r="C120" s="21" t="s">
        <v>54</v>
      </c>
      <c r="D120" s="29" t="n">
        <v>46079</v>
      </c>
      <c r="E120" s="29" t="n">
        <v>46082</v>
      </c>
      <c r="F120" s="29" t="n">
        <v>46082</v>
      </c>
      <c r="G120" s="21" t="n">
        <v>970</v>
      </c>
      <c r="H120" s="21" t="n">
        <v>970</v>
      </c>
      <c r="I120" s="21" t="n">
        <v>519</v>
      </c>
      <c r="J120" s="30" t="n">
        <v>57506</v>
      </c>
      <c r="K120" s="21" t="n">
        <v>10</v>
      </c>
      <c r="L120" s="14" t="n">
        <f aca="false">MAX(0,F120-E120)</f>
        <v>0</v>
      </c>
      <c r="M120" s="14" t="n">
        <f aca="false">IF(L120&lt;=Assumptions!$B$5,1,0)</f>
        <v>1</v>
      </c>
      <c r="N120" s="14" t="n">
        <f aca="false">IF(H120&gt;=G120,1,0)</f>
        <v>1</v>
      </c>
      <c r="O120" s="14" t="n">
        <f aca="false">M120*N120</f>
        <v>1</v>
      </c>
      <c r="P120" s="15" t="n">
        <f aca="false">L120*Assumptions!$B$6</f>
        <v>0</v>
      </c>
      <c r="Q120" s="31" t="n">
        <f aca="false">IF(I120=0,0,J120/I120)</f>
        <v>110.801541425819</v>
      </c>
      <c r="R120" s="18" t="n">
        <f aca="false">IF(H120=0,0,K120/H120)</f>
        <v>0.0103092783505155</v>
      </c>
      <c r="S120" s="14" t="n">
        <f aca="false">MONTH(D120)</f>
        <v>2</v>
      </c>
    </row>
    <row r="121" customFormat="false" ht="15" hidden="false" customHeight="false" outlineLevel="0" collapsed="false">
      <c r="A121" s="21" t="s">
        <v>217</v>
      </c>
      <c r="B121" s="21" t="s">
        <v>45</v>
      </c>
      <c r="C121" s="21" t="s">
        <v>58</v>
      </c>
      <c r="D121" s="29" t="n">
        <v>46269</v>
      </c>
      <c r="E121" s="29" t="n">
        <v>46275</v>
      </c>
      <c r="F121" s="29" t="n">
        <v>46275</v>
      </c>
      <c r="G121" s="21" t="n">
        <v>940</v>
      </c>
      <c r="H121" s="21" t="n">
        <v>940</v>
      </c>
      <c r="I121" s="21" t="n">
        <v>224</v>
      </c>
      <c r="J121" s="30" t="n">
        <v>28283</v>
      </c>
      <c r="K121" s="21" t="n">
        <v>5</v>
      </c>
      <c r="L121" s="14" t="n">
        <f aca="false">MAX(0,F121-E121)</f>
        <v>0</v>
      </c>
      <c r="M121" s="14" t="n">
        <f aca="false">IF(L121&lt;=Assumptions!$B$5,1,0)</f>
        <v>1</v>
      </c>
      <c r="N121" s="14" t="n">
        <f aca="false">IF(H121&gt;=G121,1,0)</f>
        <v>1</v>
      </c>
      <c r="O121" s="14" t="n">
        <f aca="false">M121*N121</f>
        <v>1</v>
      </c>
      <c r="P121" s="15" t="n">
        <f aca="false">L121*Assumptions!$B$6</f>
        <v>0</v>
      </c>
      <c r="Q121" s="31" t="n">
        <f aca="false">IF(I121=0,0,J121/I121)</f>
        <v>126.263392857143</v>
      </c>
      <c r="R121" s="18" t="n">
        <f aca="false">IF(H121=0,0,K121/H121)</f>
        <v>0.00531914893617021</v>
      </c>
      <c r="S121" s="14" t="n">
        <f aca="false">MONTH(D121)</f>
        <v>9</v>
      </c>
    </row>
    <row r="122" customFormat="false" ht="15" hidden="false" customHeight="false" outlineLevel="0" collapsed="false">
      <c r="A122" s="21" t="s">
        <v>218</v>
      </c>
      <c r="B122" s="21" t="s">
        <v>49</v>
      </c>
      <c r="C122" s="21" t="s">
        <v>54</v>
      </c>
      <c r="D122" s="29" t="n">
        <v>46103</v>
      </c>
      <c r="E122" s="29" t="n">
        <v>46107</v>
      </c>
      <c r="F122" s="29" t="n">
        <v>46106</v>
      </c>
      <c r="G122" s="21" t="n">
        <v>80</v>
      </c>
      <c r="H122" s="21" t="n">
        <v>80</v>
      </c>
      <c r="I122" s="21" t="n">
        <v>517</v>
      </c>
      <c r="J122" s="30" t="n">
        <v>48897</v>
      </c>
      <c r="K122" s="21" t="n">
        <v>0</v>
      </c>
      <c r="L122" s="14" t="n">
        <f aca="false">MAX(0,F122-E122)</f>
        <v>0</v>
      </c>
      <c r="M122" s="14" t="n">
        <f aca="false">IF(L122&lt;=Assumptions!$B$5,1,0)</f>
        <v>1</v>
      </c>
      <c r="N122" s="14" t="n">
        <f aca="false">IF(H122&gt;=G122,1,0)</f>
        <v>1</v>
      </c>
      <c r="O122" s="14" t="n">
        <f aca="false">M122*N122</f>
        <v>1</v>
      </c>
      <c r="P122" s="15" t="n">
        <f aca="false">L122*Assumptions!$B$6</f>
        <v>0</v>
      </c>
      <c r="Q122" s="31" t="n">
        <f aca="false">IF(I122=0,0,J122/I122)</f>
        <v>94.57833655706</v>
      </c>
      <c r="R122" s="18" t="n">
        <f aca="false">IF(H122=0,0,K122/H122)</f>
        <v>0</v>
      </c>
      <c r="S122" s="14" t="n">
        <f aca="false">MONTH(D122)</f>
        <v>3</v>
      </c>
    </row>
    <row r="123" customFormat="false" ht="15" hidden="false" customHeight="false" outlineLevel="0" collapsed="false">
      <c r="A123" s="21" t="s">
        <v>219</v>
      </c>
      <c r="B123" s="21" t="s">
        <v>45</v>
      </c>
      <c r="C123" s="21" t="s">
        <v>58</v>
      </c>
      <c r="D123" s="29" t="n">
        <v>46109</v>
      </c>
      <c r="E123" s="29" t="n">
        <v>46112</v>
      </c>
      <c r="F123" s="29" t="n">
        <v>46111</v>
      </c>
      <c r="G123" s="21" t="n">
        <v>140</v>
      </c>
      <c r="H123" s="21" t="n">
        <v>140</v>
      </c>
      <c r="I123" s="21" t="n">
        <v>234</v>
      </c>
      <c r="J123" s="30" t="n">
        <v>15505</v>
      </c>
      <c r="K123" s="21" t="n">
        <v>0</v>
      </c>
      <c r="L123" s="14" t="n">
        <f aca="false">MAX(0,F123-E123)</f>
        <v>0</v>
      </c>
      <c r="M123" s="14" t="n">
        <f aca="false">IF(L123&lt;=Assumptions!$B$5,1,0)</f>
        <v>1</v>
      </c>
      <c r="N123" s="14" t="n">
        <f aca="false">IF(H123&gt;=G123,1,0)</f>
        <v>1</v>
      </c>
      <c r="O123" s="14" t="n">
        <f aca="false">M123*N123</f>
        <v>1</v>
      </c>
      <c r="P123" s="15" t="n">
        <f aca="false">L123*Assumptions!$B$6</f>
        <v>0</v>
      </c>
      <c r="Q123" s="31" t="n">
        <f aca="false">IF(I123=0,0,J123/I123)</f>
        <v>66.2606837606838</v>
      </c>
      <c r="R123" s="18" t="n">
        <f aca="false">IF(H123=0,0,K123/H123)</f>
        <v>0</v>
      </c>
      <c r="S123" s="14" t="n">
        <f aca="false">MONTH(D123)</f>
        <v>3</v>
      </c>
    </row>
    <row r="124" customFormat="false" ht="15" hidden="false" customHeight="false" outlineLevel="0" collapsed="false">
      <c r="A124" s="21" t="s">
        <v>220</v>
      </c>
      <c r="B124" s="21" t="s">
        <v>50</v>
      </c>
      <c r="C124" s="21" t="s">
        <v>56</v>
      </c>
      <c r="D124" s="29" t="n">
        <v>46087</v>
      </c>
      <c r="E124" s="29" t="n">
        <v>46095</v>
      </c>
      <c r="F124" s="29" t="n">
        <v>46095</v>
      </c>
      <c r="G124" s="21" t="n">
        <v>560</v>
      </c>
      <c r="H124" s="21" t="n">
        <v>560</v>
      </c>
      <c r="I124" s="21" t="n">
        <v>155</v>
      </c>
      <c r="J124" s="30" t="n">
        <v>11514</v>
      </c>
      <c r="K124" s="21" t="n">
        <v>12</v>
      </c>
      <c r="L124" s="14" t="n">
        <f aca="false">MAX(0,F124-E124)</f>
        <v>0</v>
      </c>
      <c r="M124" s="14" t="n">
        <f aca="false">IF(L124&lt;=Assumptions!$B$5,1,0)</f>
        <v>1</v>
      </c>
      <c r="N124" s="14" t="n">
        <f aca="false">IF(H124&gt;=G124,1,0)</f>
        <v>1</v>
      </c>
      <c r="O124" s="14" t="n">
        <f aca="false">M124*N124</f>
        <v>1</v>
      </c>
      <c r="P124" s="15" t="n">
        <f aca="false">L124*Assumptions!$B$6</f>
        <v>0</v>
      </c>
      <c r="Q124" s="31" t="n">
        <f aca="false">IF(I124=0,0,J124/I124)</f>
        <v>74.2838709677419</v>
      </c>
      <c r="R124" s="18" t="n">
        <f aca="false">IF(H124=0,0,K124/H124)</f>
        <v>0.0214285714285714</v>
      </c>
      <c r="S124" s="14" t="n">
        <f aca="false">MONTH(D124)</f>
        <v>3</v>
      </c>
    </row>
    <row r="125" customFormat="false" ht="15" hidden="false" customHeight="false" outlineLevel="0" collapsed="false">
      <c r="A125" s="21" t="s">
        <v>221</v>
      </c>
      <c r="B125" s="21" t="s">
        <v>46</v>
      </c>
      <c r="C125" s="21" t="s">
        <v>57</v>
      </c>
      <c r="D125" s="29" t="n">
        <v>46124</v>
      </c>
      <c r="E125" s="29" t="n">
        <v>46128</v>
      </c>
      <c r="F125" s="29" t="n">
        <v>46128</v>
      </c>
      <c r="G125" s="21" t="n">
        <v>200</v>
      </c>
      <c r="H125" s="21" t="n">
        <v>200</v>
      </c>
      <c r="I125" s="21" t="n">
        <v>255</v>
      </c>
      <c r="J125" s="30" t="n">
        <v>25786</v>
      </c>
      <c r="K125" s="21" t="n">
        <v>2</v>
      </c>
      <c r="L125" s="14" t="n">
        <f aca="false">MAX(0,F125-E125)</f>
        <v>0</v>
      </c>
      <c r="M125" s="14" t="n">
        <f aca="false">IF(L125&lt;=Assumptions!$B$5,1,0)</f>
        <v>1</v>
      </c>
      <c r="N125" s="14" t="n">
        <f aca="false">IF(H125&gt;=G125,1,0)</f>
        <v>1</v>
      </c>
      <c r="O125" s="14" t="n">
        <f aca="false">M125*N125</f>
        <v>1</v>
      </c>
      <c r="P125" s="15" t="n">
        <f aca="false">L125*Assumptions!$B$6</f>
        <v>0</v>
      </c>
      <c r="Q125" s="31" t="n">
        <f aca="false">IF(I125=0,0,J125/I125)</f>
        <v>101.121568627451</v>
      </c>
      <c r="R125" s="18" t="n">
        <f aca="false">IF(H125=0,0,K125/H125)</f>
        <v>0.01</v>
      </c>
      <c r="S125" s="14" t="n">
        <f aca="false">MONTH(D125)</f>
        <v>4</v>
      </c>
    </row>
    <row r="126" customFormat="false" ht="15" hidden="false" customHeight="false" outlineLevel="0" collapsed="false">
      <c r="A126" s="21" t="s">
        <v>222</v>
      </c>
      <c r="B126" s="21" t="s">
        <v>49</v>
      </c>
      <c r="C126" s="21" t="s">
        <v>56</v>
      </c>
      <c r="D126" s="29" t="n">
        <v>46267</v>
      </c>
      <c r="E126" s="29" t="n">
        <v>46277</v>
      </c>
      <c r="F126" s="29" t="n">
        <v>46277</v>
      </c>
      <c r="G126" s="21" t="n">
        <v>710</v>
      </c>
      <c r="H126" s="21" t="n">
        <v>710</v>
      </c>
      <c r="I126" s="21" t="n">
        <v>150</v>
      </c>
      <c r="J126" s="30" t="n">
        <v>16650</v>
      </c>
      <c r="K126" s="21" t="n">
        <v>10</v>
      </c>
      <c r="L126" s="14" t="n">
        <f aca="false">MAX(0,F126-E126)</f>
        <v>0</v>
      </c>
      <c r="M126" s="14" t="n">
        <f aca="false">IF(L126&lt;=Assumptions!$B$5,1,0)</f>
        <v>1</v>
      </c>
      <c r="N126" s="14" t="n">
        <f aca="false">IF(H126&gt;=G126,1,0)</f>
        <v>1</v>
      </c>
      <c r="O126" s="14" t="n">
        <f aca="false">M126*N126</f>
        <v>1</v>
      </c>
      <c r="P126" s="15" t="n">
        <f aca="false">L126*Assumptions!$B$6</f>
        <v>0</v>
      </c>
      <c r="Q126" s="31" t="n">
        <f aca="false">IF(I126=0,0,J126/I126)</f>
        <v>111</v>
      </c>
      <c r="R126" s="18" t="n">
        <f aca="false">IF(H126=0,0,K126/H126)</f>
        <v>0.0140845070422535</v>
      </c>
      <c r="S126" s="14" t="n">
        <f aca="false">MONTH(D126)</f>
        <v>9</v>
      </c>
    </row>
    <row r="127" customFormat="false" ht="15" hidden="false" customHeight="false" outlineLevel="0" collapsed="false">
      <c r="A127" s="21" t="s">
        <v>223</v>
      </c>
      <c r="B127" s="21" t="s">
        <v>46</v>
      </c>
      <c r="C127" s="21" t="s">
        <v>58</v>
      </c>
      <c r="D127" s="29" t="n">
        <v>46250</v>
      </c>
      <c r="E127" s="29" t="n">
        <v>46256</v>
      </c>
      <c r="F127" s="29" t="n">
        <v>46256</v>
      </c>
      <c r="G127" s="21" t="n">
        <v>280</v>
      </c>
      <c r="H127" s="21" t="n">
        <v>280</v>
      </c>
      <c r="I127" s="21" t="n">
        <v>267</v>
      </c>
      <c r="J127" s="30" t="n">
        <v>28631</v>
      </c>
      <c r="K127" s="21" t="n">
        <v>2</v>
      </c>
      <c r="L127" s="14" t="n">
        <f aca="false">MAX(0,F127-E127)</f>
        <v>0</v>
      </c>
      <c r="M127" s="14" t="n">
        <f aca="false">IF(L127&lt;=Assumptions!$B$5,1,0)</f>
        <v>1</v>
      </c>
      <c r="N127" s="14" t="n">
        <f aca="false">IF(H127&gt;=G127,1,0)</f>
        <v>1</v>
      </c>
      <c r="O127" s="14" t="n">
        <f aca="false">M127*N127</f>
        <v>1</v>
      </c>
      <c r="P127" s="15" t="n">
        <f aca="false">L127*Assumptions!$B$6</f>
        <v>0</v>
      </c>
      <c r="Q127" s="31" t="n">
        <f aca="false">IF(I127=0,0,J127/I127)</f>
        <v>107.232209737828</v>
      </c>
      <c r="R127" s="18" t="n">
        <f aca="false">IF(H127=0,0,K127/H127)</f>
        <v>0.00714285714285714</v>
      </c>
      <c r="S127" s="14" t="n">
        <f aca="false">MONTH(D127)</f>
        <v>8</v>
      </c>
    </row>
    <row r="128" customFormat="false" ht="15" hidden="false" customHeight="false" outlineLevel="0" collapsed="false">
      <c r="A128" s="21" t="s">
        <v>224</v>
      </c>
      <c r="B128" s="21" t="s">
        <v>49</v>
      </c>
      <c r="C128" s="21" t="s">
        <v>56</v>
      </c>
      <c r="D128" s="29" t="n">
        <v>46193</v>
      </c>
      <c r="E128" s="29" t="n">
        <v>46199</v>
      </c>
      <c r="F128" s="29" t="n">
        <v>46199</v>
      </c>
      <c r="G128" s="21" t="n">
        <v>210</v>
      </c>
      <c r="H128" s="21" t="n">
        <v>210</v>
      </c>
      <c r="I128" s="21" t="n">
        <v>164</v>
      </c>
      <c r="J128" s="30" t="n">
        <v>15060</v>
      </c>
      <c r="K128" s="21" t="n">
        <v>2</v>
      </c>
      <c r="L128" s="14" t="n">
        <f aca="false">MAX(0,F128-E128)</f>
        <v>0</v>
      </c>
      <c r="M128" s="14" t="n">
        <f aca="false">IF(L128&lt;=Assumptions!$B$5,1,0)</f>
        <v>1</v>
      </c>
      <c r="N128" s="14" t="n">
        <f aca="false">IF(H128&gt;=G128,1,0)</f>
        <v>1</v>
      </c>
      <c r="O128" s="14" t="n">
        <f aca="false">M128*N128</f>
        <v>1</v>
      </c>
      <c r="P128" s="15" t="n">
        <f aca="false">L128*Assumptions!$B$6</f>
        <v>0</v>
      </c>
      <c r="Q128" s="31" t="n">
        <f aca="false">IF(I128=0,0,J128/I128)</f>
        <v>91.8292682926829</v>
      </c>
      <c r="R128" s="18" t="n">
        <f aca="false">IF(H128=0,0,K128/H128)</f>
        <v>0.00952380952380953</v>
      </c>
      <c r="S128" s="14" t="n">
        <f aca="false">MONTH(D128)</f>
        <v>6</v>
      </c>
    </row>
    <row r="129" customFormat="false" ht="15" hidden="false" customHeight="false" outlineLevel="0" collapsed="false">
      <c r="A129" s="21" t="s">
        <v>225</v>
      </c>
      <c r="B129" s="21" t="s">
        <v>49</v>
      </c>
      <c r="C129" s="21" t="s">
        <v>55</v>
      </c>
      <c r="D129" s="29" t="n">
        <v>46197</v>
      </c>
      <c r="E129" s="29" t="n">
        <v>46205</v>
      </c>
      <c r="F129" s="29" t="n">
        <v>46205</v>
      </c>
      <c r="G129" s="21" t="n">
        <v>240</v>
      </c>
      <c r="H129" s="21" t="n">
        <v>240</v>
      </c>
      <c r="I129" s="21" t="n">
        <v>340</v>
      </c>
      <c r="J129" s="30" t="n">
        <v>26922</v>
      </c>
      <c r="K129" s="21" t="n">
        <v>1</v>
      </c>
      <c r="L129" s="14" t="n">
        <f aca="false">MAX(0,F129-E129)</f>
        <v>0</v>
      </c>
      <c r="M129" s="14" t="n">
        <f aca="false">IF(L129&lt;=Assumptions!$B$5,1,0)</f>
        <v>1</v>
      </c>
      <c r="N129" s="14" t="n">
        <f aca="false">IF(H129&gt;=G129,1,0)</f>
        <v>1</v>
      </c>
      <c r="O129" s="14" t="n">
        <f aca="false">M129*N129</f>
        <v>1</v>
      </c>
      <c r="P129" s="15" t="n">
        <f aca="false">L129*Assumptions!$B$6</f>
        <v>0</v>
      </c>
      <c r="Q129" s="31" t="n">
        <f aca="false">IF(I129=0,0,J129/I129)</f>
        <v>79.1823529411765</v>
      </c>
      <c r="R129" s="18" t="n">
        <f aca="false">IF(H129=0,0,K129/H129)</f>
        <v>0.00416666666666667</v>
      </c>
      <c r="S129" s="14" t="n">
        <f aca="false">MONTH(D129)</f>
        <v>6</v>
      </c>
    </row>
    <row r="130" customFormat="false" ht="15" hidden="false" customHeight="false" outlineLevel="0" collapsed="false">
      <c r="A130" s="21" t="s">
        <v>226</v>
      </c>
      <c r="B130" s="21" t="s">
        <v>48</v>
      </c>
      <c r="C130" s="21" t="s">
        <v>53</v>
      </c>
      <c r="D130" s="29" t="n">
        <v>46168</v>
      </c>
      <c r="E130" s="29" t="n">
        <v>46173</v>
      </c>
      <c r="F130" s="29" t="n">
        <v>46173</v>
      </c>
      <c r="G130" s="21" t="n">
        <v>380</v>
      </c>
      <c r="H130" s="21" t="n">
        <v>380</v>
      </c>
      <c r="I130" s="21" t="n">
        <v>57</v>
      </c>
      <c r="J130" s="30" t="n">
        <v>5480</v>
      </c>
      <c r="K130" s="21" t="n">
        <v>12</v>
      </c>
      <c r="L130" s="14" t="n">
        <f aca="false">MAX(0,F130-E130)</f>
        <v>0</v>
      </c>
      <c r="M130" s="14" t="n">
        <f aca="false">IF(L130&lt;=Assumptions!$B$5,1,0)</f>
        <v>1</v>
      </c>
      <c r="N130" s="14" t="n">
        <f aca="false">IF(H130&gt;=G130,1,0)</f>
        <v>1</v>
      </c>
      <c r="O130" s="14" t="n">
        <f aca="false">M130*N130</f>
        <v>1</v>
      </c>
      <c r="P130" s="15" t="n">
        <f aca="false">L130*Assumptions!$B$6</f>
        <v>0</v>
      </c>
      <c r="Q130" s="31" t="n">
        <f aca="false">IF(I130=0,0,J130/I130)</f>
        <v>96.140350877193</v>
      </c>
      <c r="R130" s="18" t="n">
        <f aca="false">IF(H130=0,0,K130/H130)</f>
        <v>0.0315789473684211</v>
      </c>
      <c r="S130" s="14" t="n">
        <f aca="false">MONTH(D130)</f>
        <v>5</v>
      </c>
    </row>
    <row r="131" customFormat="false" ht="15" hidden="false" customHeight="false" outlineLevel="0" collapsed="false">
      <c r="A131" s="21" t="s">
        <v>227</v>
      </c>
      <c r="B131" s="21" t="s">
        <v>46</v>
      </c>
      <c r="C131" s="21" t="s">
        <v>53</v>
      </c>
      <c r="D131" s="29" t="n">
        <v>46191</v>
      </c>
      <c r="E131" s="29" t="n">
        <v>46196</v>
      </c>
      <c r="F131" s="29" t="n">
        <v>46197</v>
      </c>
      <c r="G131" s="21" t="n">
        <v>200</v>
      </c>
      <c r="H131" s="21" t="n">
        <v>200</v>
      </c>
      <c r="I131" s="21" t="n">
        <v>57</v>
      </c>
      <c r="J131" s="30" t="n">
        <v>4481</v>
      </c>
      <c r="K131" s="21" t="n">
        <v>4</v>
      </c>
      <c r="L131" s="14" t="n">
        <f aca="false">MAX(0,F131-E131)</f>
        <v>1</v>
      </c>
      <c r="M131" s="14" t="n">
        <f aca="false">IF(L131&lt;=Assumptions!$B$5,1,0)</f>
        <v>0</v>
      </c>
      <c r="N131" s="14" t="n">
        <f aca="false">IF(H131&gt;=G131,1,0)</f>
        <v>1</v>
      </c>
      <c r="O131" s="14" t="n">
        <f aca="false">M131*N131</f>
        <v>0</v>
      </c>
      <c r="P131" s="15" t="n">
        <f aca="false">L131*Assumptions!$B$6</f>
        <v>1500</v>
      </c>
      <c r="Q131" s="31" t="n">
        <f aca="false">IF(I131=0,0,J131/I131)</f>
        <v>78.6140350877193</v>
      </c>
      <c r="R131" s="18" t="n">
        <f aca="false">IF(H131=0,0,K131/H131)</f>
        <v>0.02</v>
      </c>
      <c r="S131" s="14" t="n">
        <f aca="false">MONTH(D131)</f>
        <v>6</v>
      </c>
    </row>
    <row r="132" customFormat="false" ht="15" hidden="false" customHeight="false" outlineLevel="0" collapsed="false">
      <c r="A132" s="21" t="s">
        <v>228</v>
      </c>
      <c r="B132" s="21" t="s">
        <v>49</v>
      </c>
      <c r="C132" s="21" t="s">
        <v>56</v>
      </c>
      <c r="D132" s="29" t="n">
        <v>46204</v>
      </c>
      <c r="E132" s="29" t="n">
        <v>46209</v>
      </c>
      <c r="F132" s="29" t="n">
        <v>46209</v>
      </c>
      <c r="G132" s="21" t="n">
        <v>760</v>
      </c>
      <c r="H132" s="21" t="n">
        <v>760</v>
      </c>
      <c r="I132" s="21" t="n">
        <v>187</v>
      </c>
      <c r="J132" s="30" t="n">
        <v>16795</v>
      </c>
      <c r="K132" s="21" t="n">
        <v>7</v>
      </c>
      <c r="L132" s="14" t="n">
        <f aca="false">MAX(0,F132-E132)</f>
        <v>0</v>
      </c>
      <c r="M132" s="14" t="n">
        <f aca="false">IF(L132&lt;=Assumptions!$B$5,1,0)</f>
        <v>1</v>
      </c>
      <c r="N132" s="14" t="n">
        <f aca="false">IF(H132&gt;=G132,1,0)</f>
        <v>1</v>
      </c>
      <c r="O132" s="14" t="n">
        <f aca="false">M132*N132</f>
        <v>1</v>
      </c>
      <c r="P132" s="15" t="n">
        <f aca="false">L132*Assumptions!$B$6</f>
        <v>0</v>
      </c>
      <c r="Q132" s="31" t="n">
        <f aca="false">IF(I132=0,0,J132/I132)</f>
        <v>89.8128342245989</v>
      </c>
      <c r="R132" s="18" t="n">
        <f aca="false">IF(H132=0,0,K132/H132)</f>
        <v>0.00921052631578947</v>
      </c>
      <c r="S132" s="14" t="n">
        <f aca="false">MONTH(D132)</f>
        <v>7</v>
      </c>
    </row>
    <row r="133" customFormat="false" ht="15" hidden="false" customHeight="false" outlineLevel="0" collapsed="false">
      <c r="A133" s="21" t="s">
        <v>229</v>
      </c>
      <c r="B133" s="21" t="s">
        <v>45</v>
      </c>
      <c r="C133" s="21" t="s">
        <v>58</v>
      </c>
      <c r="D133" s="29" t="n">
        <v>46163</v>
      </c>
      <c r="E133" s="29" t="n">
        <v>46169</v>
      </c>
      <c r="F133" s="29" t="n">
        <v>46169</v>
      </c>
      <c r="G133" s="21" t="n">
        <v>480</v>
      </c>
      <c r="H133" s="21" t="n">
        <v>480</v>
      </c>
      <c r="I133" s="21" t="n">
        <v>241</v>
      </c>
      <c r="J133" s="30" t="n">
        <v>20768</v>
      </c>
      <c r="K133" s="21" t="n">
        <v>9</v>
      </c>
      <c r="L133" s="14" t="n">
        <f aca="false">MAX(0,F133-E133)</f>
        <v>0</v>
      </c>
      <c r="M133" s="14" t="n">
        <f aca="false">IF(L133&lt;=Assumptions!$B$5,1,0)</f>
        <v>1</v>
      </c>
      <c r="N133" s="14" t="n">
        <f aca="false">IF(H133&gt;=G133,1,0)</f>
        <v>1</v>
      </c>
      <c r="O133" s="14" t="n">
        <f aca="false">M133*N133</f>
        <v>1</v>
      </c>
      <c r="P133" s="15" t="n">
        <f aca="false">L133*Assumptions!$B$6</f>
        <v>0</v>
      </c>
      <c r="Q133" s="31" t="n">
        <f aca="false">IF(I133=0,0,J133/I133)</f>
        <v>86.1742738589212</v>
      </c>
      <c r="R133" s="18" t="n">
        <f aca="false">IF(H133=0,0,K133/H133)</f>
        <v>0.01875</v>
      </c>
      <c r="S133" s="14" t="n">
        <f aca="false">MONTH(D133)</f>
        <v>5</v>
      </c>
    </row>
    <row r="134" customFormat="false" ht="15" hidden="false" customHeight="false" outlineLevel="0" collapsed="false">
      <c r="A134" s="21" t="s">
        <v>230</v>
      </c>
      <c r="B134" s="21" t="s">
        <v>46</v>
      </c>
      <c r="C134" s="21" t="s">
        <v>57</v>
      </c>
      <c r="D134" s="29" t="n">
        <v>46143</v>
      </c>
      <c r="E134" s="29" t="n">
        <v>46148</v>
      </c>
      <c r="F134" s="29" t="n">
        <v>46148</v>
      </c>
      <c r="G134" s="21" t="n">
        <v>60</v>
      </c>
      <c r="H134" s="21" t="n">
        <v>60</v>
      </c>
      <c r="I134" s="21" t="n">
        <v>295</v>
      </c>
      <c r="J134" s="30" t="n">
        <v>27348</v>
      </c>
      <c r="K134" s="21" t="n">
        <v>0</v>
      </c>
      <c r="L134" s="14" t="n">
        <f aca="false">MAX(0,F134-E134)</f>
        <v>0</v>
      </c>
      <c r="M134" s="14" t="n">
        <f aca="false">IF(L134&lt;=Assumptions!$B$5,1,0)</f>
        <v>1</v>
      </c>
      <c r="N134" s="14" t="n">
        <f aca="false">IF(H134&gt;=G134,1,0)</f>
        <v>1</v>
      </c>
      <c r="O134" s="14" t="n">
        <f aca="false">M134*N134</f>
        <v>1</v>
      </c>
      <c r="P134" s="15" t="n">
        <f aca="false">L134*Assumptions!$B$6</f>
        <v>0</v>
      </c>
      <c r="Q134" s="31" t="n">
        <f aca="false">IF(I134=0,0,J134/I134)</f>
        <v>92.7050847457627</v>
      </c>
      <c r="R134" s="18" t="n">
        <f aca="false">IF(H134=0,0,K134/H134)</f>
        <v>0</v>
      </c>
      <c r="S134" s="14" t="n">
        <f aca="false">MONTH(D134)</f>
        <v>5</v>
      </c>
    </row>
    <row r="135" customFormat="false" ht="15" hidden="false" customHeight="false" outlineLevel="0" collapsed="false">
      <c r="A135" s="21" t="s">
        <v>231</v>
      </c>
      <c r="B135" s="21" t="s">
        <v>45</v>
      </c>
      <c r="C135" s="21" t="s">
        <v>57</v>
      </c>
      <c r="D135" s="29" t="n">
        <v>46247</v>
      </c>
      <c r="E135" s="29" t="n">
        <v>46252</v>
      </c>
      <c r="F135" s="29" t="n">
        <v>46252</v>
      </c>
      <c r="G135" s="21" t="n">
        <v>490</v>
      </c>
      <c r="H135" s="21" t="n">
        <v>490</v>
      </c>
      <c r="I135" s="21" t="n">
        <v>276</v>
      </c>
      <c r="J135" s="30" t="n">
        <v>21072</v>
      </c>
      <c r="K135" s="21" t="n">
        <v>5</v>
      </c>
      <c r="L135" s="14" t="n">
        <f aca="false">MAX(0,F135-E135)</f>
        <v>0</v>
      </c>
      <c r="M135" s="14" t="n">
        <f aca="false">IF(L135&lt;=Assumptions!$B$5,1,0)</f>
        <v>1</v>
      </c>
      <c r="N135" s="14" t="n">
        <f aca="false">IF(H135&gt;=G135,1,0)</f>
        <v>1</v>
      </c>
      <c r="O135" s="14" t="n">
        <f aca="false">M135*N135</f>
        <v>1</v>
      </c>
      <c r="P135" s="15" t="n">
        <f aca="false">L135*Assumptions!$B$6</f>
        <v>0</v>
      </c>
      <c r="Q135" s="31" t="n">
        <f aca="false">IF(I135=0,0,J135/I135)</f>
        <v>76.3478260869565</v>
      </c>
      <c r="R135" s="18" t="n">
        <f aca="false">IF(H135=0,0,K135/H135)</f>
        <v>0.0102040816326531</v>
      </c>
      <c r="S135" s="14" t="n">
        <f aca="false">MONTH(D135)</f>
        <v>8</v>
      </c>
    </row>
    <row r="136" customFormat="false" ht="15" hidden="false" customHeight="false" outlineLevel="0" collapsed="false">
      <c r="A136" s="21" t="s">
        <v>232</v>
      </c>
      <c r="B136" s="21" t="s">
        <v>46</v>
      </c>
      <c r="C136" s="21" t="s">
        <v>57</v>
      </c>
      <c r="D136" s="29" t="n">
        <v>46220</v>
      </c>
      <c r="E136" s="29" t="n">
        <v>46225</v>
      </c>
      <c r="F136" s="29" t="n">
        <v>46224</v>
      </c>
      <c r="G136" s="21" t="n">
        <v>880</v>
      </c>
      <c r="H136" s="21" t="n">
        <v>880</v>
      </c>
      <c r="I136" s="21" t="n">
        <v>314</v>
      </c>
      <c r="J136" s="30" t="n">
        <v>22251</v>
      </c>
      <c r="K136" s="21" t="n">
        <v>7</v>
      </c>
      <c r="L136" s="14" t="n">
        <f aca="false">MAX(0,F136-E136)</f>
        <v>0</v>
      </c>
      <c r="M136" s="14" t="n">
        <f aca="false">IF(L136&lt;=Assumptions!$B$5,1,0)</f>
        <v>1</v>
      </c>
      <c r="N136" s="14" t="n">
        <f aca="false">IF(H136&gt;=G136,1,0)</f>
        <v>1</v>
      </c>
      <c r="O136" s="14" t="n">
        <f aca="false">M136*N136</f>
        <v>1</v>
      </c>
      <c r="P136" s="15" t="n">
        <f aca="false">L136*Assumptions!$B$6</f>
        <v>0</v>
      </c>
      <c r="Q136" s="31" t="n">
        <f aca="false">IF(I136=0,0,J136/I136)</f>
        <v>70.8630573248408</v>
      </c>
      <c r="R136" s="18" t="n">
        <f aca="false">IF(H136=0,0,K136/H136)</f>
        <v>0.00795454545454545</v>
      </c>
      <c r="S136" s="14" t="n">
        <f aca="false">MONTH(D136)</f>
        <v>7</v>
      </c>
    </row>
    <row r="137" customFormat="false" ht="15" hidden="false" customHeight="false" outlineLevel="0" collapsed="false">
      <c r="A137" s="21" t="s">
        <v>233</v>
      </c>
      <c r="B137" s="21" t="s">
        <v>48</v>
      </c>
      <c r="C137" s="21" t="s">
        <v>56</v>
      </c>
      <c r="D137" s="29" t="n">
        <v>46271</v>
      </c>
      <c r="E137" s="29" t="n">
        <v>46275</v>
      </c>
      <c r="F137" s="29" t="n">
        <v>46275</v>
      </c>
      <c r="G137" s="21" t="n">
        <v>850</v>
      </c>
      <c r="H137" s="21" t="n">
        <v>850</v>
      </c>
      <c r="I137" s="21" t="n">
        <v>154</v>
      </c>
      <c r="J137" s="30" t="n">
        <v>18721</v>
      </c>
      <c r="K137" s="21" t="n">
        <v>17</v>
      </c>
      <c r="L137" s="14" t="n">
        <f aca="false">MAX(0,F137-E137)</f>
        <v>0</v>
      </c>
      <c r="M137" s="14" t="n">
        <f aca="false">IF(L137&lt;=Assumptions!$B$5,1,0)</f>
        <v>1</v>
      </c>
      <c r="N137" s="14" t="n">
        <f aca="false">IF(H137&gt;=G137,1,0)</f>
        <v>1</v>
      </c>
      <c r="O137" s="14" t="n">
        <f aca="false">M137*N137</f>
        <v>1</v>
      </c>
      <c r="P137" s="15" t="n">
        <f aca="false">L137*Assumptions!$B$6</f>
        <v>0</v>
      </c>
      <c r="Q137" s="31" t="n">
        <f aca="false">IF(I137=0,0,J137/I137)</f>
        <v>121.564935064935</v>
      </c>
      <c r="R137" s="18" t="n">
        <f aca="false">IF(H137=0,0,K137/H137)</f>
        <v>0.02</v>
      </c>
      <c r="S137" s="14" t="n">
        <f aca="false">MONTH(D137)</f>
        <v>9</v>
      </c>
    </row>
    <row r="138" customFormat="false" ht="15" hidden="false" customHeight="false" outlineLevel="0" collapsed="false">
      <c r="A138" s="21" t="s">
        <v>234</v>
      </c>
      <c r="B138" s="21" t="s">
        <v>46</v>
      </c>
      <c r="C138" s="21" t="s">
        <v>53</v>
      </c>
      <c r="D138" s="29" t="n">
        <v>46078</v>
      </c>
      <c r="E138" s="29" t="n">
        <v>46081</v>
      </c>
      <c r="F138" s="29" t="n">
        <v>46080</v>
      </c>
      <c r="G138" s="21" t="n">
        <v>800</v>
      </c>
      <c r="H138" s="21" t="n">
        <v>800</v>
      </c>
      <c r="I138" s="21" t="n">
        <v>52</v>
      </c>
      <c r="J138" s="30" t="n">
        <v>8245</v>
      </c>
      <c r="K138" s="21" t="n">
        <v>17</v>
      </c>
      <c r="L138" s="14" t="n">
        <f aca="false">MAX(0,F138-E138)</f>
        <v>0</v>
      </c>
      <c r="M138" s="14" t="n">
        <f aca="false">IF(L138&lt;=Assumptions!$B$5,1,0)</f>
        <v>1</v>
      </c>
      <c r="N138" s="14" t="n">
        <f aca="false">IF(H138&gt;=G138,1,0)</f>
        <v>1</v>
      </c>
      <c r="O138" s="14" t="n">
        <f aca="false">M138*N138</f>
        <v>1</v>
      </c>
      <c r="P138" s="15" t="n">
        <f aca="false">L138*Assumptions!$B$6</f>
        <v>0</v>
      </c>
      <c r="Q138" s="31" t="n">
        <f aca="false">IF(I138=0,0,J138/I138)</f>
        <v>158.557692307692</v>
      </c>
      <c r="R138" s="18" t="n">
        <f aca="false">IF(H138=0,0,K138/H138)</f>
        <v>0.02125</v>
      </c>
      <c r="S138" s="14" t="n">
        <f aca="false">MONTH(D138)</f>
        <v>2</v>
      </c>
    </row>
    <row r="139" customFormat="false" ht="15" hidden="false" customHeight="false" outlineLevel="0" collapsed="false">
      <c r="A139" s="21" t="s">
        <v>235</v>
      </c>
      <c r="B139" s="21" t="s">
        <v>46</v>
      </c>
      <c r="C139" s="21" t="s">
        <v>57</v>
      </c>
      <c r="D139" s="29" t="n">
        <v>46046</v>
      </c>
      <c r="E139" s="29" t="n">
        <v>46052</v>
      </c>
      <c r="F139" s="29" t="n">
        <v>46058</v>
      </c>
      <c r="G139" s="21" t="n">
        <v>540</v>
      </c>
      <c r="H139" s="21" t="n">
        <v>540</v>
      </c>
      <c r="I139" s="21" t="n">
        <v>287</v>
      </c>
      <c r="J139" s="30" t="n">
        <v>22585</v>
      </c>
      <c r="K139" s="21" t="n">
        <v>14</v>
      </c>
      <c r="L139" s="14" t="n">
        <f aca="false">MAX(0,F139-E139)</f>
        <v>6</v>
      </c>
      <c r="M139" s="14" t="n">
        <f aca="false">IF(L139&lt;=Assumptions!$B$5,1,0)</f>
        <v>0</v>
      </c>
      <c r="N139" s="14" t="n">
        <f aca="false">IF(H139&gt;=G139,1,0)</f>
        <v>1</v>
      </c>
      <c r="O139" s="14" t="n">
        <f aca="false">M139*N139</f>
        <v>0</v>
      </c>
      <c r="P139" s="15" t="n">
        <f aca="false">L139*Assumptions!$B$6</f>
        <v>9000</v>
      </c>
      <c r="Q139" s="31" t="n">
        <f aca="false">IF(I139=0,0,J139/I139)</f>
        <v>78.6933797909408</v>
      </c>
      <c r="R139" s="18" t="n">
        <f aca="false">IF(H139=0,0,K139/H139)</f>
        <v>0.0259259259259259</v>
      </c>
      <c r="S139" s="14" t="n">
        <f aca="false">MONTH(D139)</f>
        <v>1</v>
      </c>
    </row>
    <row r="140" customFormat="false" ht="15" hidden="false" customHeight="false" outlineLevel="0" collapsed="false">
      <c r="A140" s="21" t="s">
        <v>236</v>
      </c>
      <c r="B140" s="21" t="s">
        <v>49</v>
      </c>
      <c r="C140" s="21" t="s">
        <v>55</v>
      </c>
      <c r="D140" s="29" t="n">
        <v>46155</v>
      </c>
      <c r="E140" s="29" t="n">
        <v>46164</v>
      </c>
      <c r="F140" s="29" t="n">
        <v>46164</v>
      </c>
      <c r="G140" s="21" t="n">
        <v>520</v>
      </c>
      <c r="H140" s="21" t="n">
        <v>520</v>
      </c>
      <c r="I140" s="21" t="n">
        <v>301</v>
      </c>
      <c r="J140" s="30" t="n">
        <v>29598</v>
      </c>
      <c r="K140" s="21" t="n">
        <v>3</v>
      </c>
      <c r="L140" s="14" t="n">
        <f aca="false">MAX(0,F140-E140)</f>
        <v>0</v>
      </c>
      <c r="M140" s="14" t="n">
        <f aca="false">IF(L140&lt;=Assumptions!$B$5,1,0)</f>
        <v>1</v>
      </c>
      <c r="N140" s="14" t="n">
        <f aca="false">IF(H140&gt;=G140,1,0)</f>
        <v>1</v>
      </c>
      <c r="O140" s="14" t="n">
        <f aca="false">M140*N140</f>
        <v>1</v>
      </c>
      <c r="P140" s="15" t="n">
        <f aca="false">L140*Assumptions!$B$6</f>
        <v>0</v>
      </c>
      <c r="Q140" s="31" t="n">
        <f aca="false">IF(I140=0,0,J140/I140)</f>
        <v>98.3322259136213</v>
      </c>
      <c r="R140" s="18" t="n">
        <f aca="false">IF(H140=0,0,K140/H140)</f>
        <v>0.00576923076923077</v>
      </c>
      <c r="S140" s="14" t="n">
        <f aca="false">MONTH(D140)</f>
        <v>5</v>
      </c>
    </row>
    <row r="141" customFormat="false" ht="15" hidden="false" customHeight="false" outlineLevel="0" collapsed="false">
      <c r="A141" s="21" t="s">
        <v>237</v>
      </c>
      <c r="B141" s="21" t="s">
        <v>48</v>
      </c>
      <c r="C141" s="21" t="s">
        <v>54</v>
      </c>
      <c r="D141" s="29" t="n">
        <v>46139</v>
      </c>
      <c r="E141" s="29" t="n">
        <v>46147</v>
      </c>
      <c r="F141" s="29" t="n">
        <v>46147</v>
      </c>
      <c r="G141" s="21" t="n">
        <v>1000</v>
      </c>
      <c r="H141" s="21" t="n">
        <v>1000</v>
      </c>
      <c r="I141" s="21" t="n">
        <v>483</v>
      </c>
      <c r="J141" s="30" t="n">
        <v>36128</v>
      </c>
      <c r="K141" s="21" t="n">
        <v>30</v>
      </c>
      <c r="L141" s="14" t="n">
        <f aca="false">MAX(0,F141-E141)</f>
        <v>0</v>
      </c>
      <c r="M141" s="14" t="n">
        <f aca="false">IF(L141&lt;=Assumptions!$B$5,1,0)</f>
        <v>1</v>
      </c>
      <c r="N141" s="14" t="n">
        <f aca="false">IF(H141&gt;=G141,1,0)</f>
        <v>1</v>
      </c>
      <c r="O141" s="14" t="n">
        <f aca="false">M141*N141</f>
        <v>1</v>
      </c>
      <c r="P141" s="15" t="n">
        <f aca="false">L141*Assumptions!$B$6</f>
        <v>0</v>
      </c>
      <c r="Q141" s="31" t="n">
        <f aca="false">IF(I141=0,0,J141/I141)</f>
        <v>74.7991718426501</v>
      </c>
      <c r="R141" s="18" t="n">
        <f aca="false">IF(H141=0,0,K141/H141)</f>
        <v>0.03</v>
      </c>
      <c r="S141" s="14" t="n">
        <f aca="false">MONTH(D141)</f>
        <v>4</v>
      </c>
    </row>
    <row r="142" customFormat="false" ht="15" hidden="false" customHeight="false" outlineLevel="0" collapsed="false">
      <c r="A142" s="21" t="s">
        <v>238</v>
      </c>
      <c r="B142" s="21" t="s">
        <v>48</v>
      </c>
      <c r="C142" s="21" t="s">
        <v>55</v>
      </c>
      <c r="D142" s="29" t="n">
        <v>46143</v>
      </c>
      <c r="E142" s="29" t="n">
        <v>46148</v>
      </c>
      <c r="F142" s="29" t="n">
        <v>46147</v>
      </c>
      <c r="G142" s="21" t="n">
        <v>570</v>
      </c>
      <c r="H142" s="21" t="n">
        <v>545</v>
      </c>
      <c r="I142" s="21" t="n">
        <v>294</v>
      </c>
      <c r="J142" s="30" t="n">
        <v>34087</v>
      </c>
      <c r="K142" s="21" t="n">
        <v>11</v>
      </c>
      <c r="L142" s="14" t="n">
        <f aca="false">MAX(0,F142-E142)</f>
        <v>0</v>
      </c>
      <c r="M142" s="14" t="n">
        <f aca="false">IF(L142&lt;=Assumptions!$B$5,1,0)</f>
        <v>1</v>
      </c>
      <c r="N142" s="14" t="n">
        <f aca="false">IF(H142&gt;=G142,1,0)</f>
        <v>0</v>
      </c>
      <c r="O142" s="14" t="n">
        <f aca="false">M142*N142</f>
        <v>0</v>
      </c>
      <c r="P142" s="15" t="n">
        <f aca="false">L142*Assumptions!$B$6</f>
        <v>0</v>
      </c>
      <c r="Q142" s="31" t="n">
        <f aca="false">IF(I142=0,0,J142/I142)</f>
        <v>115.942176870748</v>
      </c>
      <c r="R142" s="18" t="n">
        <f aca="false">IF(H142=0,0,K142/H142)</f>
        <v>0.0201834862385321</v>
      </c>
      <c r="S142" s="14" t="n">
        <f aca="false">MONTH(D142)</f>
        <v>5</v>
      </c>
    </row>
    <row r="143" customFormat="false" ht="15" hidden="false" customHeight="false" outlineLevel="0" collapsed="false">
      <c r="A143" s="21" t="s">
        <v>239</v>
      </c>
      <c r="B143" s="21" t="s">
        <v>49</v>
      </c>
      <c r="C143" s="21" t="s">
        <v>53</v>
      </c>
      <c r="D143" s="29" t="n">
        <v>46095</v>
      </c>
      <c r="E143" s="29" t="n">
        <v>46105</v>
      </c>
      <c r="F143" s="29" t="n">
        <v>46104</v>
      </c>
      <c r="G143" s="21" t="n">
        <v>690</v>
      </c>
      <c r="H143" s="21" t="n">
        <v>690</v>
      </c>
      <c r="I143" s="21" t="n">
        <v>24</v>
      </c>
      <c r="J143" s="30" t="n">
        <v>4801</v>
      </c>
      <c r="K143" s="21" t="n">
        <v>2</v>
      </c>
      <c r="L143" s="14" t="n">
        <f aca="false">MAX(0,F143-E143)</f>
        <v>0</v>
      </c>
      <c r="M143" s="14" t="n">
        <f aca="false">IF(L143&lt;=Assumptions!$B$5,1,0)</f>
        <v>1</v>
      </c>
      <c r="N143" s="14" t="n">
        <f aca="false">IF(H143&gt;=G143,1,0)</f>
        <v>1</v>
      </c>
      <c r="O143" s="14" t="n">
        <f aca="false">M143*N143</f>
        <v>1</v>
      </c>
      <c r="P143" s="15" t="n">
        <f aca="false">L143*Assumptions!$B$6</f>
        <v>0</v>
      </c>
      <c r="Q143" s="31" t="n">
        <f aca="false">IF(I143=0,0,J143/I143)</f>
        <v>200.041666666667</v>
      </c>
      <c r="R143" s="18" t="n">
        <f aca="false">IF(H143=0,0,K143/H143)</f>
        <v>0.00289855072463768</v>
      </c>
      <c r="S143" s="14" t="n">
        <f aca="false">MONTH(D143)</f>
        <v>3</v>
      </c>
    </row>
    <row r="144" customFormat="false" ht="15" hidden="false" customHeight="false" outlineLevel="0" collapsed="false">
      <c r="A144" s="21" t="s">
        <v>240</v>
      </c>
      <c r="B144" s="21" t="s">
        <v>46</v>
      </c>
      <c r="C144" s="21" t="s">
        <v>53</v>
      </c>
      <c r="D144" s="29" t="n">
        <v>46212</v>
      </c>
      <c r="E144" s="29" t="n">
        <v>46221</v>
      </c>
      <c r="F144" s="29" t="n">
        <v>46220</v>
      </c>
      <c r="G144" s="21" t="n">
        <v>350</v>
      </c>
      <c r="H144" s="21" t="n">
        <v>350</v>
      </c>
      <c r="I144" s="21" t="n">
        <v>26</v>
      </c>
      <c r="J144" s="30" t="n">
        <v>4469</v>
      </c>
      <c r="K144" s="21" t="n">
        <v>7</v>
      </c>
      <c r="L144" s="14" t="n">
        <f aca="false">MAX(0,F144-E144)</f>
        <v>0</v>
      </c>
      <c r="M144" s="14" t="n">
        <f aca="false">IF(L144&lt;=Assumptions!$B$5,1,0)</f>
        <v>1</v>
      </c>
      <c r="N144" s="14" t="n">
        <f aca="false">IF(H144&gt;=G144,1,0)</f>
        <v>1</v>
      </c>
      <c r="O144" s="14" t="n">
        <f aca="false">M144*N144</f>
        <v>1</v>
      </c>
      <c r="P144" s="15" t="n">
        <f aca="false">L144*Assumptions!$B$6</f>
        <v>0</v>
      </c>
      <c r="Q144" s="31" t="n">
        <f aca="false">IF(I144=0,0,J144/I144)</f>
        <v>171.884615384615</v>
      </c>
      <c r="R144" s="18" t="n">
        <f aca="false">IF(H144=0,0,K144/H144)</f>
        <v>0.02</v>
      </c>
      <c r="S144" s="14" t="n">
        <f aca="false">MONTH(D144)</f>
        <v>7</v>
      </c>
    </row>
    <row r="145" customFormat="false" ht="15" hidden="false" customHeight="false" outlineLevel="0" collapsed="false">
      <c r="A145" s="21" t="s">
        <v>241</v>
      </c>
      <c r="B145" s="21" t="s">
        <v>49</v>
      </c>
      <c r="C145" s="21" t="s">
        <v>53</v>
      </c>
      <c r="D145" s="29" t="n">
        <v>46108</v>
      </c>
      <c r="E145" s="29" t="n">
        <v>46111</v>
      </c>
      <c r="F145" s="29" t="n">
        <v>46111</v>
      </c>
      <c r="G145" s="21" t="n">
        <v>730</v>
      </c>
      <c r="H145" s="21" t="n">
        <v>730</v>
      </c>
      <c r="I145" s="21" t="n">
        <v>25</v>
      </c>
      <c r="J145" s="30" t="n">
        <v>4701</v>
      </c>
      <c r="K145" s="21" t="n">
        <v>2</v>
      </c>
      <c r="L145" s="14" t="n">
        <f aca="false">MAX(0,F145-E145)</f>
        <v>0</v>
      </c>
      <c r="M145" s="14" t="n">
        <f aca="false">IF(L145&lt;=Assumptions!$B$5,1,0)</f>
        <v>1</v>
      </c>
      <c r="N145" s="14" t="n">
        <f aca="false">IF(H145&gt;=G145,1,0)</f>
        <v>1</v>
      </c>
      <c r="O145" s="14" t="n">
        <f aca="false">M145*N145</f>
        <v>1</v>
      </c>
      <c r="P145" s="15" t="n">
        <f aca="false">L145*Assumptions!$B$6</f>
        <v>0</v>
      </c>
      <c r="Q145" s="31" t="n">
        <f aca="false">IF(I145=0,0,J145/I145)</f>
        <v>188.04</v>
      </c>
      <c r="R145" s="18" t="n">
        <f aca="false">IF(H145=0,0,K145/H145)</f>
        <v>0.00273972602739726</v>
      </c>
      <c r="S145" s="14" t="n">
        <f aca="false">MONTH(D145)</f>
        <v>3</v>
      </c>
    </row>
    <row r="146" customFormat="false" ht="15" hidden="false" customHeight="false" outlineLevel="0" collapsed="false">
      <c r="A146" s="21" t="s">
        <v>242</v>
      </c>
      <c r="B146" s="21" t="s">
        <v>46</v>
      </c>
      <c r="C146" s="21" t="s">
        <v>57</v>
      </c>
      <c r="D146" s="29" t="n">
        <v>46272</v>
      </c>
      <c r="E146" s="29" t="n">
        <v>46279</v>
      </c>
      <c r="F146" s="29" t="n">
        <v>46278</v>
      </c>
      <c r="G146" s="21" t="n">
        <v>320</v>
      </c>
      <c r="H146" s="21" t="n">
        <v>320</v>
      </c>
      <c r="I146" s="21" t="n">
        <v>308</v>
      </c>
      <c r="J146" s="30" t="n">
        <v>20377</v>
      </c>
      <c r="K146" s="21" t="n">
        <v>2</v>
      </c>
      <c r="L146" s="14" t="n">
        <f aca="false">MAX(0,F146-E146)</f>
        <v>0</v>
      </c>
      <c r="M146" s="14" t="n">
        <f aca="false">IF(L146&lt;=Assumptions!$B$5,1,0)</f>
        <v>1</v>
      </c>
      <c r="N146" s="14" t="n">
        <f aca="false">IF(H146&gt;=G146,1,0)</f>
        <v>1</v>
      </c>
      <c r="O146" s="14" t="n">
        <f aca="false">M146*N146</f>
        <v>1</v>
      </c>
      <c r="P146" s="15" t="n">
        <f aca="false">L146*Assumptions!$B$6</f>
        <v>0</v>
      </c>
      <c r="Q146" s="31" t="n">
        <f aca="false">IF(I146=0,0,J146/I146)</f>
        <v>66.1590909090909</v>
      </c>
      <c r="R146" s="18" t="n">
        <f aca="false">IF(H146=0,0,K146/H146)</f>
        <v>0.00625</v>
      </c>
      <c r="S146" s="14" t="n">
        <f aca="false">MONTH(D146)</f>
        <v>9</v>
      </c>
    </row>
    <row r="147" customFormat="false" ht="15" hidden="false" customHeight="false" outlineLevel="0" collapsed="false">
      <c r="A147" s="21" t="s">
        <v>243</v>
      </c>
      <c r="B147" s="21" t="s">
        <v>49</v>
      </c>
      <c r="C147" s="21" t="s">
        <v>57</v>
      </c>
      <c r="D147" s="29" t="n">
        <v>46052</v>
      </c>
      <c r="E147" s="29" t="n">
        <v>46058</v>
      </c>
      <c r="F147" s="29" t="n">
        <v>46058</v>
      </c>
      <c r="G147" s="21" t="n">
        <v>960</v>
      </c>
      <c r="H147" s="21" t="n">
        <v>960</v>
      </c>
      <c r="I147" s="21" t="n">
        <v>311</v>
      </c>
      <c r="J147" s="30" t="n">
        <v>30300</v>
      </c>
      <c r="K147" s="21" t="n">
        <v>5</v>
      </c>
      <c r="L147" s="14" t="n">
        <f aca="false">MAX(0,F147-E147)</f>
        <v>0</v>
      </c>
      <c r="M147" s="14" t="n">
        <f aca="false">IF(L147&lt;=Assumptions!$B$5,1,0)</f>
        <v>1</v>
      </c>
      <c r="N147" s="14" t="n">
        <f aca="false">IF(H147&gt;=G147,1,0)</f>
        <v>1</v>
      </c>
      <c r="O147" s="14" t="n">
        <f aca="false">M147*N147</f>
        <v>1</v>
      </c>
      <c r="P147" s="15" t="n">
        <f aca="false">L147*Assumptions!$B$6</f>
        <v>0</v>
      </c>
      <c r="Q147" s="31" t="n">
        <f aca="false">IF(I147=0,0,J147/I147)</f>
        <v>97.427652733119</v>
      </c>
      <c r="R147" s="18" t="n">
        <f aca="false">IF(H147=0,0,K147/H147)</f>
        <v>0.00520833333333333</v>
      </c>
      <c r="S147" s="14" t="n">
        <f aca="false">MONTH(D147)</f>
        <v>1</v>
      </c>
    </row>
    <row r="148" customFormat="false" ht="15" hidden="false" customHeight="false" outlineLevel="0" collapsed="false">
      <c r="A148" s="21" t="s">
        <v>244</v>
      </c>
      <c r="B148" s="21" t="s">
        <v>48</v>
      </c>
      <c r="C148" s="21" t="s">
        <v>53</v>
      </c>
      <c r="D148" s="29" t="n">
        <v>46086</v>
      </c>
      <c r="E148" s="29" t="n">
        <v>46094</v>
      </c>
      <c r="F148" s="29" t="n">
        <v>46097</v>
      </c>
      <c r="G148" s="21" t="n">
        <v>900</v>
      </c>
      <c r="H148" s="21" t="n">
        <v>900</v>
      </c>
      <c r="I148" s="21" t="n">
        <v>26</v>
      </c>
      <c r="J148" s="30" t="n">
        <v>7558</v>
      </c>
      <c r="K148" s="21" t="n">
        <v>17</v>
      </c>
      <c r="L148" s="14" t="n">
        <f aca="false">MAX(0,F148-E148)</f>
        <v>3</v>
      </c>
      <c r="M148" s="14" t="n">
        <f aca="false">IF(L148&lt;=Assumptions!$B$5,1,0)</f>
        <v>0</v>
      </c>
      <c r="N148" s="14" t="n">
        <f aca="false">IF(H148&gt;=G148,1,0)</f>
        <v>1</v>
      </c>
      <c r="O148" s="14" t="n">
        <f aca="false">M148*N148</f>
        <v>0</v>
      </c>
      <c r="P148" s="15" t="n">
        <f aca="false">L148*Assumptions!$B$6</f>
        <v>4500</v>
      </c>
      <c r="Q148" s="31" t="n">
        <f aca="false">IF(I148=0,0,J148/I148)</f>
        <v>290.692307692308</v>
      </c>
      <c r="R148" s="18" t="n">
        <f aca="false">IF(H148=0,0,K148/H148)</f>
        <v>0.0188888888888889</v>
      </c>
      <c r="S148" s="14" t="n">
        <f aca="false">MONTH(D148)</f>
        <v>3</v>
      </c>
    </row>
    <row r="149" customFormat="false" ht="15" hidden="false" customHeight="false" outlineLevel="0" collapsed="false">
      <c r="A149" s="21" t="s">
        <v>245</v>
      </c>
      <c r="B149" s="21" t="s">
        <v>46</v>
      </c>
      <c r="C149" s="21" t="s">
        <v>57</v>
      </c>
      <c r="D149" s="29" t="n">
        <v>46197</v>
      </c>
      <c r="E149" s="29" t="n">
        <v>46202</v>
      </c>
      <c r="F149" s="29" t="n">
        <v>46202</v>
      </c>
      <c r="G149" s="21" t="n">
        <v>140</v>
      </c>
      <c r="H149" s="21" t="n">
        <v>140</v>
      </c>
      <c r="I149" s="21" t="n">
        <v>290</v>
      </c>
      <c r="J149" s="30" t="n">
        <v>30017</v>
      </c>
      <c r="K149" s="21" t="n">
        <v>4</v>
      </c>
      <c r="L149" s="14" t="n">
        <f aca="false">MAX(0,F149-E149)</f>
        <v>0</v>
      </c>
      <c r="M149" s="14" t="n">
        <f aca="false">IF(L149&lt;=Assumptions!$B$5,1,0)</f>
        <v>1</v>
      </c>
      <c r="N149" s="14" t="n">
        <f aca="false">IF(H149&gt;=G149,1,0)</f>
        <v>1</v>
      </c>
      <c r="O149" s="14" t="n">
        <f aca="false">M149*N149</f>
        <v>1</v>
      </c>
      <c r="P149" s="15" t="n">
        <f aca="false">L149*Assumptions!$B$6</f>
        <v>0</v>
      </c>
      <c r="Q149" s="31" t="n">
        <f aca="false">IF(I149=0,0,J149/I149)</f>
        <v>103.506896551724</v>
      </c>
      <c r="R149" s="18" t="n">
        <f aca="false">IF(H149=0,0,K149/H149)</f>
        <v>0.0285714285714286</v>
      </c>
      <c r="S149" s="14" t="n">
        <f aca="false">MONTH(D149)</f>
        <v>6</v>
      </c>
    </row>
    <row r="150" customFormat="false" ht="15" hidden="false" customHeight="false" outlineLevel="0" collapsed="false">
      <c r="A150" s="21" t="s">
        <v>246</v>
      </c>
      <c r="B150" s="21" t="s">
        <v>45</v>
      </c>
      <c r="C150" s="21" t="s">
        <v>53</v>
      </c>
      <c r="D150" s="29" t="n">
        <v>46092</v>
      </c>
      <c r="E150" s="29" t="n">
        <v>46099</v>
      </c>
      <c r="F150" s="29" t="n">
        <v>46098</v>
      </c>
      <c r="G150" s="21" t="n">
        <v>930</v>
      </c>
      <c r="H150" s="21" t="n">
        <v>930</v>
      </c>
      <c r="I150" s="21" t="n">
        <v>39</v>
      </c>
      <c r="J150" s="30" t="n">
        <v>6229</v>
      </c>
      <c r="K150" s="21" t="n">
        <v>12</v>
      </c>
      <c r="L150" s="14" t="n">
        <f aca="false">MAX(0,F150-E150)</f>
        <v>0</v>
      </c>
      <c r="M150" s="14" t="n">
        <f aca="false">IF(L150&lt;=Assumptions!$B$5,1,0)</f>
        <v>1</v>
      </c>
      <c r="N150" s="14" t="n">
        <f aca="false">IF(H150&gt;=G150,1,0)</f>
        <v>1</v>
      </c>
      <c r="O150" s="14" t="n">
        <f aca="false">M150*N150</f>
        <v>1</v>
      </c>
      <c r="P150" s="15" t="n">
        <f aca="false">L150*Assumptions!$B$6</f>
        <v>0</v>
      </c>
      <c r="Q150" s="31" t="n">
        <f aca="false">IF(I150=0,0,J150/I150)</f>
        <v>159.717948717949</v>
      </c>
      <c r="R150" s="18" t="n">
        <f aca="false">IF(H150=0,0,K150/H150)</f>
        <v>0.0129032258064516</v>
      </c>
      <c r="S150" s="14" t="n">
        <f aca="false">MONTH(D150)</f>
        <v>3</v>
      </c>
    </row>
    <row r="151" customFormat="false" ht="15" hidden="false" customHeight="false" outlineLevel="0" collapsed="false">
      <c r="A151" s="21" t="s">
        <v>247</v>
      </c>
      <c r="B151" s="21" t="s">
        <v>50</v>
      </c>
      <c r="C151" s="21" t="s">
        <v>53</v>
      </c>
      <c r="D151" s="29" t="n">
        <v>46121</v>
      </c>
      <c r="E151" s="29" t="n">
        <v>46125</v>
      </c>
      <c r="F151" s="29" t="n">
        <v>46125</v>
      </c>
      <c r="G151" s="21" t="n">
        <v>710</v>
      </c>
      <c r="H151" s="21" t="n">
        <v>710</v>
      </c>
      <c r="I151" s="21" t="n">
        <v>36</v>
      </c>
      <c r="J151" s="30" t="n">
        <v>5808</v>
      </c>
      <c r="K151" s="21" t="n">
        <v>5</v>
      </c>
      <c r="L151" s="14" t="n">
        <f aca="false">MAX(0,F151-E151)</f>
        <v>0</v>
      </c>
      <c r="M151" s="14" t="n">
        <f aca="false">IF(L151&lt;=Assumptions!$B$5,1,0)</f>
        <v>1</v>
      </c>
      <c r="N151" s="14" t="n">
        <f aca="false">IF(H151&gt;=G151,1,0)</f>
        <v>1</v>
      </c>
      <c r="O151" s="14" t="n">
        <f aca="false">M151*N151</f>
        <v>1</v>
      </c>
      <c r="P151" s="15" t="n">
        <f aca="false">L151*Assumptions!$B$6</f>
        <v>0</v>
      </c>
      <c r="Q151" s="31" t="n">
        <f aca="false">IF(I151=0,0,J151/I151)</f>
        <v>161.333333333333</v>
      </c>
      <c r="R151" s="18" t="n">
        <f aca="false">IF(H151=0,0,K151/H151)</f>
        <v>0.00704225352112676</v>
      </c>
      <c r="S151" s="14" t="n">
        <f aca="false">MONTH(D151)</f>
        <v>4</v>
      </c>
    </row>
    <row r="152" customFormat="false" ht="15" hidden="false" customHeight="false" outlineLevel="0" collapsed="false">
      <c r="A152" s="21" t="s">
        <v>248</v>
      </c>
      <c r="B152" s="21" t="s">
        <v>50</v>
      </c>
      <c r="C152" s="21" t="s">
        <v>53</v>
      </c>
      <c r="D152" s="29" t="n">
        <v>46222</v>
      </c>
      <c r="E152" s="29" t="n">
        <v>46228</v>
      </c>
      <c r="F152" s="29" t="n">
        <v>46228</v>
      </c>
      <c r="G152" s="21" t="n">
        <v>720</v>
      </c>
      <c r="H152" s="21" t="n">
        <v>720</v>
      </c>
      <c r="I152" s="21" t="n">
        <v>31</v>
      </c>
      <c r="J152" s="30" t="n">
        <v>6899</v>
      </c>
      <c r="K152" s="21" t="n">
        <v>17</v>
      </c>
      <c r="L152" s="14" t="n">
        <f aca="false">MAX(0,F152-E152)</f>
        <v>0</v>
      </c>
      <c r="M152" s="14" t="n">
        <f aca="false">IF(L152&lt;=Assumptions!$B$5,1,0)</f>
        <v>1</v>
      </c>
      <c r="N152" s="14" t="n">
        <f aca="false">IF(H152&gt;=G152,1,0)</f>
        <v>1</v>
      </c>
      <c r="O152" s="14" t="n">
        <f aca="false">M152*N152</f>
        <v>1</v>
      </c>
      <c r="P152" s="15" t="n">
        <f aca="false">L152*Assumptions!$B$6</f>
        <v>0</v>
      </c>
      <c r="Q152" s="31" t="n">
        <f aca="false">IF(I152=0,0,J152/I152)</f>
        <v>222.548387096774</v>
      </c>
      <c r="R152" s="18" t="n">
        <f aca="false">IF(H152=0,0,K152/H152)</f>
        <v>0.0236111111111111</v>
      </c>
      <c r="S152" s="14" t="n">
        <f aca="false">MONTH(D152)</f>
        <v>7</v>
      </c>
    </row>
    <row r="153" customFormat="false" ht="15" hidden="false" customHeight="false" outlineLevel="0" collapsed="false">
      <c r="A153" s="21" t="s">
        <v>249</v>
      </c>
      <c r="B153" s="21" t="s">
        <v>49</v>
      </c>
      <c r="C153" s="21" t="s">
        <v>56</v>
      </c>
      <c r="D153" s="29" t="n">
        <v>46137</v>
      </c>
      <c r="E153" s="29" t="n">
        <v>46146</v>
      </c>
      <c r="F153" s="29" t="n">
        <v>46146</v>
      </c>
      <c r="G153" s="21" t="n">
        <v>780</v>
      </c>
      <c r="H153" s="21" t="n">
        <v>780</v>
      </c>
      <c r="I153" s="21" t="n">
        <v>171</v>
      </c>
      <c r="J153" s="30" t="n">
        <v>13732</v>
      </c>
      <c r="K153" s="21" t="n">
        <v>8</v>
      </c>
      <c r="L153" s="14" t="n">
        <f aca="false">MAX(0,F153-E153)</f>
        <v>0</v>
      </c>
      <c r="M153" s="14" t="n">
        <f aca="false">IF(L153&lt;=Assumptions!$B$5,1,0)</f>
        <v>1</v>
      </c>
      <c r="N153" s="14" t="n">
        <f aca="false">IF(H153&gt;=G153,1,0)</f>
        <v>1</v>
      </c>
      <c r="O153" s="14" t="n">
        <f aca="false">M153*N153</f>
        <v>1</v>
      </c>
      <c r="P153" s="15" t="n">
        <f aca="false">L153*Assumptions!$B$6</f>
        <v>0</v>
      </c>
      <c r="Q153" s="31" t="n">
        <f aca="false">IF(I153=0,0,J153/I153)</f>
        <v>80.3040935672515</v>
      </c>
      <c r="R153" s="18" t="n">
        <f aca="false">IF(H153=0,0,K153/H153)</f>
        <v>0.0102564102564103</v>
      </c>
      <c r="S153" s="14" t="n">
        <f aca="false">MONTH(D153)</f>
        <v>4</v>
      </c>
    </row>
    <row r="154" customFormat="false" ht="15" hidden="false" customHeight="false" outlineLevel="0" collapsed="false">
      <c r="A154" s="21" t="s">
        <v>250</v>
      </c>
      <c r="B154" s="21" t="s">
        <v>49</v>
      </c>
      <c r="C154" s="21" t="s">
        <v>54</v>
      </c>
      <c r="D154" s="29" t="n">
        <v>46186</v>
      </c>
      <c r="E154" s="29" t="n">
        <v>46196</v>
      </c>
      <c r="F154" s="29" t="n">
        <v>46196</v>
      </c>
      <c r="G154" s="21" t="n">
        <v>240</v>
      </c>
      <c r="H154" s="21" t="n">
        <v>240</v>
      </c>
      <c r="I154" s="21" t="n">
        <v>445</v>
      </c>
      <c r="J154" s="30" t="n">
        <v>42095</v>
      </c>
      <c r="K154" s="21" t="n">
        <v>1</v>
      </c>
      <c r="L154" s="14" t="n">
        <f aca="false">MAX(0,F154-E154)</f>
        <v>0</v>
      </c>
      <c r="M154" s="14" t="n">
        <f aca="false">IF(L154&lt;=Assumptions!$B$5,1,0)</f>
        <v>1</v>
      </c>
      <c r="N154" s="14" t="n">
        <f aca="false">IF(H154&gt;=G154,1,0)</f>
        <v>1</v>
      </c>
      <c r="O154" s="14" t="n">
        <f aca="false">M154*N154</f>
        <v>1</v>
      </c>
      <c r="P154" s="15" t="n">
        <f aca="false">L154*Assumptions!$B$6</f>
        <v>0</v>
      </c>
      <c r="Q154" s="31" t="n">
        <f aca="false">IF(I154=0,0,J154/I154)</f>
        <v>94.5955056179775</v>
      </c>
      <c r="R154" s="18" t="n">
        <f aca="false">IF(H154=0,0,K154/H154)</f>
        <v>0.00416666666666667</v>
      </c>
      <c r="S154" s="14" t="n">
        <f aca="false">MONTH(D154)</f>
        <v>6</v>
      </c>
    </row>
    <row r="155" customFormat="false" ht="15" hidden="false" customHeight="false" outlineLevel="0" collapsed="false">
      <c r="A155" s="21" t="s">
        <v>251</v>
      </c>
      <c r="B155" s="21" t="s">
        <v>46</v>
      </c>
      <c r="C155" s="21" t="s">
        <v>56</v>
      </c>
      <c r="D155" s="29" t="n">
        <v>46115</v>
      </c>
      <c r="E155" s="29" t="n">
        <v>46122</v>
      </c>
      <c r="F155" s="29" t="n">
        <v>46121</v>
      </c>
      <c r="G155" s="21" t="n">
        <v>560</v>
      </c>
      <c r="H155" s="21" t="n">
        <v>560</v>
      </c>
      <c r="I155" s="21" t="n">
        <v>178</v>
      </c>
      <c r="J155" s="30" t="n">
        <v>19832</v>
      </c>
      <c r="K155" s="21" t="n">
        <v>0</v>
      </c>
      <c r="L155" s="14" t="n">
        <f aca="false">MAX(0,F155-E155)</f>
        <v>0</v>
      </c>
      <c r="M155" s="14" t="n">
        <f aca="false">IF(L155&lt;=Assumptions!$B$5,1,0)</f>
        <v>1</v>
      </c>
      <c r="N155" s="14" t="n">
        <f aca="false">IF(H155&gt;=G155,1,0)</f>
        <v>1</v>
      </c>
      <c r="O155" s="14" t="n">
        <f aca="false">M155*N155</f>
        <v>1</v>
      </c>
      <c r="P155" s="15" t="n">
        <f aca="false">L155*Assumptions!$B$6</f>
        <v>0</v>
      </c>
      <c r="Q155" s="31" t="n">
        <f aca="false">IF(I155=0,0,J155/I155)</f>
        <v>111.415730337079</v>
      </c>
      <c r="R155" s="18" t="n">
        <f aca="false">IF(H155=0,0,K155/H155)</f>
        <v>0</v>
      </c>
      <c r="S155" s="14" t="n">
        <f aca="false">MONTH(D155)</f>
        <v>4</v>
      </c>
    </row>
    <row r="156" customFormat="false" ht="15" hidden="false" customHeight="false" outlineLevel="0" collapsed="false">
      <c r="A156" s="21" t="s">
        <v>252</v>
      </c>
      <c r="B156" s="21" t="s">
        <v>50</v>
      </c>
      <c r="C156" s="21" t="s">
        <v>56</v>
      </c>
      <c r="D156" s="29" t="n">
        <v>46050</v>
      </c>
      <c r="E156" s="29" t="n">
        <v>46060</v>
      </c>
      <c r="F156" s="29" t="n">
        <v>46060</v>
      </c>
      <c r="G156" s="21" t="n">
        <v>500</v>
      </c>
      <c r="H156" s="21" t="n">
        <v>459</v>
      </c>
      <c r="I156" s="21" t="n">
        <v>157</v>
      </c>
      <c r="J156" s="30" t="n">
        <v>15893</v>
      </c>
      <c r="K156" s="21" t="n">
        <v>11</v>
      </c>
      <c r="L156" s="14" t="n">
        <f aca="false">MAX(0,F156-E156)</f>
        <v>0</v>
      </c>
      <c r="M156" s="14" t="n">
        <f aca="false">IF(L156&lt;=Assumptions!$B$5,1,0)</f>
        <v>1</v>
      </c>
      <c r="N156" s="14" t="n">
        <f aca="false">IF(H156&gt;=G156,1,0)</f>
        <v>0</v>
      </c>
      <c r="O156" s="14" t="n">
        <f aca="false">M156*N156</f>
        <v>0</v>
      </c>
      <c r="P156" s="15" t="n">
        <f aca="false">L156*Assumptions!$B$6</f>
        <v>0</v>
      </c>
      <c r="Q156" s="31" t="n">
        <f aca="false">IF(I156=0,0,J156/I156)</f>
        <v>101.229299363057</v>
      </c>
      <c r="R156" s="18" t="n">
        <f aca="false">IF(H156=0,0,K156/H156)</f>
        <v>0.0239651416122004</v>
      </c>
      <c r="S156" s="14" t="n">
        <f aca="false">MONTH(D156)</f>
        <v>1</v>
      </c>
    </row>
    <row r="157" customFormat="false" ht="15" hidden="false" customHeight="false" outlineLevel="0" collapsed="false">
      <c r="A157" s="21" t="s">
        <v>253</v>
      </c>
      <c r="B157" s="21" t="s">
        <v>48</v>
      </c>
      <c r="C157" s="21" t="s">
        <v>55</v>
      </c>
      <c r="D157" s="29" t="n">
        <v>46211</v>
      </c>
      <c r="E157" s="29" t="n">
        <v>46216</v>
      </c>
      <c r="F157" s="29" t="n">
        <v>46216</v>
      </c>
      <c r="G157" s="21" t="n">
        <v>870</v>
      </c>
      <c r="H157" s="21" t="n">
        <v>870</v>
      </c>
      <c r="I157" s="21" t="n">
        <v>316</v>
      </c>
      <c r="J157" s="30" t="n">
        <v>27139</v>
      </c>
      <c r="K157" s="21" t="n">
        <v>17</v>
      </c>
      <c r="L157" s="14" t="n">
        <f aca="false">MAX(0,F157-E157)</f>
        <v>0</v>
      </c>
      <c r="M157" s="14" t="n">
        <f aca="false">IF(L157&lt;=Assumptions!$B$5,1,0)</f>
        <v>1</v>
      </c>
      <c r="N157" s="14" t="n">
        <f aca="false">IF(H157&gt;=G157,1,0)</f>
        <v>1</v>
      </c>
      <c r="O157" s="14" t="n">
        <f aca="false">M157*N157</f>
        <v>1</v>
      </c>
      <c r="P157" s="15" t="n">
        <f aca="false">L157*Assumptions!$B$6</f>
        <v>0</v>
      </c>
      <c r="Q157" s="31" t="n">
        <f aca="false">IF(I157=0,0,J157/I157)</f>
        <v>85.8829113924051</v>
      </c>
      <c r="R157" s="18" t="n">
        <f aca="false">IF(H157=0,0,K157/H157)</f>
        <v>0.0195402298850575</v>
      </c>
      <c r="S157" s="14" t="n">
        <f aca="false">MONTH(D157)</f>
        <v>7</v>
      </c>
    </row>
    <row r="158" customFormat="false" ht="15" hidden="false" customHeight="false" outlineLevel="0" collapsed="false">
      <c r="A158" s="21" t="s">
        <v>254</v>
      </c>
      <c r="B158" s="21" t="s">
        <v>47</v>
      </c>
      <c r="C158" s="21" t="s">
        <v>53</v>
      </c>
      <c r="D158" s="29" t="n">
        <v>46154</v>
      </c>
      <c r="E158" s="29" t="n">
        <v>46162</v>
      </c>
      <c r="F158" s="29" t="n">
        <v>46162</v>
      </c>
      <c r="G158" s="21" t="n">
        <v>780</v>
      </c>
      <c r="H158" s="21" t="n">
        <v>738</v>
      </c>
      <c r="I158" s="21" t="n">
        <v>42</v>
      </c>
      <c r="J158" s="30" t="n">
        <v>7797</v>
      </c>
      <c r="K158" s="21" t="n">
        <v>36</v>
      </c>
      <c r="L158" s="14" t="n">
        <f aca="false">MAX(0,F158-E158)</f>
        <v>0</v>
      </c>
      <c r="M158" s="14" t="n">
        <f aca="false">IF(L158&lt;=Assumptions!$B$5,1,0)</f>
        <v>1</v>
      </c>
      <c r="N158" s="14" t="n">
        <f aca="false">IF(H158&gt;=G158,1,0)</f>
        <v>0</v>
      </c>
      <c r="O158" s="14" t="n">
        <f aca="false">M158*N158</f>
        <v>0</v>
      </c>
      <c r="P158" s="15" t="n">
        <f aca="false">L158*Assumptions!$B$6</f>
        <v>0</v>
      </c>
      <c r="Q158" s="31" t="n">
        <f aca="false">IF(I158=0,0,J158/I158)</f>
        <v>185.642857142857</v>
      </c>
      <c r="R158" s="18" t="n">
        <f aca="false">IF(H158=0,0,K158/H158)</f>
        <v>0.0487804878048781</v>
      </c>
      <c r="S158" s="14" t="n">
        <f aca="false">MONTH(D158)</f>
        <v>5</v>
      </c>
    </row>
    <row r="159" customFormat="false" ht="15" hidden="false" customHeight="false" outlineLevel="0" collapsed="false">
      <c r="A159" s="21" t="s">
        <v>255</v>
      </c>
      <c r="B159" s="21" t="s">
        <v>47</v>
      </c>
      <c r="C159" s="21" t="s">
        <v>53</v>
      </c>
      <c r="D159" s="29" t="n">
        <v>46269</v>
      </c>
      <c r="E159" s="29" t="n">
        <v>46277</v>
      </c>
      <c r="F159" s="29" t="n">
        <v>46276</v>
      </c>
      <c r="G159" s="21" t="n">
        <v>390</v>
      </c>
      <c r="H159" s="21" t="n">
        <v>390</v>
      </c>
      <c r="I159" s="21" t="n">
        <v>25</v>
      </c>
      <c r="J159" s="30" t="n">
        <v>3533</v>
      </c>
      <c r="K159" s="21" t="n">
        <v>14</v>
      </c>
      <c r="L159" s="14" t="n">
        <f aca="false">MAX(0,F159-E159)</f>
        <v>0</v>
      </c>
      <c r="M159" s="14" t="n">
        <f aca="false">IF(L159&lt;=Assumptions!$B$5,1,0)</f>
        <v>1</v>
      </c>
      <c r="N159" s="14" t="n">
        <f aca="false">IF(H159&gt;=G159,1,0)</f>
        <v>1</v>
      </c>
      <c r="O159" s="14" t="n">
        <f aca="false">M159*N159</f>
        <v>1</v>
      </c>
      <c r="P159" s="15" t="n">
        <f aca="false">L159*Assumptions!$B$6</f>
        <v>0</v>
      </c>
      <c r="Q159" s="31" t="n">
        <f aca="false">IF(I159=0,0,J159/I159)</f>
        <v>141.32</v>
      </c>
      <c r="R159" s="18" t="n">
        <f aca="false">IF(H159=0,0,K159/H159)</f>
        <v>0.0358974358974359</v>
      </c>
      <c r="S159" s="14" t="n">
        <f aca="false">MONTH(D159)</f>
        <v>9</v>
      </c>
    </row>
    <row r="160" customFormat="false" ht="15" hidden="false" customHeight="false" outlineLevel="0" collapsed="false">
      <c r="A160" s="21" t="s">
        <v>256</v>
      </c>
      <c r="B160" s="21" t="s">
        <v>47</v>
      </c>
      <c r="C160" s="21" t="s">
        <v>57</v>
      </c>
      <c r="D160" s="29" t="n">
        <v>46035</v>
      </c>
      <c r="E160" s="29" t="n">
        <v>46045</v>
      </c>
      <c r="F160" s="29" t="n">
        <v>46048</v>
      </c>
      <c r="G160" s="21" t="n">
        <v>860</v>
      </c>
      <c r="H160" s="21" t="n">
        <v>860</v>
      </c>
      <c r="I160" s="21" t="n">
        <v>258</v>
      </c>
      <c r="J160" s="30" t="n">
        <v>31023</v>
      </c>
      <c r="K160" s="21" t="n">
        <v>51</v>
      </c>
      <c r="L160" s="14" t="n">
        <f aca="false">MAX(0,F160-E160)</f>
        <v>3</v>
      </c>
      <c r="M160" s="14" t="n">
        <f aca="false">IF(L160&lt;=Assumptions!$B$5,1,0)</f>
        <v>0</v>
      </c>
      <c r="N160" s="14" t="n">
        <f aca="false">IF(H160&gt;=G160,1,0)</f>
        <v>1</v>
      </c>
      <c r="O160" s="14" t="n">
        <f aca="false">M160*N160</f>
        <v>0</v>
      </c>
      <c r="P160" s="15" t="n">
        <f aca="false">L160*Assumptions!$B$6</f>
        <v>4500</v>
      </c>
      <c r="Q160" s="31" t="n">
        <f aca="false">IF(I160=0,0,J160/I160)</f>
        <v>120.244186046512</v>
      </c>
      <c r="R160" s="18" t="n">
        <f aca="false">IF(H160=0,0,K160/H160)</f>
        <v>0.0593023255813954</v>
      </c>
      <c r="S160" s="14" t="n">
        <f aca="false">MONTH(D160)</f>
        <v>1</v>
      </c>
    </row>
    <row r="161" customFormat="false" ht="15" hidden="false" customHeight="false" outlineLevel="0" collapsed="false">
      <c r="A161" s="21" t="s">
        <v>257</v>
      </c>
      <c r="B161" s="21" t="s">
        <v>46</v>
      </c>
      <c r="C161" s="21" t="s">
        <v>57</v>
      </c>
      <c r="D161" s="29" t="n">
        <v>46159</v>
      </c>
      <c r="E161" s="29" t="n">
        <v>46166</v>
      </c>
      <c r="F161" s="29" t="n">
        <v>46166</v>
      </c>
      <c r="G161" s="21" t="n">
        <v>310</v>
      </c>
      <c r="H161" s="21" t="n">
        <v>310</v>
      </c>
      <c r="I161" s="21" t="n">
        <v>269</v>
      </c>
      <c r="J161" s="30" t="n">
        <v>26131</v>
      </c>
      <c r="K161" s="21" t="n">
        <v>11</v>
      </c>
      <c r="L161" s="14" t="n">
        <f aca="false">MAX(0,F161-E161)</f>
        <v>0</v>
      </c>
      <c r="M161" s="14" t="n">
        <f aca="false">IF(L161&lt;=Assumptions!$B$5,1,0)</f>
        <v>1</v>
      </c>
      <c r="N161" s="14" t="n">
        <f aca="false">IF(H161&gt;=G161,1,0)</f>
        <v>1</v>
      </c>
      <c r="O161" s="14" t="n">
        <f aca="false">M161*N161</f>
        <v>1</v>
      </c>
      <c r="P161" s="15" t="n">
        <f aca="false">L161*Assumptions!$B$6</f>
        <v>0</v>
      </c>
      <c r="Q161" s="31" t="n">
        <f aca="false">IF(I161=0,0,J161/I161)</f>
        <v>97.1412639405205</v>
      </c>
      <c r="R161" s="18" t="n">
        <f aca="false">IF(H161=0,0,K161/H161)</f>
        <v>0.0354838709677419</v>
      </c>
      <c r="S161" s="14" t="n">
        <f aca="false">MONTH(D161)</f>
        <v>5</v>
      </c>
    </row>
    <row r="162" customFormat="false" ht="15" hidden="false" customHeight="false" outlineLevel="0" collapsed="false">
      <c r="A162" s="21" t="s">
        <v>258</v>
      </c>
      <c r="B162" s="21" t="s">
        <v>50</v>
      </c>
      <c r="C162" s="21" t="s">
        <v>56</v>
      </c>
      <c r="D162" s="29" t="n">
        <v>46030</v>
      </c>
      <c r="E162" s="29" t="n">
        <v>46038</v>
      </c>
      <c r="F162" s="29" t="n">
        <v>46038</v>
      </c>
      <c r="G162" s="21" t="n">
        <v>590</v>
      </c>
      <c r="H162" s="21" t="n">
        <v>590</v>
      </c>
      <c r="I162" s="21" t="n">
        <v>200</v>
      </c>
      <c r="J162" s="30" t="n">
        <v>16737</v>
      </c>
      <c r="K162" s="21" t="n">
        <v>15</v>
      </c>
      <c r="L162" s="14" t="n">
        <f aca="false">MAX(0,F162-E162)</f>
        <v>0</v>
      </c>
      <c r="M162" s="14" t="n">
        <f aca="false">IF(L162&lt;=Assumptions!$B$5,1,0)</f>
        <v>1</v>
      </c>
      <c r="N162" s="14" t="n">
        <f aca="false">IF(H162&gt;=G162,1,0)</f>
        <v>1</v>
      </c>
      <c r="O162" s="14" t="n">
        <f aca="false">M162*N162</f>
        <v>1</v>
      </c>
      <c r="P162" s="15" t="n">
        <f aca="false">L162*Assumptions!$B$6</f>
        <v>0</v>
      </c>
      <c r="Q162" s="31" t="n">
        <f aca="false">IF(I162=0,0,J162/I162)</f>
        <v>83.685</v>
      </c>
      <c r="R162" s="18" t="n">
        <f aca="false">IF(H162=0,0,K162/H162)</f>
        <v>0.0254237288135593</v>
      </c>
      <c r="S162" s="14" t="n">
        <f aca="false">MONTH(D162)</f>
        <v>1</v>
      </c>
    </row>
    <row r="163" customFormat="false" ht="15" hidden="false" customHeight="false" outlineLevel="0" collapsed="false">
      <c r="A163" s="21" t="s">
        <v>259</v>
      </c>
      <c r="B163" s="21" t="s">
        <v>48</v>
      </c>
      <c r="C163" s="21" t="s">
        <v>53</v>
      </c>
      <c r="D163" s="29" t="n">
        <v>46198</v>
      </c>
      <c r="E163" s="29" t="n">
        <v>46201</v>
      </c>
      <c r="F163" s="29" t="n">
        <v>46207</v>
      </c>
      <c r="G163" s="21" t="n">
        <v>630</v>
      </c>
      <c r="H163" s="21" t="n">
        <v>589</v>
      </c>
      <c r="I163" s="21" t="n">
        <v>34</v>
      </c>
      <c r="J163" s="30" t="n">
        <v>5661</v>
      </c>
      <c r="K163" s="21" t="n">
        <v>23</v>
      </c>
      <c r="L163" s="14" t="n">
        <f aca="false">MAX(0,F163-E163)</f>
        <v>6</v>
      </c>
      <c r="M163" s="14" t="n">
        <f aca="false">IF(L163&lt;=Assumptions!$B$5,1,0)</f>
        <v>0</v>
      </c>
      <c r="N163" s="14" t="n">
        <f aca="false">IF(H163&gt;=G163,1,0)</f>
        <v>0</v>
      </c>
      <c r="O163" s="14" t="n">
        <f aca="false">M163*N163</f>
        <v>0</v>
      </c>
      <c r="P163" s="15" t="n">
        <f aca="false">L163*Assumptions!$B$6</f>
        <v>9000</v>
      </c>
      <c r="Q163" s="31" t="n">
        <f aca="false">IF(I163=0,0,J163/I163)</f>
        <v>166.5</v>
      </c>
      <c r="R163" s="18" t="n">
        <f aca="false">IF(H163=0,0,K163/H163)</f>
        <v>0.0390492359932088</v>
      </c>
      <c r="S163" s="14" t="n">
        <f aca="false">MONTH(D163)</f>
        <v>6</v>
      </c>
    </row>
    <row r="164" customFormat="false" ht="15" hidden="false" customHeight="false" outlineLevel="0" collapsed="false">
      <c r="A164" s="21" t="s">
        <v>260</v>
      </c>
      <c r="B164" s="21" t="s">
        <v>46</v>
      </c>
      <c r="C164" s="21" t="s">
        <v>54</v>
      </c>
      <c r="D164" s="29" t="n">
        <v>46087</v>
      </c>
      <c r="E164" s="29" t="n">
        <v>46095</v>
      </c>
      <c r="F164" s="29" t="n">
        <v>46095</v>
      </c>
      <c r="G164" s="21" t="n">
        <v>940</v>
      </c>
      <c r="H164" s="21" t="n">
        <v>940</v>
      </c>
      <c r="I164" s="21" t="n">
        <v>512</v>
      </c>
      <c r="J164" s="30" t="n">
        <v>51391</v>
      </c>
      <c r="K164" s="21" t="n">
        <v>17</v>
      </c>
      <c r="L164" s="14" t="n">
        <f aca="false">MAX(0,F164-E164)</f>
        <v>0</v>
      </c>
      <c r="M164" s="14" t="n">
        <f aca="false">IF(L164&lt;=Assumptions!$B$5,1,0)</f>
        <v>1</v>
      </c>
      <c r="N164" s="14" t="n">
        <f aca="false">IF(H164&gt;=G164,1,0)</f>
        <v>1</v>
      </c>
      <c r="O164" s="14" t="n">
        <f aca="false">M164*N164</f>
        <v>1</v>
      </c>
      <c r="P164" s="15" t="n">
        <f aca="false">L164*Assumptions!$B$6</f>
        <v>0</v>
      </c>
      <c r="Q164" s="31" t="n">
        <f aca="false">IF(I164=0,0,J164/I164)</f>
        <v>100.373046875</v>
      </c>
      <c r="R164" s="18" t="n">
        <f aca="false">IF(H164=0,0,K164/H164)</f>
        <v>0.0180851063829787</v>
      </c>
      <c r="S164" s="14" t="n">
        <f aca="false">MONTH(D164)</f>
        <v>3</v>
      </c>
    </row>
    <row r="165" customFormat="false" ht="15" hidden="false" customHeight="false" outlineLevel="0" collapsed="false">
      <c r="A165" s="21" t="s">
        <v>261</v>
      </c>
      <c r="B165" s="21" t="s">
        <v>47</v>
      </c>
      <c r="C165" s="21" t="s">
        <v>56</v>
      </c>
      <c r="D165" s="29" t="n">
        <v>46120</v>
      </c>
      <c r="E165" s="29" t="n">
        <v>46127</v>
      </c>
      <c r="F165" s="29" t="n">
        <v>46127</v>
      </c>
      <c r="G165" s="21" t="n">
        <v>670</v>
      </c>
      <c r="H165" s="21" t="n">
        <v>670</v>
      </c>
      <c r="I165" s="21" t="n">
        <v>159</v>
      </c>
      <c r="J165" s="30" t="n">
        <v>15100</v>
      </c>
      <c r="K165" s="21" t="n">
        <v>48</v>
      </c>
      <c r="L165" s="14" t="n">
        <f aca="false">MAX(0,F165-E165)</f>
        <v>0</v>
      </c>
      <c r="M165" s="14" t="n">
        <f aca="false">IF(L165&lt;=Assumptions!$B$5,1,0)</f>
        <v>1</v>
      </c>
      <c r="N165" s="14" t="n">
        <f aca="false">IF(H165&gt;=G165,1,0)</f>
        <v>1</v>
      </c>
      <c r="O165" s="14" t="n">
        <f aca="false">M165*N165</f>
        <v>1</v>
      </c>
      <c r="P165" s="15" t="n">
        <f aca="false">L165*Assumptions!$B$6</f>
        <v>0</v>
      </c>
      <c r="Q165" s="31" t="n">
        <f aca="false">IF(I165=0,0,J165/I165)</f>
        <v>94.9685534591195</v>
      </c>
      <c r="R165" s="18" t="n">
        <f aca="false">IF(H165=0,0,K165/H165)</f>
        <v>0.0716417910447761</v>
      </c>
      <c r="S165" s="14" t="n">
        <f aca="false">MONTH(D165)</f>
        <v>4</v>
      </c>
    </row>
    <row r="166" customFormat="false" ht="15" hidden="false" customHeight="false" outlineLevel="0" collapsed="false">
      <c r="A166" s="21" t="s">
        <v>262</v>
      </c>
      <c r="B166" s="21" t="s">
        <v>49</v>
      </c>
      <c r="C166" s="21" t="s">
        <v>53</v>
      </c>
      <c r="D166" s="29" t="n">
        <v>46232</v>
      </c>
      <c r="E166" s="29" t="n">
        <v>46239</v>
      </c>
      <c r="F166" s="29" t="n">
        <v>46239</v>
      </c>
      <c r="G166" s="21" t="n">
        <v>280</v>
      </c>
      <c r="H166" s="21" t="n">
        <v>280</v>
      </c>
      <c r="I166" s="21" t="n">
        <v>59</v>
      </c>
      <c r="J166" s="30" t="n">
        <v>5391</v>
      </c>
      <c r="K166" s="21" t="n">
        <v>1</v>
      </c>
      <c r="L166" s="14" t="n">
        <f aca="false">MAX(0,F166-E166)</f>
        <v>0</v>
      </c>
      <c r="M166" s="14" t="n">
        <f aca="false">IF(L166&lt;=Assumptions!$B$5,1,0)</f>
        <v>1</v>
      </c>
      <c r="N166" s="14" t="n">
        <f aca="false">IF(H166&gt;=G166,1,0)</f>
        <v>1</v>
      </c>
      <c r="O166" s="14" t="n">
        <f aca="false">M166*N166</f>
        <v>1</v>
      </c>
      <c r="P166" s="15" t="n">
        <f aca="false">L166*Assumptions!$B$6</f>
        <v>0</v>
      </c>
      <c r="Q166" s="31" t="n">
        <f aca="false">IF(I166=0,0,J166/I166)</f>
        <v>91.3728813559322</v>
      </c>
      <c r="R166" s="18" t="n">
        <f aca="false">IF(H166=0,0,K166/H166)</f>
        <v>0.00357142857142857</v>
      </c>
      <c r="S166" s="14" t="n">
        <f aca="false">MONTH(D166)</f>
        <v>7</v>
      </c>
    </row>
    <row r="167" customFormat="false" ht="15" hidden="false" customHeight="false" outlineLevel="0" collapsed="false">
      <c r="A167" s="21" t="s">
        <v>263</v>
      </c>
      <c r="B167" s="21" t="s">
        <v>46</v>
      </c>
      <c r="C167" s="21" t="s">
        <v>57</v>
      </c>
      <c r="D167" s="29" t="n">
        <v>46093</v>
      </c>
      <c r="E167" s="29" t="n">
        <v>46103</v>
      </c>
      <c r="F167" s="29" t="n">
        <v>46103</v>
      </c>
      <c r="G167" s="21" t="n">
        <v>500</v>
      </c>
      <c r="H167" s="21" t="n">
        <v>500</v>
      </c>
      <c r="I167" s="21" t="n">
        <v>298</v>
      </c>
      <c r="J167" s="30" t="n">
        <v>29400</v>
      </c>
      <c r="K167" s="21" t="n">
        <v>9</v>
      </c>
      <c r="L167" s="14" t="n">
        <f aca="false">MAX(0,F167-E167)</f>
        <v>0</v>
      </c>
      <c r="M167" s="14" t="n">
        <f aca="false">IF(L167&lt;=Assumptions!$B$5,1,0)</f>
        <v>1</v>
      </c>
      <c r="N167" s="14" t="n">
        <f aca="false">IF(H167&gt;=G167,1,0)</f>
        <v>1</v>
      </c>
      <c r="O167" s="14" t="n">
        <f aca="false">M167*N167</f>
        <v>1</v>
      </c>
      <c r="P167" s="15" t="n">
        <f aca="false">L167*Assumptions!$B$6</f>
        <v>0</v>
      </c>
      <c r="Q167" s="31" t="n">
        <f aca="false">IF(I167=0,0,J167/I167)</f>
        <v>98.6577181208054</v>
      </c>
      <c r="R167" s="18" t="n">
        <f aca="false">IF(H167=0,0,K167/H167)</f>
        <v>0.018</v>
      </c>
      <c r="S167" s="14" t="n">
        <f aca="false">MONTH(D167)</f>
        <v>3</v>
      </c>
    </row>
    <row r="168" customFormat="false" ht="15" hidden="false" customHeight="false" outlineLevel="0" collapsed="false">
      <c r="A168" s="21" t="s">
        <v>264</v>
      </c>
      <c r="B168" s="21" t="s">
        <v>45</v>
      </c>
      <c r="C168" s="21" t="s">
        <v>53</v>
      </c>
      <c r="D168" s="29" t="n">
        <v>46170</v>
      </c>
      <c r="E168" s="29" t="n">
        <v>46179</v>
      </c>
      <c r="F168" s="29" t="n">
        <v>46178</v>
      </c>
      <c r="G168" s="21" t="n">
        <v>120</v>
      </c>
      <c r="H168" s="21" t="n">
        <v>120</v>
      </c>
      <c r="I168" s="21" t="n">
        <v>57</v>
      </c>
      <c r="J168" s="30" t="n">
        <v>5498</v>
      </c>
      <c r="K168" s="21" t="n">
        <v>0</v>
      </c>
      <c r="L168" s="14" t="n">
        <f aca="false">MAX(0,F168-E168)</f>
        <v>0</v>
      </c>
      <c r="M168" s="14" t="n">
        <f aca="false">IF(L168&lt;=Assumptions!$B$5,1,0)</f>
        <v>1</v>
      </c>
      <c r="N168" s="14" t="n">
        <f aca="false">IF(H168&gt;=G168,1,0)</f>
        <v>1</v>
      </c>
      <c r="O168" s="14" t="n">
        <f aca="false">M168*N168</f>
        <v>1</v>
      </c>
      <c r="P168" s="15" t="n">
        <f aca="false">L168*Assumptions!$B$6</f>
        <v>0</v>
      </c>
      <c r="Q168" s="31" t="n">
        <f aca="false">IF(I168=0,0,J168/I168)</f>
        <v>96.4561403508772</v>
      </c>
      <c r="R168" s="18" t="n">
        <f aca="false">IF(H168=0,0,K168/H168)</f>
        <v>0</v>
      </c>
      <c r="S168" s="14" t="n">
        <f aca="false">MONTH(D168)</f>
        <v>5</v>
      </c>
    </row>
    <row r="169" customFormat="false" ht="15" hidden="false" customHeight="false" outlineLevel="0" collapsed="false">
      <c r="A169" s="21" t="s">
        <v>265</v>
      </c>
      <c r="B169" s="21" t="s">
        <v>49</v>
      </c>
      <c r="C169" s="21" t="s">
        <v>57</v>
      </c>
      <c r="D169" s="29" t="n">
        <v>46239</v>
      </c>
      <c r="E169" s="29" t="n">
        <v>46246</v>
      </c>
      <c r="F169" s="29" t="n">
        <v>46245</v>
      </c>
      <c r="G169" s="21" t="n">
        <v>390</v>
      </c>
      <c r="H169" s="21" t="n">
        <v>390</v>
      </c>
      <c r="I169" s="21" t="n">
        <v>252</v>
      </c>
      <c r="J169" s="30" t="n">
        <v>26620</v>
      </c>
      <c r="K169" s="21" t="n">
        <v>5</v>
      </c>
      <c r="L169" s="14" t="n">
        <f aca="false">MAX(0,F169-E169)</f>
        <v>0</v>
      </c>
      <c r="M169" s="14" t="n">
        <f aca="false">IF(L169&lt;=Assumptions!$B$5,1,0)</f>
        <v>1</v>
      </c>
      <c r="N169" s="14" t="n">
        <f aca="false">IF(H169&gt;=G169,1,0)</f>
        <v>1</v>
      </c>
      <c r="O169" s="14" t="n">
        <f aca="false">M169*N169</f>
        <v>1</v>
      </c>
      <c r="P169" s="15" t="n">
        <f aca="false">L169*Assumptions!$B$6</f>
        <v>0</v>
      </c>
      <c r="Q169" s="31" t="n">
        <f aca="false">IF(I169=0,0,J169/I169)</f>
        <v>105.634920634921</v>
      </c>
      <c r="R169" s="18" t="n">
        <f aca="false">IF(H169=0,0,K169/H169)</f>
        <v>0.0128205128205128</v>
      </c>
      <c r="S169" s="14" t="n">
        <f aca="false">MONTH(D169)</f>
        <v>8</v>
      </c>
    </row>
    <row r="170" customFormat="false" ht="15" hidden="false" customHeight="false" outlineLevel="0" collapsed="false">
      <c r="A170" s="21" t="s">
        <v>266</v>
      </c>
      <c r="B170" s="21" t="s">
        <v>46</v>
      </c>
      <c r="C170" s="21" t="s">
        <v>57</v>
      </c>
      <c r="D170" s="29" t="n">
        <v>46123</v>
      </c>
      <c r="E170" s="29" t="n">
        <v>46131</v>
      </c>
      <c r="F170" s="29" t="n">
        <v>46131</v>
      </c>
      <c r="G170" s="21" t="n">
        <v>570</v>
      </c>
      <c r="H170" s="21" t="n">
        <v>570</v>
      </c>
      <c r="I170" s="21" t="n">
        <v>272</v>
      </c>
      <c r="J170" s="30" t="n">
        <v>25000</v>
      </c>
      <c r="K170" s="21" t="n">
        <v>22</v>
      </c>
      <c r="L170" s="14" t="n">
        <f aca="false">MAX(0,F170-E170)</f>
        <v>0</v>
      </c>
      <c r="M170" s="14" t="n">
        <f aca="false">IF(L170&lt;=Assumptions!$B$5,1,0)</f>
        <v>1</v>
      </c>
      <c r="N170" s="14" t="n">
        <f aca="false">IF(H170&gt;=G170,1,0)</f>
        <v>1</v>
      </c>
      <c r="O170" s="14" t="n">
        <f aca="false">M170*N170</f>
        <v>1</v>
      </c>
      <c r="P170" s="15" t="n">
        <f aca="false">L170*Assumptions!$B$6</f>
        <v>0</v>
      </c>
      <c r="Q170" s="31" t="n">
        <f aca="false">IF(I170=0,0,J170/I170)</f>
        <v>91.9117647058824</v>
      </c>
      <c r="R170" s="18" t="n">
        <f aca="false">IF(H170=0,0,K170/H170)</f>
        <v>0.0385964912280702</v>
      </c>
      <c r="S170" s="14" t="n">
        <f aca="false">MONTH(D170)</f>
        <v>4</v>
      </c>
    </row>
    <row r="171" customFormat="false" ht="15" hidden="false" customHeight="false" outlineLevel="0" collapsed="false">
      <c r="A171" s="21" t="s">
        <v>267</v>
      </c>
      <c r="B171" s="21" t="s">
        <v>48</v>
      </c>
      <c r="C171" s="21" t="s">
        <v>53</v>
      </c>
      <c r="D171" s="29" t="n">
        <v>46163</v>
      </c>
      <c r="E171" s="29" t="n">
        <v>46173</v>
      </c>
      <c r="F171" s="29" t="n">
        <v>46173</v>
      </c>
      <c r="G171" s="21" t="n">
        <v>60</v>
      </c>
      <c r="H171" s="21" t="n">
        <v>60</v>
      </c>
      <c r="I171" s="21" t="n">
        <v>46</v>
      </c>
      <c r="J171" s="30" t="n">
        <v>4048</v>
      </c>
      <c r="K171" s="21" t="n">
        <v>1</v>
      </c>
      <c r="L171" s="14" t="n">
        <f aca="false">MAX(0,F171-E171)</f>
        <v>0</v>
      </c>
      <c r="M171" s="14" t="n">
        <f aca="false">IF(L171&lt;=Assumptions!$B$5,1,0)</f>
        <v>1</v>
      </c>
      <c r="N171" s="14" t="n">
        <f aca="false">IF(H171&gt;=G171,1,0)</f>
        <v>1</v>
      </c>
      <c r="O171" s="14" t="n">
        <f aca="false">M171*N171</f>
        <v>1</v>
      </c>
      <c r="P171" s="15" t="n">
        <f aca="false">L171*Assumptions!$B$6</f>
        <v>0</v>
      </c>
      <c r="Q171" s="31" t="n">
        <f aca="false">IF(I171=0,0,J171/I171)</f>
        <v>88</v>
      </c>
      <c r="R171" s="18" t="n">
        <f aca="false">IF(H171=0,0,K171/H171)</f>
        <v>0.0166666666666667</v>
      </c>
      <c r="S171" s="14" t="n">
        <f aca="false">MONTH(D171)</f>
        <v>5</v>
      </c>
    </row>
    <row r="172" customFormat="false" ht="15" hidden="false" customHeight="false" outlineLevel="0" collapsed="false">
      <c r="A172" s="21" t="s">
        <v>268</v>
      </c>
      <c r="B172" s="21" t="s">
        <v>47</v>
      </c>
      <c r="C172" s="21" t="s">
        <v>54</v>
      </c>
      <c r="D172" s="29" t="n">
        <v>46157</v>
      </c>
      <c r="E172" s="29" t="n">
        <v>46161</v>
      </c>
      <c r="F172" s="29" t="n">
        <v>46161</v>
      </c>
      <c r="G172" s="21" t="n">
        <v>430</v>
      </c>
      <c r="H172" s="21" t="n">
        <v>364</v>
      </c>
      <c r="I172" s="21" t="n">
        <v>519</v>
      </c>
      <c r="J172" s="30" t="n">
        <v>45152</v>
      </c>
      <c r="K172" s="21" t="n">
        <v>8</v>
      </c>
      <c r="L172" s="14" t="n">
        <f aca="false">MAX(0,F172-E172)</f>
        <v>0</v>
      </c>
      <c r="M172" s="14" t="n">
        <f aca="false">IF(L172&lt;=Assumptions!$B$5,1,0)</f>
        <v>1</v>
      </c>
      <c r="N172" s="14" t="n">
        <f aca="false">IF(H172&gt;=G172,1,0)</f>
        <v>0</v>
      </c>
      <c r="O172" s="14" t="n">
        <f aca="false">M172*N172</f>
        <v>0</v>
      </c>
      <c r="P172" s="15" t="n">
        <f aca="false">L172*Assumptions!$B$6</f>
        <v>0</v>
      </c>
      <c r="Q172" s="31" t="n">
        <f aca="false">IF(I172=0,0,J172/I172)</f>
        <v>86.9980732177264</v>
      </c>
      <c r="R172" s="18" t="n">
        <f aca="false">IF(H172=0,0,K172/H172)</f>
        <v>0.021978021978022</v>
      </c>
      <c r="S172" s="14" t="n">
        <f aca="false">MONTH(D172)</f>
        <v>5</v>
      </c>
    </row>
    <row r="173" customFormat="false" ht="15" hidden="false" customHeight="false" outlineLevel="0" collapsed="false">
      <c r="A173" s="21" t="s">
        <v>269</v>
      </c>
      <c r="B173" s="21" t="s">
        <v>50</v>
      </c>
      <c r="C173" s="21" t="s">
        <v>56</v>
      </c>
      <c r="D173" s="29" t="n">
        <v>46244</v>
      </c>
      <c r="E173" s="29" t="n">
        <v>46251</v>
      </c>
      <c r="F173" s="29" t="n">
        <v>46251</v>
      </c>
      <c r="G173" s="21" t="n">
        <v>450</v>
      </c>
      <c r="H173" s="21" t="n">
        <v>450</v>
      </c>
      <c r="I173" s="21" t="n">
        <v>155</v>
      </c>
      <c r="J173" s="30" t="n">
        <v>11901</v>
      </c>
      <c r="K173" s="21" t="n">
        <v>1</v>
      </c>
      <c r="L173" s="14" t="n">
        <f aca="false">MAX(0,F173-E173)</f>
        <v>0</v>
      </c>
      <c r="M173" s="14" t="n">
        <f aca="false">IF(L173&lt;=Assumptions!$B$5,1,0)</f>
        <v>1</v>
      </c>
      <c r="N173" s="14" t="n">
        <f aca="false">IF(H173&gt;=G173,1,0)</f>
        <v>1</v>
      </c>
      <c r="O173" s="14" t="n">
        <f aca="false">M173*N173</f>
        <v>1</v>
      </c>
      <c r="P173" s="15" t="n">
        <f aca="false">L173*Assumptions!$B$6</f>
        <v>0</v>
      </c>
      <c r="Q173" s="31" t="n">
        <f aca="false">IF(I173=0,0,J173/I173)</f>
        <v>76.7806451612903</v>
      </c>
      <c r="R173" s="18" t="n">
        <f aca="false">IF(H173=0,0,K173/H173)</f>
        <v>0.00222222222222222</v>
      </c>
      <c r="S173" s="14" t="n">
        <f aca="false">MONTH(D173)</f>
        <v>8</v>
      </c>
    </row>
    <row r="174" customFormat="false" ht="15" hidden="false" customHeight="false" outlineLevel="0" collapsed="false">
      <c r="A174" s="21" t="s">
        <v>270</v>
      </c>
      <c r="B174" s="21" t="s">
        <v>50</v>
      </c>
      <c r="C174" s="21" t="s">
        <v>57</v>
      </c>
      <c r="D174" s="29" t="n">
        <v>46203</v>
      </c>
      <c r="E174" s="29" t="n">
        <v>46210</v>
      </c>
      <c r="F174" s="29" t="n">
        <v>46212</v>
      </c>
      <c r="G174" s="21" t="n">
        <v>920</v>
      </c>
      <c r="H174" s="21" t="n">
        <v>755</v>
      </c>
      <c r="I174" s="21" t="n">
        <v>295</v>
      </c>
      <c r="J174" s="30" t="n">
        <v>34206</v>
      </c>
      <c r="K174" s="21" t="n">
        <v>16</v>
      </c>
      <c r="L174" s="14" t="n">
        <f aca="false">MAX(0,F174-E174)</f>
        <v>2</v>
      </c>
      <c r="M174" s="14" t="n">
        <f aca="false">IF(L174&lt;=Assumptions!$B$5,1,0)</f>
        <v>0</v>
      </c>
      <c r="N174" s="14" t="n">
        <f aca="false">IF(H174&gt;=G174,1,0)</f>
        <v>0</v>
      </c>
      <c r="O174" s="14" t="n">
        <f aca="false">M174*N174</f>
        <v>0</v>
      </c>
      <c r="P174" s="15" t="n">
        <f aca="false">L174*Assumptions!$B$6</f>
        <v>3000</v>
      </c>
      <c r="Q174" s="31" t="n">
        <f aca="false">IF(I174=0,0,J174/I174)</f>
        <v>115.952542372881</v>
      </c>
      <c r="R174" s="18" t="n">
        <f aca="false">IF(H174=0,0,K174/H174)</f>
        <v>0.0211920529801325</v>
      </c>
      <c r="S174" s="14" t="n">
        <f aca="false">MONTH(D174)</f>
        <v>6</v>
      </c>
    </row>
    <row r="175" customFormat="false" ht="15" hidden="false" customHeight="false" outlineLevel="0" collapsed="false">
      <c r="A175" s="21" t="s">
        <v>271</v>
      </c>
      <c r="B175" s="21" t="s">
        <v>46</v>
      </c>
      <c r="C175" s="21" t="s">
        <v>53</v>
      </c>
      <c r="D175" s="29" t="n">
        <v>46130</v>
      </c>
      <c r="E175" s="29" t="n">
        <v>46137</v>
      </c>
      <c r="F175" s="29" t="n">
        <v>46137</v>
      </c>
      <c r="G175" s="21" t="n">
        <v>650</v>
      </c>
      <c r="H175" s="21" t="n">
        <v>650</v>
      </c>
      <c r="I175" s="21" t="n">
        <v>41</v>
      </c>
      <c r="J175" s="30" t="n">
        <v>6388</v>
      </c>
      <c r="K175" s="21" t="n">
        <v>11</v>
      </c>
      <c r="L175" s="14" t="n">
        <f aca="false">MAX(0,F175-E175)</f>
        <v>0</v>
      </c>
      <c r="M175" s="14" t="n">
        <f aca="false">IF(L175&lt;=Assumptions!$B$5,1,0)</f>
        <v>1</v>
      </c>
      <c r="N175" s="14" t="n">
        <f aca="false">IF(H175&gt;=G175,1,0)</f>
        <v>1</v>
      </c>
      <c r="O175" s="14" t="n">
        <f aca="false">M175*N175</f>
        <v>1</v>
      </c>
      <c r="P175" s="15" t="n">
        <f aca="false">L175*Assumptions!$B$6</f>
        <v>0</v>
      </c>
      <c r="Q175" s="31" t="n">
        <f aca="false">IF(I175=0,0,J175/I175)</f>
        <v>155.804878048781</v>
      </c>
      <c r="R175" s="18" t="n">
        <f aca="false">IF(H175=0,0,K175/H175)</f>
        <v>0.0169230769230769</v>
      </c>
      <c r="S175" s="14" t="n">
        <f aca="false">MONTH(D175)</f>
        <v>4</v>
      </c>
    </row>
    <row r="176" customFormat="false" ht="15" hidden="false" customHeight="false" outlineLevel="0" collapsed="false">
      <c r="A176" s="21" t="s">
        <v>272</v>
      </c>
      <c r="B176" s="21" t="s">
        <v>49</v>
      </c>
      <c r="C176" s="21" t="s">
        <v>54</v>
      </c>
      <c r="D176" s="29" t="n">
        <v>46185</v>
      </c>
      <c r="E176" s="29" t="n">
        <v>46192</v>
      </c>
      <c r="F176" s="29" t="n">
        <v>46192</v>
      </c>
      <c r="G176" s="21" t="n">
        <v>90</v>
      </c>
      <c r="H176" s="21" t="n">
        <v>90</v>
      </c>
      <c r="I176" s="21" t="n">
        <v>410</v>
      </c>
      <c r="J176" s="30" t="n">
        <v>36549</v>
      </c>
      <c r="K176" s="21" t="n">
        <v>0</v>
      </c>
      <c r="L176" s="14" t="n">
        <f aca="false">MAX(0,F176-E176)</f>
        <v>0</v>
      </c>
      <c r="M176" s="14" t="n">
        <f aca="false">IF(L176&lt;=Assumptions!$B$5,1,0)</f>
        <v>1</v>
      </c>
      <c r="N176" s="14" t="n">
        <f aca="false">IF(H176&gt;=G176,1,0)</f>
        <v>1</v>
      </c>
      <c r="O176" s="14" t="n">
        <f aca="false">M176*N176</f>
        <v>1</v>
      </c>
      <c r="P176" s="15" t="n">
        <f aca="false">L176*Assumptions!$B$6</f>
        <v>0</v>
      </c>
      <c r="Q176" s="31" t="n">
        <f aca="false">IF(I176=0,0,J176/I176)</f>
        <v>89.1439024390244</v>
      </c>
      <c r="R176" s="18" t="n">
        <f aca="false">IF(H176=0,0,K176/H176)</f>
        <v>0</v>
      </c>
      <c r="S176" s="14" t="n">
        <f aca="false">MONTH(D176)</f>
        <v>6</v>
      </c>
    </row>
    <row r="177" customFormat="false" ht="15" hidden="false" customHeight="false" outlineLevel="0" collapsed="false">
      <c r="A177" s="21" t="s">
        <v>273</v>
      </c>
      <c r="B177" s="21" t="s">
        <v>48</v>
      </c>
      <c r="C177" s="21" t="s">
        <v>53</v>
      </c>
      <c r="D177" s="29" t="n">
        <v>46123</v>
      </c>
      <c r="E177" s="29" t="n">
        <v>46130</v>
      </c>
      <c r="F177" s="29" t="n">
        <v>46129</v>
      </c>
      <c r="G177" s="21" t="n">
        <v>190</v>
      </c>
      <c r="H177" s="21" t="n">
        <v>190</v>
      </c>
      <c r="I177" s="21" t="n">
        <v>57</v>
      </c>
      <c r="J177" s="30" t="n">
        <v>4934</v>
      </c>
      <c r="K177" s="21" t="n">
        <v>5</v>
      </c>
      <c r="L177" s="14" t="n">
        <f aca="false">MAX(0,F177-E177)</f>
        <v>0</v>
      </c>
      <c r="M177" s="14" t="n">
        <f aca="false">IF(L177&lt;=Assumptions!$B$5,1,0)</f>
        <v>1</v>
      </c>
      <c r="N177" s="14" t="n">
        <f aca="false">IF(H177&gt;=G177,1,0)</f>
        <v>1</v>
      </c>
      <c r="O177" s="14" t="n">
        <f aca="false">M177*N177</f>
        <v>1</v>
      </c>
      <c r="P177" s="15" t="n">
        <f aca="false">L177*Assumptions!$B$6</f>
        <v>0</v>
      </c>
      <c r="Q177" s="31" t="n">
        <f aca="false">IF(I177=0,0,J177/I177)</f>
        <v>86.5614035087719</v>
      </c>
      <c r="R177" s="18" t="n">
        <f aca="false">IF(H177=0,0,K177/H177)</f>
        <v>0.0263157894736842</v>
      </c>
      <c r="S177" s="14" t="n">
        <f aca="false">MONTH(D177)</f>
        <v>4</v>
      </c>
    </row>
    <row r="178" customFormat="false" ht="15" hidden="false" customHeight="false" outlineLevel="0" collapsed="false">
      <c r="A178" s="21" t="s">
        <v>274</v>
      </c>
      <c r="B178" s="21" t="s">
        <v>46</v>
      </c>
      <c r="C178" s="21" t="s">
        <v>54</v>
      </c>
      <c r="D178" s="29" t="n">
        <v>46236</v>
      </c>
      <c r="E178" s="29" t="n">
        <v>46246</v>
      </c>
      <c r="F178" s="29" t="n">
        <v>46246</v>
      </c>
      <c r="G178" s="21" t="n">
        <v>970</v>
      </c>
      <c r="H178" s="21" t="n">
        <v>970</v>
      </c>
      <c r="I178" s="21" t="n">
        <v>408</v>
      </c>
      <c r="J178" s="30" t="n">
        <v>37516</v>
      </c>
      <c r="K178" s="21" t="n">
        <v>10</v>
      </c>
      <c r="L178" s="14" t="n">
        <f aca="false">MAX(0,F178-E178)</f>
        <v>0</v>
      </c>
      <c r="M178" s="14" t="n">
        <f aca="false">IF(L178&lt;=Assumptions!$B$5,1,0)</f>
        <v>1</v>
      </c>
      <c r="N178" s="14" t="n">
        <f aca="false">IF(H178&gt;=G178,1,0)</f>
        <v>1</v>
      </c>
      <c r="O178" s="14" t="n">
        <f aca="false">M178*N178</f>
        <v>1</v>
      </c>
      <c r="P178" s="15" t="n">
        <f aca="false">L178*Assumptions!$B$6</f>
        <v>0</v>
      </c>
      <c r="Q178" s="31" t="n">
        <f aca="false">IF(I178=0,0,J178/I178)</f>
        <v>91.9509803921569</v>
      </c>
      <c r="R178" s="18" t="n">
        <f aca="false">IF(H178=0,0,K178/H178)</f>
        <v>0.0103092783505155</v>
      </c>
      <c r="S178" s="14" t="n">
        <f aca="false">MONTH(D178)</f>
        <v>8</v>
      </c>
    </row>
    <row r="179" customFormat="false" ht="15" hidden="false" customHeight="false" outlineLevel="0" collapsed="false">
      <c r="A179" s="21" t="s">
        <v>275</v>
      </c>
      <c r="B179" s="21" t="s">
        <v>50</v>
      </c>
      <c r="C179" s="21" t="s">
        <v>55</v>
      </c>
      <c r="D179" s="29" t="n">
        <v>46144</v>
      </c>
      <c r="E179" s="29" t="n">
        <v>46151</v>
      </c>
      <c r="F179" s="29" t="n">
        <v>46150</v>
      </c>
      <c r="G179" s="21" t="n">
        <v>530</v>
      </c>
      <c r="H179" s="21" t="n">
        <v>530</v>
      </c>
      <c r="I179" s="21" t="n">
        <v>283</v>
      </c>
      <c r="J179" s="30" t="n">
        <v>31143</v>
      </c>
      <c r="K179" s="21" t="n">
        <v>15</v>
      </c>
      <c r="L179" s="14" t="n">
        <f aca="false">MAX(0,F179-E179)</f>
        <v>0</v>
      </c>
      <c r="M179" s="14" t="n">
        <f aca="false">IF(L179&lt;=Assumptions!$B$5,1,0)</f>
        <v>1</v>
      </c>
      <c r="N179" s="14" t="n">
        <f aca="false">IF(H179&gt;=G179,1,0)</f>
        <v>1</v>
      </c>
      <c r="O179" s="14" t="n">
        <f aca="false">M179*N179</f>
        <v>1</v>
      </c>
      <c r="P179" s="15" t="n">
        <f aca="false">L179*Assumptions!$B$6</f>
        <v>0</v>
      </c>
      <c r="Q179" s="31" t="n">
        <f aca="false">IF(I179=0,0,J179/I179)</f>
        <v>110.04593639576</v>
      </c>
      <c r="R179" s="18" t="n">
        <f aca="false">IF(H179=0,0,K179/H179)</f>
        <v>0.0283018867924528</v>
      </c>
      <c r="S179" s="14" t="n">
        <f aca="false">MONTH(D179)</f>
        <v>5</v>
      </c>
    </row>
    <row r="180" customFormat="false" ht="15" hidden="false" customHeight="false" outlineLevel="0" collapsed="false">
      <c r="A180" s="21" t="s">
        <v>276</v>
      </c>
      <c r="B180" s="21" t="s">
        <v>48</v>
      </c>
      <c r="C180" s="21" t="s">
        <v>55</v>
      </c>
      <c r="D180" s="29" t="n">
        <v>46207</v>
      </c>
      <c r="E180" s="29" t="n">
        <v>46214</v>
      </c>
      <c r="F180" s="29" t="n">
        <v>46214</v>
      </c>
      <c r="G180" s="21" t="n">
        <v>990</v>
      </c>
      <c r="H180" s="21" t="n">
        <v>990</v>
      </c>
      <c r="I180" s="21" t="n">
        <v>290</v>
      </c>
      <c r="J180" s="30" t="n">
        <v>27400</v>
      </c>
      <c r="K180" s="21" t="n">
        <v>6</v>
      </c>
      <c r="L180" s="14" t="n">
        <f aca="false">MAX(0,F180-E180)</f>
        <v>0</v>
      </c>
      <c r="M180" s="14" t="n">
        <f aca="false">IF(L180&lt;=Assumptions!$B$5,1,0)</f>
        <v>1</v>
      </c>
      <c r="N180" s="14" t="n">
        <f aca="false">IF(H180&gt;=G180,1,0)</f>
        <v>1</v>
      </c>
      <c r="O180" s="14" t="n">
        <f aca="false">M180*N180</f>
        <v>1</v>
      </c>
      <c r="P180" s="15" t="n">
        <f aca="false">L180*Assumptions!$B$6</f>
        <v>0</v>
      </c>
      <c r="Q180" s="31" t="n">
        <f aca="false">IF(I180=0,0,J180/I180)</f>
        <v>94.4827586206897</v>
      </c>
      <c r="R180" s="18" t="n">
        <f aca="false">IF(H180=0,0,K180/H180)</f>
        <v>0.00606060606060606</v>
      </c>
      <c r="S180" s="14" t="n">
        <f aca="false">MONTH(D180)</f>
        <v>7</v>
      </c>
    </row>
    <row r="181" customFormat="false" ht="15" hidden="false" customHeight="false" outlineLevel="0" collapsed="false">
      <c r="A181" s="21" t="s">
        <v>277</v>
      </c>
      <c r="B181" s="21" t="s">
        <v>47</v>
      </c>
      <c r="C181" s="21" t="s">
        <v>53</v>
      </c>
      <c r="D181" s="29" t="n">
        <v>46049</v>
      </c>
      <c r="E181" s="29" t="n">
        <v>46055</v>
      </c>
      <c r="F181" s="29" t="n">
        <v>46055</v>
      </c>
      <c r="G181" s="21" t="n">
        <v>640</v>
      </c>
      <c r="H181" s="21" t="n">
        <v>640</v>
      </c>
      <c r="I181" s="21" t="n">
        <v>30</v>
      </c>
      <c r="J181" s="30" t="n">
        <v>3487</v>
      </c>
      <c r="K181" s="21" t="n">
        <v>33</v>
      </c>
      <c r="L181" s="14" t="n">
        <f aca="false">MAX(0,F181-E181)</f>
        <v>0</v>
      </c>
      <c r="M181" s="14" t="n">
        <f aca="false">IF(L181&lt;=Assumptions!$B$5,1,0)</f>
        <v>1</v>
      </c>
      <c r="N181" s="14" t="n">
        <f aca="false">IF(H181&gt;=G181,1,0)</f>
        <v>1</v>
      </c>
      <c r="O181" s="14" t="n">
        <f aca="false">M181*N181</f>
        <v>1</v>
      </c>
      <c r="P181" s="15" t="n">
        <f aca="false">L181*Assumptions!$B$6</f>
        <v>0</v>
      </c>
      <c r="Q181" s="31" t="n">
        <f aca="false">IF(I181=0,0,J181/I181)</f>
        <v>116.233333333333</v>
      </c>
      <c r="R181" s="18" t="n">
        <f aca="false">IF(H181=0,0,K181/H181)</f>
        <v>0.0515625</v>
      </c>
      <c r="S181" s="14" t="n">
        <f aca="false">MONTH(D181)</f>
        <v>1</v>
      </c>
    </row>
    <row r="182" customFormat="false" ht="15" hidden="false" customHeight="false" outlineLevel="0" collapsed="false">
      <c r="A182" s="21" t="s">
        <v>278</v>
      </c>
      <c r="B182" s="21" t="s">
        <v>48</v>
      </c>
      <c r="C182" s="21" t="s">
        <v>53</v>
      </c>
      <c r="D182" s="29" t="n">
        <v>46091</v>
      </c>
      <c r="E182" s="29" t="n">
        <v>46097</v>
      </c>
      <c r="F182" s="29" t="n">
        <v>46102</v>
      </c>
      <c r="G182" s="21" t="n">
        <v>760</v>
      </c>
      <c r="H182" s="21" t="n">
        <v>760</v>
      </c>
      <c r="I182" s="21" t="n">
        <v>46</v>
      </c>
      <c r="J182" s="30" t="n">
        <v>6518</v>
      </c>
      <c r="K182" s="21" t="n">
        <v>2</v>
      </c>
      <c r="L182" s="14" t="n">
        <f aca="false">MAX(0,F182-E182)</f>
        <v>5</v>
      </c>
      <c r="M182" s="14" t="n">
        <f aca="false">IF(L182&lt;=Assumptions!$B$5,1,0)</f>
        <v>0</v>
      </c>
      <c r="N182" s="14" t="n">
        <f aca="false">IF(H182&gt;=G182,1,0)</f>
        <v>1</v>
      </c>
      <c r="O182" s="14" t="n">
        <f aca="false">M182*N182</f>
        <v>0</v>
      </c>
      <c r="P182" s="15" t="n">
        <f aca="false">L182*Assumptions!$B$6</f>
        <v>7500</v>
      </c>
      <c r="Q182" s="31" t="n">
        <f aca="false">IF(I182=0,0,J182/I182)</f>
        <v>141.695652173913</v>
      </c>
      <c r="R182" s="18" t="n">
        <f aca="false">IF(H182=0,0,K182/H182)</f>
        <v>0.00263157894736842</v>
      </c>
      <c r="S182" s="14" t="n">
        <f aca="false">MONTH(D182)</f>
        <v>3</v>
      </c>
    </row>
    <row r="183" customFormat="false" ht="15" hidden="false" customHeight="false" outlineLevel="0" collapsed="false">
      <c r="A183" s="21" t="s">
        <v>279</v>
      </c>
      <c r="B183" s="21" t="s">
        <v>45</v>
      </c>
      <c r="C183" s="21" t="s">
        <v>55</v>
      </c>
      <c r="D183" s="29" t="n">
        <v>46127</v>
      </c>
      <c r="E183" s="29" t="n">
        <v>46136</v>
      </c>
      <c r="F183" s="29" t="n">
        <v>46136</v>
      </c>
      <c r="G183" s="21" t="n">
        <v>730</v>
      </c>
      <c r="H183" s="21" t="n">
        <v>730</v>
      </c>
      <c r="I183" s="21" t="n">
        <v>358</v>
      </c>
      <c r="J183" s="30" t="n">
        <v>32936</v>
      </c>
      <c r="K183" s="21" t="n">
        <v>9</v>
      </c>
      <c r="L183" s="14" t="n">
        <f aca="false">MAX(0,F183-E183)</f>
        <v>0</v>
      </c>
      <c r="M183" s="14" t="n">
        <f aca="false">IF(L183&lt;=Assumptions!$B$5,1,0)</f>
        <v>1</v>
      </c>
      <c r="N183" s="14" t="n">
        <f aca="false">IF(H183&gt;=G183,1,0)</f>
        <v>1</v>
      </c>
      <c r="O183" s="14" t="n">
        <f aca="false">M183*N183</f>
        <v>1</v>
      </c>
      <c r="P183" s="15" t="n">
        <f aca="false">L183*Assumptions!$B$6</f>
        <v>0</v>
      </c>
      <c r="Q183" s="31" t="n">
        <f aca="false">IF(I183=0,0,J183/I183)</f>
        <v>92</v>
      </c>
      <c r="R183" s="18" t="n">
        <f aca="false">IF(H183=0,0,K183/H183)</f>
        <v>0.0123287671232877</v>
      </c>
      <c r="S183" s="14" t="n">
        <f aca="false">MONTH(D183)</f>
        <v>4</v>
      </c>
    </row>
    <row r="184" customFormat="false" ht="15" hidden="false" customHeight="false" outlineLevel="0" collapsed="false">
      <c r="A184" s="21" t="s">
        <v>280</v>
      </c>
      <c r="B184" s="21" t="s">
        <v>47</v>
      </c>
      <c r="C184" s="21" t="s">
        <v>57</v>
      </c>
      <c r="D184" s="29" t="n">
        <v>46235</v>
      </c>
      <c r="E184" s="29" t="n">
        <v>46240</v>
      </c>
      <c r="F184" s="29" t="n">
        <v>46240</v>
      </c>
      <c r="G184" s="21" t="n">
        <v>280</v>
      </c>
      <c r="H184" s="21" t="n">
        <v>280</v>
      </c>
      <c r="I184" s="21" t="n">
        <v>323</v>
      </c>
      <c r="J184" s="30" t="n">
        <v>29629</v>
      </c>
      <c r="K184" s="21" t="n">
        <v>2</v>
      </c>
      <c r="L184" s="14" t="n">
        <f aca="false">MAX(0,F184-E184)</f>
        <v>0</v>
      </c>
      <c r="M184" s="14" t="n">
        <f aca="false">IF(L184&lt;=Assumptions!$B$5,1,0)</f>
        <v>1</v>
      </c>
      <c r="N184" s="14" t="n">
        <f aca="false">IF(H184&gt;=G184,1,0)</f>
        <v>1</v>
      </c>
      <c r="O184" s="14" t="n">
        <f aca="false">M184*N184</f>
        <v>1</v>
      </c>
      <c r="P184" s="15" t="n">
        <f aca="false">L184*Assumptions!$B$6</f>
        <v>0</v>
      </c>
      <c r="Q184" s="31" t="n">
        <f aca="false">IF(I184=0,0,J184/I184)</f>
        <v>91.7306501547988</v>
      </c>
      <c r="R184" s="18" t="n">
        <f aca="false">IF(H184=0,0,K184/H184)</f>
        <v>0.00714285714285714</v>
      </c>
      <c r="S184" s="14" t="n">
        <f aca="false">MONTH(D184)</f>
        <v>8</v>
      </c>
    </row>
    <row r="185" customFormat="false" ht="15" hidden="false" customHeight="false" outlineLevel="0" collapsed="false">
      <c r="A185" s="21" t="s">
        <v>281</v>
      </c>
      <c r="B185" s="21" t="s">
        <v>46</v>
      </c>
      <c r="C185" s="21" t="s">
        <v>58</v>
      </c>
      <c r="D185" s="29" t="n">
        <v>46058</v>
      </c>
      <c r="E185" s="29" t="n">
        <v>46061</v>
      </c>
      <c r="F185" s="29" t="n">
        <v>46062</v>
      </c>
      <c r="G185" s="21" t="n">
        <v>80</v>
      </c>
      <c r="H185" s="21" t="n">
        <v>80</v>
      </c>
      <c r="I185" s="21" t="n">
        <v>253</v>
      </c>
      <c r="J185" s="30" t="n">
        <v>18247</v>
      </c>
      <c r="K185" s="21" t="n">
        <v>2</v>
      </c>
      <c r="L185" s="14" t="n">
        <f aca="false">MAX(0,F185-E185)</f>
        <v>1</v>
      </c>
      <c r="M185" s="14" t="n">
        <f aca="false">IF(L185&lt;=Assumptions!$B$5,1,0)</f>
        <v>0</v>
      </c>
      <c r="N185" s="14" t="n">
        <f aca="false">IF(H185&gt;=G185,1,0)</f>
        <v>1</v>
      </c>
      <c r="O185" s="14" t="n">
        <f aca="false">M185*N185</f>
        <v>0</v>
      </c>
      <c r="P185" s="15" t="n">
        <f aca="false">L185*Assumptions!$B$6</f>
        <v>1500</v>
      </c>
      <c r="Q185" s="31" t="n">
        <f aca="false">IF(I185=0,0,J185/I185)</f>
        <v>72.1225296442688</v>
      </c>
      <c r="R185" s="18" t="n">
        <f aca="false">IF(H185=0,0,K185/H185)</f>
        <v>0.025</v>
      </c>
      <c r="S185" s="14" t="n">
        <f aca="false">MONTH(D185)</f>
        <v>2</v>
      </c>
    </row>
    <row r="186" customFormat="false" ht="15" hidden="false" customHeight="false" outlineLevel="0" collapsed="false">
      <c r="A186" s="21" t="s">
        <v>282</v>
      </c>
      <c r="B186" s="21" t="s">
        <v>45</v>
      </c>
      <c r="C186" s="21" t="s">
        <v>57</v>
      </c>
      <c r="D186" s="29" t="n">
        <v>46043</v>
      </c>
      <c r="E186" s="29" t="n">
        <v>46046</v>
      </c>
      <c r="F186" s="29" t="n">
        <v>46046</v>
      </c>
      <c r="G186" s="21" t="n">
        <v>960</v>
      </c>
      <c r="H186" s="21" t="n">
        <v>960</v>
      </c>
      <c r="I186" s="21" t="n">
        <v>314</v>
      </c>
      <c r="J186" s="30" t="n">
        <v>24419</v>
      </c>
      <c r="K186" s="21" t="n">
        <v>5</v>
      </c>
      <c r="L186" s="14" t="n">
        <f aca="false">MAX(0,F186-E186)</f>
        <v>0</v>
      </c>
      <c r="M186" s="14" t="n">
        <f aca="false">IF(L186&lt;=Assumptions!$B$5,1,0)</f>
        <v>1</v>
      </c>
      <c r="N186" s="14" t="n">
        <f aca="false">IF(H186&gt;=G186,1,0)</f>
        <v>1</v>
      </c>
      <c r="O186" s="14" t="n">
        <f aca="false">M186*N186</f>
        <v>1</v>
      </c>
      <c r="P186" s="15" t="n">
        <f aca="false">L186*Assumptions!$B$6</f>
        <v>0</v>
      </c>
      <c r="Q186" s="31" t="n">
        <f aca="false">IF(I186=0,0,J186/I186)</f>
        <v>77.7675159235669</v>
      </c>
      <c r="R186" s="18" t="n">
        <f aca="false">IF(H186=0,0,K186/H186)</f>
        <v>0.00520833333333333</v>
      </c>
      <c r="S186" s="14" t="n">
        <f aca="false">MONTH(D186)</f>
        <v>1</v>
      </c>
    </row>
    <row r="187" customFormat="false" ht="15" hidden="false" customHeight="false" outlineLevel="0" collapsed="false">
      <c r="A187" s="21" t="s">
        <v>283</v>
      </c>
      <c r="B187" s="21" t="s">
        <v>50</v>
      </c>
      <c r="C187" s="21" t="s">
        <v>57</v>
      </c>
      <c r="D187" s="29" t="n">
        <v>46274</v>
      </c>
      <c r="E187" s="29" t="n">
        <v>46277</v>
      </c>
      <c r="F187" s="29" t="n">
        <v>46278</v>
      </c>
      <c r="G187" s="21" t="n">
        <v>710</v>
      </c>
      <c r="H187" s="21" t="n">
        <v>710</v>
      </c>
      <c r="I187" s="21" t="n">
        <v>328</v>
      </c>
      <c r="J187" s="30" t="n">
        <v>31279</v>
      </c>
      <c r="K187" s="21" t="n">
        <v>0</v>
      </c>
      <c r="L187" s="14" t="n">
        <f aca="false">MAX(0,F187-E187)</f>
        <v>1</v>
      </c>
      <c r="M187" s="14" t="n">
        <f aca="false">IF(L187&lt;=Assumptions!$B$5,1,0)</f>
        <v>0</v>
      </c>
      <c r="N187" s="14" t="n">
        <f aca="false">IF(H187&gt;=G187,1,0)</f>
        <v>1</v>
      </c>
      <c r="O187" s="14" t="n">
        <f aca="false">M187*N187</f>
        <v>0</v>
      </c>
      <c r="P187" s="15" t="n">
        <f aca="false">L187*Assumptions!$B$6</f>
        <v>1500</v>
      </c>
      <c r="Q187" s="31" t="n">
        <f aca="false">IF(I187=0,0,J187/I187)</f>
        <v>95.3628048780488</v>
      </c>
      <c r="R187" s="18" t="n">
        <f aca="false">IF(H187=0,0,K187/H187)</f>
        <v>0</v>
      </c>
      <c r="S187" s="14" t="n">
        <f aca="false">MONTH(D187)</f>
        <v>9</v>
      </c>
    </row>
    <row r="188" customFormat="false" ht="15" hidden="false" customHeight="false" outlineLevel="0" collapsed="false">
      <c r="A188" s="21" t="s">
        <v>284</v>
      </c>
      <c r="B188" s="21" t="s">
        <v>46</v>
      </c>
      <c r="C188" s="21" t="s">
        <v>54</v>
      </c>
      <c r="D188" s="29" t="n">
        <v>46099</v>
      </c>
      <c r="E188" s="29" t="n">
        <v>46103</v>
      </c>
      <c r="F188" s="29" t="n">
        <v>46103</v>
      </c>
      <c r="G188" s="21" t="n">
        <v>650</v>
      </c>
      <c r="H188" s="21" t="n">
        <v>650</v>
      </c>
      <c r="I188" s="21" t="n">
        <v>460</v>
      </c>
      <c r="J188" s="30" t="n">
        <v>35068</v>
      </c>
      <c r="K188" s="21" t="n">
        <v>15</v>
      </c>
      <c r="L188" s="14" t="n">
        <f aca="false">MAX(0,F188-E188)</f>
        <v>0</v>
      </c>
      <c r="M188" s="14" t="n">
        <f aca="false">IF(L188&lt;=Assumptions!$B$5,1,0)</f>
        <v>1</v>
      </c>
      <c r="N188" s="14" t="n">
        <f aca="false">IF(H188&gt;=G188,1,0)</f>
        <v>1</v>
      </c>
      <c r="O188" s="14" t="n">
        <f aca="false">M188*N188</f>
        <v>1</v>
      </c>
      <c r="P188" s="15" t="n">
        <f aca="false">L188*Assumptions!$B$6</f>
        <v>0</v>
      </c>
      <c r="Q188" s="31" t="n">
        <f aca="false">IF(I188=0,0,J188/I188)</f>
        <v>76.2347826086957</v>
      </c>
      <c r="R188" s="18" t="n">
        <f aca="false">IF(H188=0,0,K188/H188)</f>
        <v>0.0230769230769231</v>
      </c>
      <c r="S188" s="14" t="n">
        <f aca="false">MONTH(D188)</f>
        <v>3</v>
      </c>
    </row>
    <row r="189" customFormat="false" ht="15" hidden="false" customHeight="false" outlineLevel="0" collapsed="false">
      <c r="A189" s="21" t="s">
        <v>285</v>
      </c>
      <c r="B189" s="21" t="s">
        <v>48</v>
      </c>
      <c r="C189" s="21" t="s">
        <v>56</v>
      </c>
      <c r="D189" s="29" t="n">
        <v>46096</v>
      </c>
      <c r="E189" s="29" t="n">
        <v>46106</v>
      </c>
      <c r="F189" s="29" t="n">
        <v>46106</v>
      </c>
      <c r="G189" s="21" t="n">
        <v>80</v>
      </c>
      <c r="H189" s="21" t="n">
        <v>80</v>
      </c>
      <c r="I189" s="21" t="n">
        <v>199</v>
      </c>
      <c r="J189" s="30" t="n">
        <v>21556</v>
      </c>
      <c r="K189" s="21" t="n">
        <v>4</v>
      </c>
      <c r="L189" s="14" t="n">
        <f aca="false">MAX(0,F189-E189)</f>
        <v>0</v>
      </c>
      <c r="M189" s="14" t="n">
        <f aca="false">IF(L189&lt;=Assumptions!$B$5,1,0)</f>
        <v>1</v>
      </c>
      <c r="N189" s="14" t="n">
        <f aca="false">IF(H189&gt;=G189,1,0)</f>
        <v>1</v>
      </c>
      <c r="O189" s="14" t="n">
        <f aca="false">M189*N189</f>
        <v>1</v>
      </c>
      <c r="P189" s="15" t="n">
        <f aca="false">L189*Assumptions!$B$6</f>
        <v>0</v>
      </c>
      <c r="Q189" s="31" t="n">
        <f aca="false">IF(I189=0,0,J189/I189)</f>
        <v>108.321608040201</v>
      </c>
      <c r="R189" s="18" t="n">
        <f aca="false">IF(H189=0,0,K189/H189)</f>
        <v>0.05</v>
      </c>
      <c r="S189" s="14" t="n">
        <f aca="false">MONTH(D189)</f>
        <v>3</v>
      </c>
    </row>
    <row r="190" customFormat="false" ht="15" hidden="false" customHeight="false" outlineLevel="0" collapsed="false">
      <c r="A190" s="21" t="s">
        <v>286</v>
      </c>
      <c r="B190" s="21" t="s">
        <v>47</v>
      </c>
      <c r="C190" s="21" t="s">
        <v>55</v>
      </c>
      <c r="D190" s="29" t="n">
        <v>46273</v>
      </c>
      <c r="E190" s="29" t="n">
        <v>46278</v>
      </c>
      <c r="F190" s="29" t="n">
        <v>46279</v>
      </c>
      <c r="G190" s="21" t="n">
        <v>600</v>
      </c>
      <c r="H190" s="21" t="n">
        <v>600</v>
      </c>
      <c r="I190" s="21" t="n">
        <v>353</v>
      </c>
      <c r="J190" s="30" t="n">
        <v>27886</v>
      </c>
      <c r="K190" s="21" t="n">
        <v>25</v>
      </c>
      <c r="L190" s="14" t="n">
        <f aca="false">MAX(0,F190-E190)</f>
        <v>1</v>
      </c>
      <c r="M190" s="14" t="n">
        <f aca="false">IF(L190&lt;=Assumptions!$B$5,1,0)</f>
        <v>0</v>
      </c>
      <c r="N190" s="14" t="n">
        <f aca="false">IF(H190&gt;=G190,1,0)</f>
        <v>1</v>
      </c>
      <c r="O190" s="14" t="n">
        <f aca="false">M190*N190</f>
        <v>0</v>
      </c>
      <c r="P190" s="15" t="n">
        <f aca="false">L190*Assumptions!$B$6</f>
        <v>1500</v>
      </c>
      <c r="Q190" s="31" t="n">
        <f aca="false">IF(I190=0,0,J190/I190)</f>
        <v>78.9971671388102</v>
      </c>
      <c r="R190" s="18" t="n">
        <f aca="false">IF(H190=0,0,K190/H190)</f>
        <v>0.0416666666666667</v>
      </c>
      <c r="S190" s="14" t="n">
        <f aca="false">MONTH(D190)</f>
        <v>9</v>
      </c>
    </row>
    <row r="191" customFormat="false" ht="15" hidden="false" customHeight="false" outlineLevel="0" collapsed="false">
      <c r="A191" s="21" t="s">
        <v>287</v>
      </c>
      <c r="B191" s="21" t="s">
        <v>50</v>
      </c>
      <c r="C191" s="21" t="s">
        <v>55</v>
      </c>
      <c r="D191" s="29" t="n">
        <v>46194</v>
      </c>
      <c r="E191" s="29" t="n">
        <v>46199</v>
      </c>
      <c r="F191" s="29" t="n">
        <v>46198</v>
      </c>
      <c r="G191" s="21" t="n">
        <v>790</v>
      </c>
      <c r="H191" s="21" t="n">
        <v>790</v>
      </c>
      <c r="I191" s="21" t="n">
        <v>321</v>
      </c>
      <c r="J191" s="30" t="n">
        <v>24564</v>
      </c>
      <c r="K191" s="21" t="n">
        <v>21</v>
      </c>
      <c r="L191" s="14" t="n">
        <f aca="false">MAX(0,F191-E191)</f>
        <v>0</v>
      </c>
      <c r="M191" s="14" t="n">
        <f aca="false">IF(L191&lt;=Assumptions!$B$5,1,0)</f>
        <v>1</v>
      </c>
      <c r="N191" s="14" t="n">
        <f aca="false">IF(H191&gt;=G191,1,0)</f>
        <v>1</v>
      </c>
      <c r="O191" s="14" t="n">
        <f aca="false">M191*N191</f>
        <v>1</v>
      </c>
      <c r="P191" s="15" t="n">
        <f aca="false">L191*Assumptions!$B$6</f>
        <v>0</v>
      </c>
      <c r="Q191" s="31" t="n">
        <f aca="false">IF(I191=0,0,J191/I191)</f>
        <v>76.5233644859813</v>
      </c>
      <c r="R191" s="18" t="n">
        <f aca="false">IF(H191=0,0,K191/H191)</f>
        <v>0.0265822784810127</v>
      </c>
      <c r="S191" s="14" t="n">
        <f aca="false">MONTH(D191)</f>
        <v>6</v>
      </c>
    </row>
    <row r="192" customFormat="false" ht="15" hidden="false" customHeight="false" outlineLevel="0" collapsed="false">
      <c r="A192" s="21" t="s">
        <v>288</v>
      </c>
      <c r="B192" s="21" t="s">
        <v>48</v>
      </c>
      <c r="C192" s="21" t="s">
        <v>53</v>
      </c>
      <c r="D192" s="29" t="n">
        <v>46217</v>
      </c>
      <c r="E192" s="29" t="n">
        <v>46222</v>
      </c>
      <c r="F192" s="29" t="n">
        <v>46222</v>
      </c>
      <c r="G192" s="21" t="n">
        <v>650</v>
      </c>
      <c r="H192" s="21" t="n">
        <v>650</v>
      </c>
      <c r="I192" s="21" t="n">
        <v>41</v>
      </c>
      <c r="J192" s="30" t="n">
        <v>5118</v>
      </c>
      <c r="K192" s="21" t="n">
        <v>14</v>
      </c>
      <c r="L192" s="14" t="n">
        <f aca="false">MAX(0,F192-E192)</f>
        <v>0</v>
      </c>
      <c r="M192" s="14" t="n">
        <f aca="false">IF(L192&lt;=Assumptions!$B$5,1,0)</f>
        <v>1</v>
      </c>
      <c r="N192" s="14" t="n">
        <f aca="false">IF(H192&gt;=G192,1,0)</f>
        <v>1</v>
      </c>
      <c r="O192" s="14" t="n">
        <f aca="false">M192*N192</f>
        <v>1</v>
      </c>
      <c r="P192" s="15" t="n">
        <f aca="false">L192*Assumptions!$B$6</f>
        <v>0</v>
      </c>
      <c r="Q192" s="31" t="n">
        <f aca="false">IF(I192=0,0,J192/I192)</f>
        <v>124.829268292683</v>
      </c>
      <c r="R192" s="18" t="n">
        <f aca="false">IF(H192=0,0,K192/H192)</f>
        <v>0.0215384615384615</v>
      </c>
      <c r="S192" s="14" t="n">
        <f aca="false">MONTH(D192)</f>
        <v>7</v>
      </c>
    </row>
    <row r="193" customFormat="false" ht="15" hidden="false" customHeight="false" outlineLevel="0" collapsed="false">
      <c r="A193" s="21" t="s">
        <v>289</v>
      </c>
      <c r="B193" s="21" t="s">
        <v>45</v>
      </c>
      <c r="C193" s="21" t="s">
        <v>53</v>
      </c>
      <c r="D193" s="29" t="n">
        <v>46120</v>
      </c>
      <c r="E193" s="29" t="n">
        <v>46125</v>
      </c>
      <c r="F193" s="29" t="n">
        <v>46127</v>
      </c>
      <c r="G193" s="21" t="n">
        <v>170</v>
      </c>
      <c r="H193" s="21" t="n">
        <v>170</v>
      </c>
      <c r="I193" s="21" t="n">
        <v>58</v>
      </c>
      <c r="J193" s="30" t="n">
        <v>6751</v>
      </c>
      <c r="K193" s="21" t="n">
        <v>2</v>
      </c>
      <c r="L193" s="14" t="n">
        <f aca="false">MAX(0,F193-E193)</f>
        <v>2</v>
      </c>
      <c r="M193" s="14" t="n">
        <f aca="false">IF(L193&lt;=Assumptions!$B$5,1,0)</f>
        <v>0</v>
      </c>
      <c r="N193" s="14" t="n">
        <f aca="false">IF(H193&gt;=G193,1,0)</f>
        <v>1</v>
      </c>
      <c r="O193" s="14" t="n">
        <f aca="false">M193*N193</f>
        <v>0</v>
      </c>
      <c r="P193" s="15" t="n">
        <f aca="false">L193*Assumptions!$B$6</f>
        <v>3000</v>
      </c>
      <c r="Q193" s="31" t="n">
        <f aca="false">IF(I193=0,0,J193/I193)</f>
        <v>116.396551724138</v>
      </c>
      <c r="R193" s="18" t="n">
        <f aca="false">IF(H193=0,0,K193/H193)</f>
        <v>0.0117647058823529</v>
      </c>
      <c r="S193" s="14" t="n">
        <f aca="false">MONTH(D193)</f>
        <v>4</v>
      </c>
    </row>
    <row r="194" customFormat="false" ht="15" hidden="false" customHeight="false" outlineLevel="0" collapsed="false">
      <c r="A194" s="21" t="s">
        <v>290</v>
      </c>
      <c r="B194" s="21" t="s">
        <v>50</v>
      </c>
      <c r="C194" s="21" t="s">
        <v>58</v>
      </c>
      <c r="D194" s="29" t="n">
        <v>46267</v>
      </c>
      <c r="E194" s="29" t="n">
        <v>46274</v>
      </c>
      <c r="F194" s="29" t="n">
        <v>46273</v>
      </c>
      <c r="G194" s="21" t="n">
        <v>550</v>
      </c>
      <c r="H194" s="21" t="n">
        <v>550</v>
      </c>
      <c r="I194" s="21" t="n">
        <v>265</v>
      </c>
      <c r="J194" s="30" t="n">
        <v>22361</v>
      </c>
      <c r="K194" s="21" t="n">
        <v>14</v>
      </c>
      <c r="L194" s="14" t="n">
        <f aca="false">MAX(0,F194-E194)</f>
        <v>0</v>
      </c>
      <c r="M194" s="14" t="n">
        <f aca="false">IF(L194&lt;=Assumptions!$B$5,1,0)</f>
        <v>1</v>
      </c>
      <c r="N194" s="14" t="n">
        <f aca="false">IF(H194&gt;=G194,1,0)</f>
        <v>1</v>
      </c>
      <c r="O194" s="14" t="n">
        <f aca="false">M194*N194</f>
        <v>1</v>
      </c>
      <c r="P194" s="15" t="n">
        <f aca="false">L194*Assumptions!$B$6</f>
        <v>0</v>
      </c>
      <c r="Q194" s="31" t="n">
        <f aca="false">IF(I194=0,0,J194/I194)</f>
        <v>84.3811320754717</v>
      </c>
      <c r="R194" s="18" t="n">
        <f aca="false">IF(H194=0,0,K194/H194)</f>
        <v>0.0254545454545455</v>
      </c>
      <c r="S194" s="14" t="n">
        <f aca="false">MONTH(D194)</f>
        <v>9</v>
      </c>
    </row>
    <row r="195" customFormat="false" ht="15" hidden="false" customHeight="false" outlineLevel="0" collapsed="false">
      <c r="A195" s="21" t="s">
        <v>291</v>
      </c>
      <c r="B195" s="21" t="s">
        <v>50</v>
      </c>
      <c r="C195" s="21" t="s">
        <v>56</v>
      </c>
      <c r="D195" s="29" t="n">
        <v>46086</v>
      </c>
      <c r="E195" s="29" t="n">
        <v>46093</v>
      </c>
      <c r="F195" s="29" t="n">
        <v>46093</v>
      </c>
      <c r="G195" s="21" t="n">
        <v>340</v>
      </c>
      <c r="H195" s="21" t="n">
        <v>340</v>
      </c>
      <c r="I195" s="21" t="n">
        <v>155</v>
      </c>
      <c r="J195" s="30" t="n">
        <v>10494</v>
      </c>
      <c r="K195" s="21" t="n">
        <v>7</v>
      </c>
      <c r="L195" s="14" t="n">
        <f aca="false">MAX(0,F195-E195)</f>
        <v>0</v>
      </c>
      <c r="M195" s="14" t="n">
        <f aca="false">IF(L195&lt;=Assumptions!$B$5,1,0)</f>
        <v>1</v>
      </c>
      <c r="N195" s="14" t="n">
        <f aca="false">IF(H195&gt;=G195,1,0)</f>
        <v>1</v>
      </c>
      <c r="O195" s="14" t="n">
        <f aca="false">M195*N195</f>
        <v>1</v>
      </c>
      <c r="P195" s="15" t="n">
        <f aca="false">L195*Assumptions!$B$6</f>
        <v>0</v>
      </c>
      <c r="Q195" s="31" t="n">
        <f aca="false">IF(I195=0,0,J195/I195)</f>
        <v>67.7032258064516</v>
      </c>
      <c r="R195" s="18" t="n">
        <f aca="false">IF(H195=0,0,K195/H195)</f>
        <v>0.0205882352941176</v>
      </c>
      <c r="S195" s="14" t="n">
        <f aca="false">MONTH(D195)</f>
        <v>3</v>
      </c>
    </row>
    <row r="196" customFormat="false" ht="15" hidden="false" customHeight="false" outlineLevel="0" collapsed="false">
      <c r="A196" s="21" t="s">
        <v>292</v>
      </c>
      <c r="B196" s="21" t="s">
        <v>47</v>
      </c>
      <c r="C196" s="21" t="s">
        <v>57</v>
      </c>
      <c r="D196" s="29" t="n">
        <v>46210</v>
      </c>
      <c r="E196" s="29" t="n">
        <v>46218</v>
      </c>
      <c r="F196" s="29" t="n">
        <v>46218</v>
      </c>
      <c r="G196" s="21" t="n">
        <v>790</v>
      </c>
      <c r="H196" s="21" t="n">
        <v>737</v>
      </c>
      <c r="I196" s="21" t="n">
        <v>273</v>
      </c>
      <c r="J196" s="30" t="n">
        <v>31860</v>
      </c>
      <c r="K196" s="21" t="n">
        <v>31</v>
      </c>
      <c r="L196" s="14" t="n">
        <f aca="false">MAX(0,F196-E196)</f>
        <v>0</v>
      </c>
      <c r="M196" s="14" t="n">
        <f aca="false">IF(L196&lt;=Assumptions!$B$5,1,0)</f>
        <v>1</v>
      </c>
      <c r="N196" s="14" t="n">
        <f aca="false">IF(H196&gt;=G196,1,0)</f>
        <v>0</v>
      </c>
      <c r="O196" s="14" t="n">
        <f aca="false">M196*N196</f>
        <v>0</v>
      </c>
      <c r="P196" s="15" t="n">
        <f aca="false">L196*Assumptions!$B$6</f>
        <v>0</v>
      </c>
      <c r="Q196" s="31" t="n">
        <f aca="false">IF(I196=0,0,J196/I196)</f>
        <v>116.703296703297</v>
      </c>
      <c r="R196" s="18" t="n">
        <f aca="false">IF(H196=0,0,K196/H196)</f>
        <v>0.0420624151967436</v>
      </c>
      <c r="S196" s="14" t="n">
        <f aca="false">MONTH(D196)</f>
        <v>7</v>
      </c>
    </row>
    <row r="197" customFormat="false" ht="15" hidden="false" customHeight="false" outlineLevel="0" collapsed="false">
      <c r="A197" s="21" t="s">
        <v>293</v>
      </c>
      <c r="B197" s="21" t="s">
        <v>49</v>
      </c>
      <c r="C197" s="21" t="s">
        <v>56</v>
      </c>
      <c r="D197" s="29" t="n">
        <v>46204</v>
      </c>
      <c r="E197" s="29" t="n">
        <v>46207</v>
      </c>
      <c r="F197" s="29" t="n">
        <v>46207</v>
      </c>
      <c r="G197" s="21" t="n">
        <v>350</v>
      </c>
      <c r="H197" s="21" t="n">
        <v>350</v>
      </c>
      <c r="I197" s="21" t="n">
        <v>155</v>
      </c>
      <c r="J197" s="30" t="n">
        <v>11862</v>
      </c>
      <c r="K197" s="21" t="n">
        <v>0</v>
      </c>
      <c r="L197" s="14" t="n">
        <f aca="false">MAX(0,F197-E197)</f>
        <v>0</v>
      </c>
      <c r="M197" s="14" t="n">
        <f aca="false">IF(L197&lt;=Assumptions!$B$5,1,0)</f>
        <v>1</v>
      </c>
      <c r="N197" s="14" t="n">
        <f aca="false">IF(H197&gt;=G197,1,0)</f>
        <v>1</v>
      </c>
      <c r="O197" s="14" t="n">
        <f aca="false">M197*N197</f>
        <v>1</v>
      </c>
      <c r="P197" s="15" t="n">
        <f aca="false">L197*Assumptions!$B$6</f>
        <v>0</v>
      </c>
      <c r="Q197" s="31" t="n">
        <f aca="false">IF(I197=0,0,J197/I197)</f>
        <v>76.5290322580645</v>
      </c>
      <c r="R197" s="18" t="n">
        <f aca="false">IF(H197=0,0,K197/H197)</f>
        <v>0</v>
      </c>
      <c r="S197" s="14" t="n">
        <f aca="false">MONTH(D197)</f>
        <v>7</v>
      </c>
    </row>
    <row r="198" customFormat="false" ht="15" hidden="false" customHeight="false" outlineLevel="0" collapsed="false">
      <c r="A198" s="21" t="s">
        <v>294</v>
      </c>
      <c r="B198" s="21" t="s">
        <v>45</v>
      </c>
      <c r="C198" s="21" t="s">
        <v>57</v>
      </c>
      <c r="D198" s="29" t="n">
        <v>46090</v>
      </c>
      <c r="E198" s="29" t="n">
        <v>46094</v>
      </c>
      <c r="F198" s="29" t="n">
        <v>46094</v>
      </c>
      <c r="G198" s="21" t="n">
        <v>670</v>
      </c>
      <c r="H198" s="21" t="n">
        <v>670</v>
      </c>
      <c r="I198" s="21" t="n">
        <v>314</v>
      </c>
      <c r="J198" s="30" t="n">
        <v>33445</v>
      </c>
      <c r="K198" s="21" t="n">
        <v>11</v>
      </c>
      <c r="L198" s="14" t="n">
        <f aca="false">MAX(0,F198-E198)</f>
        <v>0</v>
      </c>
      <c r="M198" s="14" t="n">
        <f aca="false">IF(L198&lt;=Assumptions!$B$5,1,0)</f>
        <v>1</v>
      </c>
      <c r="N198" s="14" t="n">
        <f aca="false">IF(H198&gt;=G198,1,0)</f>
        <v>1</v>
      </c>
      <c r="O198" s="14" t="n">
        <f aca="false">M198*N198</f>
        <v>1</v>
      </c>
      <c r="P198" s="15" t="n">
        <f aca="false">L198*Assumptions!$B$6</f>
        <v>0</v>
      </c>
      <c r="Q198" s="31" t="n">
        <f aca="false">IF(I198=0,0,J198/I198)</f>
        <v>106.512738853503</v>
      </c>
      <c r="R198" s="18" t="n">
        <f aca="false">IF(H198=0,0,K198/H198)</f>
        <v>0.0164179104477612</v>
      </c>
      <c r="S198" s="14" t="n">
        <f aca="false">MONTH(D198)</f>
        <v>3</v>
      </c>
    </row>
    <row r="199" customFormat="false" ht="15" hidden="false" customHeight="false" outlineLevel="0" collapsed="false">
      <c r="A199" s="21" t="s">
        <v>295</v>
      </c>
      <c r="B199" s="21" t="s">
        <v>50</v>
      </c>
      <c r="C199" s="21" t="s">
        <v>54</v>
      </c>
      <c r="D199" s="29" t="n">
        <v>46208</v>
      </c>
      <c r="E199" s="29" t="n">
        <v>46212</v>
      </c>
      <c r="F199" s="29" t="n">
        <v>46215</v>
      </c>
      <c r="G199" s="21" t="n">
        <v>160</v>
      </c>
      <c r="H199" s="21" t="n">
        <v>160</v>
      </c>
      <c r="I199" s="21" t="n">
        <v>469</v>
      </c>
      <c r="J199" s="30" t="n">
        <v>43043</v>
      </c>
      <c r="K199" s="21" t="n">
        <v>4</v>
      </c>
      <c r="L199" s="14" t="n">
        <f aca="false">MAX(0,F199-E199)</f>
        <v>3</v>
      </c>
      <c r="M199" s="14" t="n">
        <f aca="false">IF(L199&lt;=Assumptions!$B$5,1,0)</f>
        <v>0</v>
      </c>
      <c r="N199" s="14" t="n">
        <f aca="false">IF(H199&gt;=G199,1,0)</f>
        <v>1</v>
      </c>
      <c r="O199" s="14" t="n">
        <f aca="false">M199*N199</f>
        <v>0</v>
      </c>
      <c r="P199" s="15" t="n">
        <f aca="false">L199*Assumptions!$B$6</f>
        <v>4500</v>
      </c>
      <c r="Q199" s="31" t="n">
        <f aca="false">IF(I199=0,0,J199/I199)</f>
        <v>91.7761194029851</v>
      </c>
      <c r="R199" s="18" t="n">
        <f aca="false">IF(H199=0,0,K199/H199)</f>
        <v>0.025</v>
      </c>
      <c r="S199" s="14" t="n">
        <f aca="false">MONTH(D199)</f>
        <v>7</v>
      </c>
    </row>
    <row r="200" customFormat="false" ht="15" hidden="false" customHeight="false" outlineLevel="0" collapsed="false">
      <c r="A200" s="21" t="s">
        <v>296</v>
      </c>
      <c r="B200" s="21" t="s">
        <v>47</v>
      </c>
      <c r="C200" s="21" t="s">
        <v>53</v>
      </c>
      <c r="D200" s="29" t="n">
        <v>46161</v>
      </c>
      <c r="E200" s="29" t="n">
        <v>46170</v>
      </c>
      <c r="F200" s="29" t="n">
        <v>46169</v>
      </c>
      <c r="G200" s="21" t="n">
        <v>680</v>
      </c>
      <c r="H200" s="21" t="n">
        <v>680</v>
      </c>
      <c r="I200" s="21" t="n">
        <v>32</v>
      </c>
      <c r="J200" s="30" t="n">
        <v>5804</v>
      </c>
      <c r="K200" s="21" t="n">
        <v>17</v>
      </c>
      <c r="L200" s="14" t="n">
        <f aca="false">MAX(0,F200-E200)</f>
        <v>0</v>
      </c>
      <c r="M200" s="14" t="n">
        <f aca="false">IF(L200&lt;=Assumptions!$B$5,1,0)</f>
        <v>1</v>
      </c>
      <c r="N200" s="14" t="n">
        <f aca="false">IF(H200&gt;=G200,1,0)</f>
        <v>1</v>
      </c>
      <c r="O200" s="14" t="n">
        <f aca="false">M200*N200</f>
        <v>1</v>
      </c>
      <c r="P200" s="15" t="n">
        <f aca="false">L200*Assumptions!$B$6</f>
        <v>0</v>
      </c>
      <c r="Q200" s="31" t="n">
        <f aca="false">IF(I200=0,0,J200/I200)</f>
        <v>181.375</v>
      </c>
      <c r="R200" s="18" t="n">
        <f aca="false">IF(H200=0,0,K200/H200)</f>
        <v>0.025</v>
      </c>
      <c r="S200" s="14" t="n">
        <f aca="false">MONTH(D200)</f>
        <v>5</v>
      </c>
    </row>
    <row r="201" customFormat="false" ht="15" hidden="false" customHeight="false" outlineLevel="0" collapsed="false">
      <c r="A201" s="21" t="s">
        <v>297</v>
      </c>
      <c r="B201" s="21" t="s">
        <v>50</v>
      </c>
      <c r="C201" s="21" t="s">
        <v>55</v>
      </c>
      <c r="D201" s="29" t="n">
        <v>46125</v>
      </c>
      <c r="E201" s="29" t="n">
        <v>46132</v>
      </c>
      <c r="F201" s="29" t="n">
        <v>46136</v>
      </c>
      <c r="G201" s="21" t="n">
        <v>170</v>
      </c>
      <c r="H201" s="21" t="n">
        <v>170</v>
      </c>
      <c r="I201" s="21" t="n">
        <v>359</v>
      </c>
      <c r="J201" s="30" t="n">
        <v>39051</v>
      </c>
      <c r="K201" s="21" t="n">
        <v>2</v>
      </c>
      <c r="L201" s="14" t="n">
        <f aca="false">MAX(0,F201-E201)</f>
        <v>4</v>
      </c>
      <c r="M201" s="14" t="n">
        <f aca="false">IF(L201&lt;=Assumptions!$B$5,1,0)</f>
        <v>0</v>
      </c>
      <c r="N201" s="14" t="n">
        <f aca="false">IF(H201&gt;=G201,1,0)</f>
        <v>1</v>
      </c>
      <c r="O201" s="14" t="n">
        <f aca="false">M201*N201</f>
        <v>0</v>
      </c>
      <c r="P201" s="15" t="n">
        <f aca="false">L201*Assumptions!$B$6</f>
        <v>6000</v>
      </c>
      <c r="Q201" s="31" t="n">
        <f aca="false">IF(I201=0,0,J201/I201)</f>
        <v>108.777158774373</v>
      </c>
      <c r="R201" s="18" t="n">
        <f aca="false">IF(H201=0,0,K201/H201)</f>
        <v>0.0117647058823529</v>
      </c>
      <c r="S201" s="14" t="n">
        <f aca="false">MONTH(D201)</f>
        <v>4</v>
      </c>
    </row>
    <row r="202" customFormat="false" ht="15" hidden="false" customHeight="false" outlineLevel="0" collapsed="false">
      <c r="A202" s="21" t="s">
        <v>298</v>
      </c>
      <c r="B202" s="21" t="s">
        <v>46</v>
      </c>
      <c r="C202" s="21" t="s">
        <v>53</v>
      </c>
      <c r="D202" s="29" t="n">
        <v>46274</v>
      </c>
      <c r="E202" s="29" t="n">
        <v>46278</v>
      </c>
      <c r="F202" s="29" t="n">
        <v>46278</v>
      </c>
      <c r="G202" s="21" t="n">
        <v>210</v>
      </c>
      <c r="H202" s="21" t="n">
        <v>190</v>
      </c>
      <c r="I202" s="21" t="n">
        <v>49</v>
      </c>
      <c r="J202" s="30" t="n">
        <v>4834</v>
      </c>
      <c r="K202" s="21" t="n">
        <v>3</v>
      </c>
      <c r="L202" s="14" t="n">
        <f aca="false">MAX(0,F202-E202)</f>
        <v>0</v>
      </c>
      <c r="M202" s="14" t="n">
        <f aca="false">IF(L202&lt;=Assumptions!$B$5,1,0)</f>
        <v>1</v>
      </c>
      <c r="N202" s="14" t="n">
        <f aca="false">IF(H202&gt;=G202,1,0)</f>
        <v>0</v>
      </c>
      <c r="O202" s="14" t="n">
        <f aca="false">M202*N202</f>
        <v>0</v>
      </c>
      <c r="P202" s="15" t="n">
        <f aca="false">L202*Assumptions!$B$6</f>
        <v>0</v>
      </c>
      <c r="Q202" s="31" t="n">
        <f aca="false">IF(I202=0,0,J202/I202)</f>
        <v>98.6530612244898</v>
      </c>
      <c r="R202" s="18" t="n">
        <f aca="false">IF(H202=0,0,K202/H202)</f>
        <v>0.0157894736842105</v>
      </c>
      <c r="S202" s="14" t="n">
        <f aca="false">MONTH(D202)</f>
        <v>9</v>
      </c>
    </row>
    <row r="203" customFormat="false" ht="15" hidden="false" customHeight="false" outlineLevel="0" collapsed="false">
      <c r="A203" s="21" t="s">
        <v>299</v>
      </c>
      <c r="B203" s="21" t="s">
        <v>46</v>
      </c>
      <c r="C203" s="21" t="s">
        <v>56</v>
      </c>
      <c r="D203" s="29" t="n">
        <v>46239</v>
      </c>
      <c r="E203" s="29" t="n">
        <v>46249</v>
      </c>
      <c r="F203" s="29" t="n">
        <v>46249</v>
      </c>
      <c r="G203" s="21" t="n">
        <v>110</v>
      </c>
      <c r="H203" s="21" t="n">
        <v>110</v>
      </c>
      <c r="I203" s="21" t="n">
        <v>172</v>
      </c>
      <c r="J203" s="30" t="n">
        <v>16111</v>
      </c>
      <c r="K203" s="21" t="n">
        <v>3</v>
      </c>
      <c r="L203" s="14" t="n">
        <f aca="false">MAX(0,F203-E203)</f>
        <v>0</v>
      </c>
      <c r="M203" s="14" t="n">
        <f aca="false">IF(L203&lt;=Assumptions!$B$5,1,0)</f>
        <v>1</v>
      </c>
      <c r="N203" s="14" t="n">
        <f aca="false">IF(H203&gt;=G203,1,0)</f>
        <v>1</v>
      </c>
      <c r="O203" s="14" t="n">
        <f aca="false">M203*N203</f>
        <v>1</v>
      </c>
      <c r="P203" s="15" t="n">
        <f aca="false">L203*Assumptions!$B$6</f>
        <v>0</v>
      </c>
      <c r="Q203" s="31" t="n">
        <f aca="false">IF(I203=0,0,J203/I203)</f>
        <v>93.6686046511628</v>
      </c>
      <c r="R203" s="18" t="n">
        <f aca="false">IF(H203=0,0,K203/H203)</f>
        <v>0.0272727272727273</v>
      </c>
      <c r="S203" s="14" t="n">
        <f aca="false">MONTH(D203)</f>
        <v>8</v>
      </c>
    </row>
    <row r="204" customFormat="false" ht="15" hidden="false" customHeight="false" outlineLevel="0" collapsed="false">
      <c r="A204" s="21" t="s">
        <v>300</v>
      </c>
      <c r="B204" s="21" t="s">
        <v>50</v>
      </c>
      <c r="C204" s="21" t="s">
        <v>57</v>
      </c>
      <c r="D204" s="29" t="n">
        <v>46213</v>
      </c>
      <c r="E204" s="29" t="n">
        <v>46222</v>
      </c>
      <c r="F204" s="29" t="n">
        <v>46222</v>
      </c>
      <c r="G204" s="21" t="n">
        <v>540</v>
      </c>
      <c r="H204" s="21" t="n">
        <v>540</v>
      </c>
      <c r="I204" s="21" t="n">
        <v>311</v>
      </c>
      <c r="J204" s="30" t="n">
        <v>20572</v>
      </c>
      <c r="K204" s="21" t="n">
        <v>7</v>
      </c>
      <c r="L204" s="14" t="n">
        <f aca="false">MAX(0,F204-E204)</f>
        <v>0</v>
      </c>
      <c r="M204" s="14" t="n">
        <f aca="false">IF(L204&lt;=Assumptions!$B$5,1,0)</f>
        <v>1</v>
      </c>
      <c r="N204" s="14" t="n">
        <f aca="false">IF(H204&gt;=G204,1,0)</f>
        <v>1</v>
      </c>
      <c r="O204" s="14" t="n">
        <f aca="false">M204*N204</f>
        <v>1</v>
      </c>
      <c r="P204" s="15" t="n">
        <f aca="false">L204*Assumptions!$B$6</f>
        <v>0</v>
      </c>
      <c r="Q204" s="31" t="n">
        <f aca="false">IF(I204=0,0,J204/I204)</f>
        <v>66.1479099678457</v>
      </c>
      <c r="R204" s="18" t="n">
        <f aca="false">IF(H204=0,0,K204/H204)</f>
        <v>0.012962962962963</v>
      </c>
      <c r="S204" s="14" t="n">
        <f aca="false">MONTH(D204)</f>
        <v>7</v>
      </c>
    </row>
    <row r="205" customFormat="false" ht="15" hidden="false" customHeight="false" outlineLevel="0" collapsed="false">
      <c r="A205" s="21" t="s">
        <v>301</v>
      </c>
      <c r="B205" s="21" t="s">
        <v>46</v>
      </c>
      <c r="C205" s="21" t="s">
        <v>57</v>
      </c>
      <c r="D205" s="29" t="n">
        <v>46043</v>
      </c>
      <c r="E205" s="29" t="n">
        <v>46052</v>
      </c>
      <c r="F205" s="29" t="n">
        <v>46052</v>
      </c>
      <c r="G205" s="21" t="n">
        <v>240</v>
      </c>
      <c r="H205" s="21" t="n">
        <v>240</v>
      </c>
      <c r="I205" s="21" t="n">
        <v>263</v>
      </c>
      <c r="J205" s="30" t="n">
        <v>26172</v>
      </c>
      <c r="K205" s="21" t="n">
        <v>3</v>
      </c>
      <c r="L205" s="14" t="n">
        <f aca="false">MAX(0,F205-E205)</f>
        <v>0</v>
      </c>
      <c r="M205" s="14" t="n">
        <f aca="false">IF(L205&lt;=Assumptions!$B$5,1,0)</f>
        <v>1</v>
      </c>
      <c r="N205" s="14" t="n">
        <f aca="false">IF(H205&gt;=G205,1,0)</f>
        <v>1</v>
      </c>
      <c r="O205" s="14" t="n">
        <f aca="false">M205*N205</f>
        <v>1</v>
      </c>
      <c r="P205" s="15" t="n">
        <f aca="false">L205*Assumptions!$B$6</f>
        <v>0</v>
      </c>
      <c r="Q205" s="31" t="n">
        <f aca="false">IF(I205=0,0,J205/I205)</f>
        <v>99.5133079847909</v>
      </c>
      <c r="R205" s="18" t="n">
        <f aca="false">IF(H205=0,0,K205/H205)</f>
        <v>0.0125</v>
      </c>
      <c r="S205" s="14" t="n">
        <f aca="false">MONTH(D205)</f>
        <v>1</v>
      </c>
    </row>
    <row r="206" customFormat="false" ht="15" hidden="false" customHeight="false" outlineLevel="0" collapsed="false">
      <c r="A206" s="21" t="s">
        <v>302</v>
      </c>
      <c r="B206" s="21" t="s">
        <v>46</v>
      </c>
      <c r="C206" s="21" t="s">
        <v>53</v>
      </c>
      <c r="D206" s="29" t="n">
        <v>46224</v>
      </c>
      <c r="E206" s="29" t="n">
        <v>46229</v>
      </c>
      <c r="F206" s="29" t="n">
        <v>46229</v>
      </c>
      <c r="G206" s="21" t="n">
        <v>430</v>
      </c>
      <c r="H206" s="21" t="n">
        <v>430</v>
      </c>
      <c r="I206" s="21" t="n">
        <v>44</v>
      </c>
      <c r="J206" s="30" t="n">
        <v>4332</v>
      </c>
      <c r="K206" s="21" t="n">
        <v>9</v>
      </c>
      <c r="L206" s="14" t="n">
        <f aca="false">MAX(0,F206-E206)</f>
        <v>0</v>
      </c>
      <c r="M206" s="14" t="n">
        <f aca="false">IF(L206&lt;=Assumptions!$B$5,1,0)</f>
        <v>1</v>
      </c>
      <c r="N206" s="14" t="n">
        <f aca="false">IF(H206&gt;=G206,1,0)</f>
        <v>1</v>
      </c>
      <c r="O206" s="14" t="n">
        <f aca="false">M206*N206</f>
        <v>1</v>
      </c>
      <c r="P206" s="15" t="n">
        <f aca="false">L206*Assumptions!$B$6</f>
        <v>0</v>
      </c>
      <c r="Q206" s="31" t="n">
        <f aca="false">IF(I206=0,0,J206/I206)</f>
        <v>98.4545454545455</v>
      </c>
      <c r="R206" s="18" t="n">
        <f aca="false">IF(H206=0,0,K206/H206)</f>
        <v>0.0209302325581395</v>
      </c>
      <c r="S206" s="14" t="n">
        <f aca="false">MONTH(D206)</f>
        <v>7</v>
      </c>
    </row>
    <row r="207" customFormat="false" ht="15" hidden="false" customHeight="false" outlineLevel="0" collapsed="false">
      <c r="A207" s="21" t="s">
        <v>303</v>
      </c>
      <c r="B207" s="21" t="s">
        <v>47</v>
      </c>
      <c r="C207" s="21" t="s">
        <v>56</v>
      </c>
      <c r="D207" s="29" t="n">
        <v>46064</v>
      </c>
      <c r="E207" s="29" t="n">
        <v>46068</v>
      </c>
      <c r="F207" s="29" t="n">
        <v>46068</v>
      </c>
      <c r="G207" s="21" t="n">
        <v>760</v>
      </c>
      <c r="H207" s="21" t="n">
        <v>760</v>
      </c>
      <c r="I207" s="21" t="n">
        <v>173</v>
      </c>
      <c r="J207" s="30" t="n">
        <v>22511</v>
      </c>
      <c r="K207" s="21" t="n">
        <v>4</v>
      </c>
      <c r="L207" s="14" t="n">
        <f aca="false">MAX(0,F207-E207)</f>
        <v>0</v>
      </c>
      <c r="M207" s="14" t="n">
        <f aca="false">IF(L207&lt;=Assumptions!$B$5,1,0)</f>
        <v>1</v>
      </c>
      <c r="N207" s="14" t="n">
        <f aca="false">IF(H207&gt;=G207,1,0)</f>
        <v>1</v>
      </c>
      <c r="O207" s="14" t="n">
        <f aca="false">M207*N207</f>
        <v>1</v>
      </c>
      <c r="P207" s="15" t="n">
        <f aca="false">L207*Assumptions!$B$6</f>
        <v>0</v>
      </c>
      <c r="Q207" s="31" t="n">
        <f aca="false">IF(I207=0,0,J207/I207)</f>
        <v>130.121387283237</v>
      </c>
      <c r="R207" s="18" t="n">
        <f aca="false">IF(H207=0,0,K207/H207)</f>
        <v>0.00526315789473684</v>
      </c>
      <c r="S207" s="14" t="n">
        <f aca="false">MONTH(D207)</f>
        <v>2</v>
      </c>
    </row>
    <row r="208" customFormat="false" ht="15" hidden="false" customHeight="false" outlineLevel="0" collapsed="false">
      <c r="A208" s="21" t="s">
        <v>304</v>
      </c>
      <c r="B208" s="21" t="s">
        <v>49</v>
      </c>
      <c r="C208" s="21" t="s">
        <v>56</v>
      </c>
      <c r="D208" s="29" t="n">
        <v>46142</v>
      </c>
      <c r="E208" s="29" t="n">
        <v>46151</v>
      </c>
      <c r="F208" s="29" t="n">
        <v>46151</v>
      </c>
      <c r="G208" s="21" t="n">
        <v>480</v>
      </c>
      <c r="H208" s="21" t="n">
        <v>480</v>
      </c>
      <c r="I208" s="21" t="n">
        <v>156</v>
      </c>
      <c r="J208" s="30" t="n">
        <v>19278</v>
      </c>
      <c r="K208" s="21" t="n">
        <v>3</v>
      </c>
      <c r="L208" s="14" t="n">
        <f aca="false">MAX(0,F208-E208)</f>
        <v>0</v>
      </c>
      <c r="M208" s="14" t="n">
        <f aca="false">IF(L208&lt;=Assumptions!$B$5,1,0)</f>
        <v>1</v>
      </c>
      <c r="N208" s="14" t="n">
        <f aca="false">IF(H208&gt;=G208,1,0)</f>
        <v>1</v>
      </c>
      <c r="O208" s="14" t="n">
        <f aca="false">M208*N208</f>
        <v>1</v>
      </c>
      <c r="P208" s="15" t="n">
        <f aca="false">L208*Assumptions!$B$6</f>
        <v>0</v>
      </c>
      <c r="Q208" s="31" t="n">
        <f aca="false">IF(I208=0,0,J208/I208)</f>
        <v>123.576923076923</v>
      </c>
      <c r="R208" s="18" t="n">
        <f aca="false">IF(H208=0,0,K208/H208)</f>
        <v>0.00625</v>
      </c>
      <c r="S208" s="14" t="n">
        <f aca="false">MONTH(D208)</f>
        <v>4</v>
      </c>
    </row>
    <row r="209" customFormat="false" ht="15" hidden="false" customHeight="false" outlineLevel="0" collapsed="false">
      <c r="A209" s="21" t="s">
        <v>305</v>
      </c>
      <c r="B209" s="21" t="s">
        <v>47</v>
      </c>
      <c r="C209" s="21" t="s">
        <v>53</v>
      </c>
      <c r="D209" s="29" t="n">
        <v>46158</v>
      </c>
      <c r="E209" s="29" t="n">
        <v>46167</v>
      </c>
      <c r="F209" s="29" t="n">
        <v>46171</v>
      </c>
      <c r="G209" s="21" t="n">
        <v>470</v>
      </c>
      <c r="H209" s="21" t="n">
        <v>470</v>
      </c>
      <c r="I209" s="21" t="n">
        <v>33</v>
      </c>
      <c r="J209" s="30" t="n">
        <v>3487</v>
      </c>
      <c r="K209" s="21" t="n">
        <v>3</v>
      </c>
      <c r="L209" s="14" t="n">
        <f aca="false">MAX(0,F209-E209)</f>
        <v>4</v>
      </c>
      <c r="M209" s="14" t="n">
        <f aca="false">IF(L209&lt;=Assumptions!$B$5,1,0)</f>
        <v>0</v>
      </c>
      <c r="N209" s="14" t="n">
        <f aca="false">IF(H209&gt;=G209,1,0)</f>
        <v>1</v>
      </c>
      <c r="O209" s="14" t="n">
        <f aca="false">M209*N209</f>
        <v>0</v>
      </c>
      <c r="P209" s="15" t="n">
        <f aca="false">L209*Assumptions!$B$6</f>
        <v>6000</v>
      </c>
      <c r="Q209" s="31" t="n">
        <f aca="false">IF(I209=0,0,J209/I209)</f>
        <v>105.666666666667</v>
      </c>
      <c r="R209" s="18" t="n">
        <f aca="false">IF(H209=0,0,K209/H209)</f>
        <v>0.00638297872340426</v>
      </c>
      <c r="S209" s="14" t="n">
        <f aca="false">MONTH(D209)</f>
        <v>5</v>
      </c>
    </row>
    <row r="210" customFormat="false" ht="15" hidden="false" customHeight="false" outlineLevel="0" collapsed="false">
      <c r="A210" s="21" t="s">
        <v>306</v>
      </c>
      <c r="B210" s="21" t="s">
        <v>48</v>
      </c>
      <c r="C210" s="21" t="s">
        <v>54</v>
      </c>
      <c r="D210" s="29" t="n">
        <v>46171</v>
      </c>
      <c r="E210" s="29" t="n">
        <v>46174</v>
      </c>
      <c r="F210" s="29" t="n">
        <v>46174</v>
      </c>
      <c r="G210" s="21" t="n">
        <v>1000</v>
      </c>
      <c r="H210" s="21" t="n">
        <v>828</v>
      </c>
      <c r="I210" s="21" t="n">
        <v>490</v>
      </c>
      <c r="J210" s="30" t="n">
        <v>43413</v>
      </c>
      <c r="K210" s="21" t="n">
        <v>20</v>
      </c>
      <c r="L210" s="14" t="n">
        <f aca="false">MAX(0,F210-E210)</f>
        <v>0</v>
      </c>
      <c r="M210" s="14" t="n">
        <f aca="false">IF(L210&lt;=Assumptions!$B$5,1,0)</f>
        <v>1</v>
      </c>
      <c r="N210" s="14" t="n">
        <f aca="false">IF(H210&gt;=G210,1,0)</f>
        <v>0</v>
      </c>
      <c r="O210" s="14" t="n">
        <f aca="false">M210*N210</f>
        <v>0</v>
      </c>
      <c r="P210" s="15" t="n">
        <f aca="false">L210*Assumptions!$B$6</f>
        <v>0</v>
      </c>
      <c r="Q210" s="31" t="n">
        <f aca="false">IF(I210=0,0,J210/I210)</f>
        <v>88.5979591836735</v>
      </c>
      <c r="R210" s="18" t="n">
        <f aca="false">IF(H210=0,0,K210/H210)</f>
        <v>0.0241545893719807</v>
      </c>
      <c r="S210" s="14" t="n">
        <f aca="false">MONTH(D210)</f>
        <v>5</v>
      </c>
    </row>
    <row r="211" customFormat="false" ht="15" hidden="false" customHeight="false" outlineLevel="0" collapsed="false">
      <c r="A211" s="21" t="s">
        <v>307</v>
      </c>
      <c r="B211" s="21" t="s">
        <v>50</v>
      </c>
      <c r="C211" s="21" t="s">
        <v>53</v>
      </c>
      <c r="D211" s="29" t="n">
        <v>46182</v>
      </c>
      <c r="E211" s="29" t="n">
        <v>46188</v>
      </c>
      <c r="F211" s="29" t="n">
        <v>46188</v>
      </c>
      <c r="G211" s="21" t="n">
        <v>470</v>
      </c>
      <c r="H211" s="21" t="n">
        <v>470</v>
      </c>
      <c r="I211" s="21" t="n">
        <v>35</v>
      </c>
      <c r="J211" s="30" t="n">
        <v>4337</v>
      </c>
      <c r="K211" s="21" t="n">
        <v>11</v>
      </c>
      <c r="L211" s="14" t="n">
        <f aca="false">MAX(0,F211-E211)</f>
        <v>0</v>
      </c>
      <c r="M211" s="14" t="n">
        <f aca="false">IF(L211&lt;=Assumptions!$B$5,1,0)</f>
        <v>1</v>
      </c>
      <c r="N211" s="14" t="n">
        <f aca="false">IF(H211&gt;=G211,1,0)</f>
        <v>1</v>
      </c>
      <c r="O211" s="14" t="n">
        <f aca="false">M211*N211</f>
        <v>1</v>
      </c>
      <c r="P211" s="15" t="n">
        <f aca="false">L211*Assumptions!$B$6</f>
        <v>0</v>
      </c>
      <c r="Q211" s="31" t="n">
        <f aca="false">IF(I211=0,0,J211/I211)</f>
        <v>123.914285714286</v>
      </c>
      <c r="R211" s="18" t="n">
        <f aca="false">IF(H211=0,0,K211/H211)</f>
        <v>0.0234042553191489</v>
      </c>
      <c r="S211" s="14" t="n">
        <f aca="false">MONTH(D211)</f>
        <v>6</v>
      </c>
    </row>
    <row r="212" customFormat="false" ht="15" hidden="false" customHeight="false" outlineLevel="0" collapsed="false">
      <c r="A212" s="21" t="s">
        <v>308</v>
      </c>
      <c r="B212" s="21" t="s">
        <v>46</v>
      </c>
      <c r="C212" s="21" t="s">
        <v>57</v>
      </c>
      <c r="D212" s="29" t="n">
        <v>46056</v>
      </c>
      <c r="E212" s="29" t="n">
        <v>46064</v>
      </c>
      <c r="F212" s="29" t="n">
        <v>46064</v>
      </c>
      <c r="G212" s="21" t="n">
        <v>790</v>
      </c>
      <c r="H212" s="21" t="n">
        <v>790</v>
      </c>
      <c r="I212" s="21" t="n">
        <v>284</v>
      </c>
      <c r="J212" s="30" t="n">
        <v>30062</v>
      </c>
      <c r="K212" s="21" t="n">
        <v>12</v>
      </c>
      <c r="L212" s="14" t="n">
        <f aca="false">MAX(0,F212-E212)</f>
        <v>0</v>
      </c>
      <c r="M212" s="14" t="n">
        <f aca="false">IF(L212&lt;=Assumptions!$B$5,1,0)</f>
        <v>1</v>
      </c>
      <c r="N212" s="14" t="n">
        <f aca="false">IF(H212&gt;=G212,1,0)</f>
        <v>1</v>
      </c>
      <c r="O212" s="14" t="n">
        <f aca="false">M212*N212</f>
        <v>1</v>
      </c>
      <c r="P212" s="15" t="n">
        <f aca="false">L212*Assumptions!$B$6</f>
        <v>0</v>
      </c>
      <c r="Q212" s="31" t="n">
        <f aca="false">IF(I212=0,0,J212/I212)</f>
        <v>105.852112676056</v>
      </c>
      <c r="R212" s="18" t="n">
        <f aca="false">IF(H212=0,0,K212/H212)</f>
        <v>0.0151898734177215</v>
      </c>
      <c r="S212" s="14" t="n">
        <f aca="false">MONTH(D212)</f>
        <v>2</v>
      </c>
    </row>
    <row r="213" customFormat="false" ht="15" hidden="false" customHeight="false" outlineLevel="0" collapsed="false">
      <c r="A213" s="21" t="s">
        <v>309</v>
      </c>
      <c r="B213" s="21" t="s">
        <v>49</v>
      </c>
      <c r="C213" s="21" t="s">
        <v>57</v>
      </c>
      <c r="D213" s="29" t="n">
        <v>46100</v>
      </c>
      <c r="E213" s="29" t="n">
        <v>46110</v>
      </c>
      <c r="F213" s="29" t="n">
        <v>46110</v>
      </c>
      <c r="G213" s="21" t="n">
        <v>770</v>
      </c>
      <c r="H213" s="21" t="n">
        <v>770</v>
      </c>
      <c r="I213" s="21" t="n">
        <v>263</v>
      </c>
      <c r="J213" s="30" t="n">
        <v>19629</v>
      </c>
      <c r="K213" s="21" t="n">
        <v>5</v>
      </c>
      <c r="L213" s="14" t="n">
        <f aca="false">MAX(0,F213-E213)</f>
        <v>0</v>
      </c>
      <c r="M213" s="14" t="n">
        <f aca="false">IF(L213&lt;=Assumptions!$B$5,1,0)</f>
        <v>1</v>
      </c>
      <c r="N213" s="14" t="n">
        <f aca="false">IF(H213&gt;=G213,1,0)</f>
        <v>1</v>
      </c>
      <c r="O213" s="14" t="n">
        <f aca="false">M213*N213</f>
        <v>1</v>
      </c>
      <c r="P213" s="15" t="n">
        <f aca="false">L213*Assumptions!$B$6</f>
        <v>0</v>
      </c>
      <c r="Q213" s="31" t="n">
        <f aca="false">IF(I213=0,0,J213/I213)</f>
        <v>74.6349809885932</v>
      </c>
      <c r="R213" s="18" t="n">
        <f aca="false">IF(H213=0,0,K213/H213)</f>
        <v>0.00649350649350649</v>
      </c>
      <c r="S213" s="14" t="n">
        <f aca="false">MONTH(D213)</f>
        <v>3</v>
      </c>
    </row>
    <row r="214" customFormat="false" ht="15" hidden="false" customHeight="false" outlineLevel="0" collapsed="false">
      <c r="A214" s="21" t="s">
        <v>310</v>
      </c>
      <c r="B214" s="21" t="s">
        <v>49</v>
      </c>
      <c r="C214" s="21" t="s">
        <v>53</v>
      </c>
      <c r="D214" s="29" t="n">
        <v>46138</v>
      </c>
      <c r="E214" s="29" t="n">
        <v>46145</v>
      </c>
      <c r="F214" s="29" t="n">
        <v>46144</v>
      </c>
      <c r="G214" s="21" t="n">
        <v>480</v>
      </c>
      <c r="H214" s="21" t="n">
        <v>480</v>
      </c>
      <c r="I214" s="21" t="n">
        <v>27</v>
      </c>
      <c r="J214" s="30" t="n">
        <v>3327</v>
      </c>
      <c r="K214" s="21" t="n">
        <v>0</v>
      </c>
      <c r="L214" s="14" t="n">
        <f aca="false">MAX(0,F214-E214)</f>
        <v>0</v>
      </c>
      <c r="M214" s="14" t="n">
        <f aca="false">IF(L214&lt;=Assumptions!$B$5,1,0)</f>
        <v>1</v>
      </c>
      <c r="N214" s="14" t="n">
        <f aca="false">IF(H214&gt;=G214,1,0)</f>
        <v>1</v>
      </c>
      <c r="O214" s="14" t="n">
        <f aca="false">M214*N214</f>
        <v>1</v>
      </c>
      <c r="P214" s="15" t="n">
        <f aca="false">L214*Assumptions!$B$6</f>
        <v>0</v>
      </c>
      <c r="Q214" s="31" t="n">
        <f aca="false">IF(I214=0,0,J214/I214)</f>
        <v>123.222222222222</v>
      </c>
      <c r="R214" s="18" t="n">
        <f aca="false">IF(H214=0,0,K214/H214)</f>
        <v>0</v>
      </c>
      <c r="S214" s="14" t="n">
        <f aca="false">MONTH(D214)</f>
        <v>4</v>
      </c>
    </row>
    <row r="215" customFormat="false" ht="15" hidden="false" customHeight="false" outlineLevel="0" collapsed="false">
      <c r="A215" s="21" t="s">
        <v>311</v>
      </c>
      <c r="B215" s="21" t="s">
        <v>47</v>
      </c>
      <c r="C215" s="21" t="s">
        <v>53</v>
      </c>
      <c r="D215" s="29" t="n">
        <v>46170</v>
      </c>
      <c r="E215" s="29" t="n">
        <v>46180</v>
      </c>
      <c r="F215" s="29" t="n">
        <v>46180</v>
      </c>
      <c r="G215" s="21" t="n">
        <v>480</v>
      </c>
      <c r="H215" s="21" t="n">
        <v>403</v>
      </c>
      <c r="I215" s="21" t="n">
        <v>40</v>
      </c>
      <c r="J215" s="30" t="n">
        <v>6100</v>
      </c>
      <c r="K215" s="21" t="n">
        <v>2</v>
      </c>
      <c r="L215" s="14" t="n">
        <f aca="false">MAX(0,F215-E215)</f>
        <v>0</v>
      </c>
      <c r="M215" s="14" t="n">
        <f aca="false">IF(L215&lt;=Assumptions!$B$5,1,0)</f>
        <v>1</v>
      </c>
      <c r="N215" s="14" t="n">
        <f aca="false">IF(H215&gt;=G215,1,0)</f>
        <v>0</v>
      </c>
      <c r="O215" s="14" t="n">
        <f aca="false">M215*N215</f>
        <v>0</v>
      </c>
      <c r="P215" s="15" t="n">
        <f aca="false">L215*Assumptions!$B$6</f>
        <v>0</v>
      </c>
      <c r="Q215" s="31" t="n">
        <f aca="false">IF(I215=0,0,J215/I215)</f>
        <v>152.5</v>
      </c>
      <c r="R215" s="18" t="n">
        <f aca="false">IF(H215=0,0,K215/H215)</f>
        <v>0.00496277915632754</v>
      </c>
      <c r="S215" s="14" t="n">
        <f aca="false">MONTH(D215)</f>
        <v>5</v>
      </c>
    </row>
    <row r="216" customFormat="false" ht="15" hidden="false" customHeight="false" outlineLevel="0" collapsed="false">
      <c r="A216" s="21" t="s">
        <v>312</v>
      </c>
      <c r="B216" s="21" t="s">
        <v>48</v>
      </c>
      <c r="C216" s="21" t="s">
        <v>56</v>
      </c>
      <c r="D216" s="29" t="n">
        <v>46072</v>
      </c>
      <c r="E216" s="29" t="n">
        <v>46077</v>
      </c>
      <c r="F216" s="29" t="n">
        <v>46076</v>
      </c>
      <c r="G216" s="21" t="n">
        <v>350</v>
      </c>
      <c r="H216" s="21" t="n">
        <v>350</v>
      </c>
      <c r="I216" s="21" t="n">
        <v>161</v>
      </c>
      <c r="J216" s="30" t="n">
        <v>19383</v>
      </c>
      <c r="K216" s="21" t="n">
        <v>17</v>
      </c>
      <c r="L216" s="14" t="n">
        <f aca="false">MAX(0,F216-E216)</f>
        <v>0</v>
      </c>
      <c r="M216" s="14" t="n">
        <f aca="false">IF(L216&lt;=Assumptions!$B$5,1,0)</f>
        <v>1</v>
      </c>
      <c r="N216" s="14" t="n">
        <f aca="false">IF(H216&gt;=G216,1,0)</f>
        <v>1</v>
      </c>
      <c r="O216" s="14" t="n">
        <f aca="false">M216*N216</f>
        <v>1</v>
      </c>
      <c r="P216" s="15" t="n">
        <f aca="false">L216*Assumptions!$B$6</f>
        <v>0</v>
      </c>
      <c r="Q216" s="31" t="n">
        <f aca="false">IF(I216=0,0,J216/I216)</f>
        <v>120.391304347826</v>
      </c>
      <c r="R216" s="18" t="n">
        <f aca="false">IF(H216=0,0,K216/H216)</f>
        <v>0.0485714285714286</v>
      </c>
      <c r="S216" s="14" t="n">
        <f aca="false">MONTH(D216)</f>
        <v>2</v>
      </c>
    </row>
    <row r="217" customFormat="false" ht="15" hidden="false" customHeight="false" outlineLevel="0" collapsed="false">
      <c r="A217" s="21" t="s">
        <v>313</v>
      </c>
      <c r="B217" s="21" t="s">
        <v>50</v>
      </c>
      <c r="C217" s="21" t="s">
        <v>56</v>
      </c>
      <c r="D217" s="29" t="n">
        <v>46151</v>
      </c>
      <c r="E217" s="29" t="n">
        <v>46160</v>
      </c>
      <c r="F217" s="29" t="n">
        <v>46160</v>
      </c>
      <c r="G217" s="21" t="n">
        <v>550</v>
      </c>
      <c r="H217" s="21" t="n">
        <v>550</v>
      </c>
      <c r="I217" s="21" t="n">
        <v>154</v>
      </c>
      <c r="J217" s="30" t="n">
        <v>16094</v>
      </c>
      <c r="K217" s="21" t="n">
        <v>5</v>
      </c>
      <c r="L217" s="14" t="n">
        <f aca="false">MAX(0,F217-E217)</f>
        <v>0</v>
      </c>
      <c r="M217" s="14" t="n">
        <f aca="false">IF(L217&lt;=Assumptions!$B$5,1,0)</f>
        <v>1</v>
      </c>
      <c r="N217" s="14" t="n">
        <f aca="false">IF(H217&gt;=G217,1,0)</f>
        <v>1</v>
      </c>
      <c r="O217" s="14" t="n">
        <f aca="false">M217*N217</f>
        <v>1</v>
      </c>
      <c r="P217" s="15" t="n">
        <f aca="false">L217*Assumptions!$B$6</f>
        <v>0</v>
      </c>
      <c r="Q217" s="31" t="n">
        <f aca="false">IF(I217=0,0,J217/I217)</f>
        <v>104.506493506494</v>
      </c>
      <c r="R217" s="18" t="n">
        <f aca="false">IF(H217=0,0,K217/H217)</f>
        <v>0.00909090909090909</v>
      </c>
      <c r="S217" s="14" t="n">
        <f aca="false">MONTH(D217)</f>
        <v>5</v>
      </c>
    </row>
    <row r="218" customFormat="false" ht="15" hidden="false" customHeight="false" outlineLevel="0" collapsed="false">
      <c r="A218" s="21" t="s">
        <v>314</v>
      </c>
      <c r="B218" s="21" t="s">
        <v>50</v>
      </c>
      <c r="C218" s="21" t="s">
        <v>55</v>
      </c>
      <c r="D218" s="29" t="n">
        <v>46179</v>
      </c>
      <c r="E218" s="29" t="n">
        <v>46189</v>
      </c>
      <c r="F218" s="29" t="n">
        <v>46188</v>
      </c>
      <c r="G218" s="21" t="n">
        <v>570</v>
      </c>
      <c r="H218" s="21" t="n">
        <v>570</v>
      </c>
      <c r="I218" s="21" t="n">
        <v>316</v>
      </c>
      <c r="J218" s="30" t="n">
        <v>25223</v>
      </c>
      <c r="K218" s="21" t="n">
        <v>15</v>
      </c>
      <c r="L218" s="14" t="n">
        <f aca="false">MAX(0,F218-E218)</f>
        <v>0</v>
      </c>
      <c r="M218" s="14" t="n">
        <f aca="false">IF(L218&lt;=Assumptions!$B$5,1,0)</f>
        <v>1</v>
      </c>
      <c r="N218" s="14" t="n">
        <f aca="false">IF(H218&gt;=G218,1,0)</f>
        <v>1</v>
      </c>
      <c r="O218" s="14" t="n">
        <f aca="false">M218*N218</f>
        <v>1</v>
      </c>
      <c r="P218" s="15" t="n">
        <f aca="false">L218*Assumptions!$B$6</f>
        <v>0</v>
      </c>
      <c r="Q218" s="31" t="n">
        <f aca="false">IF(I218=0,0,J218/I218)</f>
        <v>79.8196202531646</v>
      </c>
      <c r="R218" s="18" t="n">
        <f aca="false">IF(H218=0,0,K218/H218)</f>
        <v>0.0263157894736842</v>
      </c>
      <c r="S218" s="14" t="n">
        <f aca="false">MONTH(D218)</f>
        <v>6</v>
      </c>
    </row>
    <row r="219" customFormat="false" ht="15" hidden="false" customHeight="false" outlineLevel="0" collapsed="false">
      <c r="A219" s="21" t="s">
        <v>315</v>
      </c>
      <c r="B219" s="21" t="s">
        <v>45</v>
      </c>
      <c r="C219" s="21" t="s">
        <v>55</v>
      </c>
      <c r="D219" s="29" t="n">
        <v>46171</v>
      </c>
      <c r="E219" s="29" t="n">
        <v>46176</v>
      </c>
      <c r="F219" s="29" t="n">
        <v>46176</v>
      </c>
      <c r="G219" s="21" t="n">
        <v>740</v>
      </c>
      <c r="H219" s="21" t="n">
        <v>740</v>
      </c>
      <c r="I219" s="21" t="n">
        <v>314</v>
      </c>
      <c r="J219" s="30" t="n">
        <v>30503</v>
      </c>
      <c r="K219" s="21" t="n">
        <v>0</v>
      </c>
      <c r="L219" s="14" t="n">
        <f aca="false">MAX(0,F219-E219)</f>
        <v>0</v>
      </c>
      <c r="M219" s="14" t="n">
        <f aca="false">IF(L219&lt;=Assumptions!$B$5,1,0)</f>
        <v>1</v>
      </c>
      <c r="N219" s="14" t="n">
        <f aca="false">IF(H219&gt;=G219,1,0)</f>
        <v>1</v>
      </c>
      <c r="O219" s="14" t="n">
        <f aca="false">M219*N219</f>
        <v>1</v>
      </c>
      <c r="P219" s="15" t="n">
        <f aca="false">L219*Assumptions!$B$6</f>
        <v>0</v>
      </c>
      <c r="Q219" s="31" t="n">
        <f aca="false">IF(I219=0,0,J219/I219)</f>
        <v>97.1433121019108</v>
      </c>
      <c r="R219" s="18" t="n">
        <f aca="false">IF(H219=0,0,K219/H219)</f>
        <v>0</v>
      </c>
      <c r="S219" s="14" t="n">
        <f aca="false">MONTH(D219)</f>
        <v>5</v>
      </c>
    </row>
    <row r="220" customFormat="false" ht="15" hidden="false" customHeight="false" outlineLevel="0" collapsed="false">
      <c r="A220" s="21" t="s">
        <v>316</v>
      </c>
      <c r="B220" s="21" t="s">
        <v>48</v>
      </c>
      <c r="C220" s="21" t="s">
        <v>54</v>
      </c>
      <c r="D220" s="29" t="n">
        <v>46168</v>
      </c>
      <c r="E220" s="29" t="n">
        <v>46173</v>
      </c>
      <c r="F220" s="29" t="n">
        <v>46172</v>
      </c>
      <c r="G220" s="21" t="n">
        <v>640</v>
      </c>
      <c r="H220" s="21" t="n">
        <v>640</v>
      </c>
      <c r="I220" s="21" t="n">
        <v>452</v>
      </c>
      <c r="J220" s="30" t="n">
        <v>45442</v>
      </c>
      <c r="K220" s="21" t="n">
        <v>29</v>
      </c>
      <c r="L220" s="14" t="n">
        <f aca="false">MAX(0,F220-E220)</f>
        <v>0</v>
      </c>
      <c r="M220" s="14" t="n">
        <f aca="false">IF(L220&lt;=Assumptions!$B$5,1,0)</f>
        <v>1</v>
      </c>
      <c r="N220" s="14" t="n">
        <f aca="false">IF(H220&gt;=G220,1,0)</f>
        <v>1</v>
      </c>
      <c r="O220" s="14" t="n">
        <f aca="false">M220*N220</f>
        <v>1</v>
      </c>
      <c r="P220" s="15" t="n">
        <f aca="false">L220*Assumptions!$B$6</f>
        <v>0</v>
      </c>
      <c r="Q220" s="31" t="n">
        <f aca="false">IF(I220=0,0,J220/I220)</f>
        <v>100.535398230088</v>
      </c>
      <c r="R220" s="18" t="n">
        <f aca="false">IF(H220=0,0,K220/H220)</f>
        <v>0.0453125</v>
      </c>
      <c r="S220" s="14" t="n">
        <f aca="false">MONTH(D220)</f>
        <v>5</v>
      </c>
    </row>
    <row r="221" customFormat="false" ht="15" hidden="false" customHeight="false" outlineLevel="0" collapsed="false">
      <c r="A221" s="21" t="s">
        <v>317</v>
      </c>
      <c r="B221" s="21" t="s">
        <v>50</v>
      </c>
      <c r="C221" s="21" t="s">
        <v>53</v>
      </c>
      <c r="D221" s="29" t="n">
        <v>46261</v>
      </c>
      <c r="E221" s="29" t="n">
        <v>46267</v>
      </c>
      <c r="F221" s="29" t="n">
        <v>46266</v>
      </c>
      <c r="G221" s="21" t="n">
        <v>700</v>
      </c>
      <c r="H221" s="21" t="n">
        <v>700</v>
      </c>
      <c r="I221" s="21" t="n">
        <v>32</v>
      </c>
      <c r="J221" s="30" t="n">
        <v>7291</v>
      </c>
      <c r="K221" s="21" t="n">
        <v>6</v>
      </c>
      <c r="L221" s="14" t="n">
        <f aca="false">MAX(0,F221-E221)</f>
        <v>0</v>
      </c>
      <c r="M221" s="14" t="n">
        <f aca="false">IF(L221&lt;=Assumptions!$B$5,1,0)</f>
        <v>1</v>
      </c>
      <c r="N221" s="14" t="n">
        <f aca="false">IF(H221&gt;=G221,1,0)</f>
        <v>1</v>
      </c>
      <c r="O221" s="14" t="n">
        <f aca="false">M221*N221</f>
        <v>1</v>
      </c>
      <c r="P221" s="15" t="n">
        <f aca="false">L221*Assumptions!$B$6</f>
        <v>0</v>
      </c>
      <c r="Q221" s="31" t="n">
        <f aca="false">IF(I221=0,0,J221/I221)</f>
        <v>227.84375</v>
      </c>
      <c r="R221" s="18" t="n">
        <f aca="false">IF(H221=0,0,K221/H221)</f>
        <v>0.00857142857142857</v>
      </c>
      <c r="S221" s="14" t="n">
        <f aca="false">MONTH(D221)</f>
        <v>8</v>
      </c>
    </row>
    <row r="222" customFormat="false" ht="15" hidden="false" customHeight="false" outlineLevel="0" collapsed="false">
      <c r="A222" s="21" t="s">
        <v>318</v>
      </c>
      <c r="B222" s="21" t="s">
        <v>50</v>
      </c>
      <c r="C222" s="21" t="s">
        <v>53</v>
      </c>
      <c r="D222" s="29" t="n">
        <v>46037</v>
      </c>
      <c r="E222" s="29" t="n">
        <v>46041</v>
      </c>
      <c r="F222" s="29" t="n">
        <v>46041</v>
      </c>
      <c r="G222" s="21" t="n">
        <v>210</v>
      </c>
      <c r="H222" s="21" t="n">
        <v>210</v>
      </c>
      <c r="I222" s="21" t="n">
        <v>24</v>
      </c>
      <c r="J222" s="30" t="n">
        <v>3261</v>
      </c>
      <c r="K222" s="21" t="n">
        <v>2</v>
      </c>
      <c r="L222" s="14" t="n">
        <f aca="false">MAX(0,F222-E222)</f>
        <v>0</v>
      </c>
      <c r="M222" s="14" t="n">
        <f aca="false">IF(L222&lt;=Assumptions!$B$5,1,0)</f>
        <v>1</v>
      </c>
      <c r="N222" s="14" t="n">
        <f aca="false">IF(H222&gt;=G222,1,0)</f>
        <v>1</v>
      </c>
      <c r="O222" s="14" t="n">
        <f aca="false">M222*N222</f>
        <v>1</v>
      </c>
      <c r="P222" s="15" t="n">
        <f aca="false">L222*Assumptions!$B$6</f>
        <v>0</v>
      </c>
      <c r="Q222" s="31" t="n">
        <f aca="false">IF(I222=0,0,J222/I222)</f>
        <v>135.875</v>
      </c>
      <c r="R222" s="18" t="n">
        <f aca="false">IF(H222=0,0,K222/H222)</f>
        <v>0.00952380952380953</v>
      </c>
      <c r="S222" s="14" t="n">
        <f aca="false">MONTH(D222)</f>
        <v>1</v>
      </c>
    </row>
    <row r="223" customFormat="false" ht="15" hidden="false" customHeight="false" outlineLevel="0" collapsed="false">
      <c r="A223" s="21" t="s">
        <v>319</v>
      </c>
      <c r="B223" s="21" t="s">
        <v>45</v>
      </c>
      <c r="C223" s="21" t="s">
        <v>53</v>
      </c>
      <c r="D223" s="29" t="n">
        <v>46075</v>
      </c>
      <c r="E223" s="29" t="n">
        <v>46085</v>
      </c>
      <c r="F223" s="29" t="n">
        <v>46085</v>
      </c>
      <c r="G223" s="21" t="n">
        <v>520</v>
      </c>
      <c r="H223" s="21" t="n">
        <v>520</v>
      </c>
      <c r="I223" s="21" t="n">
        <v>51</v>
      </c>
      <c r="J223" s="30" t="n">
        <v>6683</v>
      </c>
      <c r="K223" s="21" t="n">
        <v>9</v>
      </c>
      <c r="L223" s="14" t="n">
        <f aca="false">MAX(0,F223-E223)</f>
        <v>0</v>
      </c>
      <c r="M223" s="14" t="n">
        <f aca="false">IF(L223&lt;=Assumptions!$B$5,1,0)</f>
        <v>1</v>
      </c>
      <c r="N223" s="14" t="n">
        <f aca="false">IF(H223&gt;=G223,1,0)</f>
        <v>1</v>
      </c>
      <c r="O223" s="14" t="n">
        <f aca="false">M223*N223</f>
        <v>1</v>
      </c>
      <c r="P223" s="15" t="n">
        <f aca="false">L223*Assumptions!$B$6</f>
        <v>0</v>
      </c>
      <c r="Q223" s="31" t="n">
        <f aca="false">IF(I223=0,0,J223/I223)</f>
        <v>131.039215686275</v>
      </c>
      <c r="R223" s="18" t="n">
        <f aca="false">IF(H223=0,0,K223/H223)</f>
        <v>0.0173076923076923</v>
      </c>
      <c r="S223" s="14" t="n">
        <f aca="false">MONTH(D223)</f>
        <v>2</v>
      </c>
    </row>
    <row r="224" customFormat="false" ht="15" hidden="false" customHeight="false" outlineLevel="0" collapsed="false">
      <c r="A224" s="21" t="s">
        <v>320</v>
      </c>
      <c r="B224" s="21" t="s">
        <v>46</v>
      </c>
      <c r="C224" s="21" t="s">
        <v>56</v>
      </c>
      <c r="D224" s="29" t="n">
        <v>46157</v>
      </c>
      <c r="E224" s="29" t="n">
        <v>46160</v>
      </c>
      <c r="F224" s="29" t="n">
        <v>46160</v>
      </c>
      <c r="G224" s="21" t="n">
        <v>250</v>
      </c>
      <c r="H224" s="21" t="n">
        <v>250</v>
      </c>
      <c r="I224" s="21" t="n">
        <v>151</v>
      </c>
      <c r="J224" s="30" t="n">
        <v>15999</v>
      </c>
      <c r="K224" s="21" t="n">
        <v>2</v>
      </c>
      <c r="L224" s="14" t="n">
        <f aca="false">MAX(0,F224-E224)</f>
        <v>0</v>
      </c>
      <c r="M224" s="14" t="n">
        <f aca="false">IF(L224&lt;=Assumptions!$B$5,1,0)</f>
        <v>1</v>
      </c>
      <c r="N224" s="14" t="n">
        <f aca="false">IF(H224&gt;=G224,1,0)</f>
        <v>1</v>
      </c>
      <c r="O224" s="14" t="n">
        <f aca="false">M224*N224</f>
        <v>1</v>
      </c>
      <c r="P224" s="15" t="n">
        <f aca="false">L224*Assumptions!$B$6</f>
        <v>0</v>
      </c>
      <c r="Q224" s="31" t="n">
        <f aca="false">IF(I224=0,0,J224/I224)</f>
        <v>105.953642384106</v>
      </c>
      <c r="R224" s="18" t="n">
        <f aca="false">IF(H224=0,0,K224/H224)</f>
        <v>0.008</v>
      </c>
      <c r="S224" s="14" t="n">
        <f aca="false">MONTH(D224)</f>
        <v>5</v>
      </c>
    </row>
    <row r="225" customFormat="false" ht="15" hidden="false" customHeight="false" outlineLevel="0" collapsed="false">
      <c r="A225" s="21" t="s">
        <v>321</v>
      </c>
      <c r="B225" s="21" t="s">
        <v>46</v>
      </c>
      <c r="C225" s="21" t="s">
        <v>57</v>
      </c>
      <c r="D225" s="29" t="n">
        <v>46214</v>
      </c>
      <c r="E225" s="29" t="n">
        <v>46222</v>
      </c>
      <c r="F225" s="29" t="n">
        <v>46221</v>
      </c>
      <c r="G225" s="21" t="n">
        <v>890</v>
      </c>
      <c r="H225" s="21" t="n">
        <v>890</v>
      </c>
      <c r="I225" s="21" t="n">
        <v>326</v>
      </c>
      <c r="J225" s="30" t="n">
        <v>25864</v>
      </c>
      <c r="K225" s="21" t="n">
        <v>35</v>
      </c>
      <c r="L225" s="14" t="n">
        <f aca="false">MAX(0,F225-E225)</f>
        <v>0</v>
      </c>
      <c r="M225" s="14" t="n">
        <f aca="false">IF(L225&lt;=Assumptions!$B$5,1,0)</f>
        <v>1</v>
      </c>
      <c r="N225" s="14" t="n">
        <f aca="false">IF(H225&gt;=G225,1,0)</f>
        <v>1</v>
      </c>
      <c r="O225" s="14" t="n">
        <f aca="false">M225*N225</f>
        <v>1</v>
      </c>
      <c r="P225" s="15" t="n">
        <f aca="false">L225*Assumptions!$B$6</f>
        <v>0</v>
      </c>
      <c r="Q225" s="31" t="n">
        <f aca="false">IF(I225=0,0,J225/I225)</f>
        <v>79.3374233128834</v>
      </c>
      <c r="R225" s="18" t="n">
        <f aca="false">IF(H225=0,0,K225/H225)</f>
        <v>0.0393258426966292</v>
      </c>
      <c r="S225" s="14" t="n">
        <f aca="false">MONTH(D225)</f>
        <v>7</v>
      </c>
    </row>
    <row r="226" customFormat="false" ht="15" hidden="false" customHeight="false" outlineLevel="0" collapsed="false">
      <c r="A226" s="21" t="s">
        <v>322</v>
      </c>
      <c r="B226" s="21" t="s">
        <v>47</v>
      </c>
      <c r="C226" s="21" t="s">
        <v>53</v>
      </c>
      <c r="D226" s="29" t="n">
        <v>46242</v>
      </c>
      <c r="E226" s="29" t="n">
        <v>46249</v>
      </c>
      <c r="F226" s="29" t="n">
        <v>46252</v>
      </c>
      <c r="G226" s="21" t="n">
        <v>190</v>
      </c>
      <c r="H226" s="21" t="n">
        <v>190</v>
      </c>
      <c r="I226" s="21" t="n">
        <v>42</v>
      </c>
      <c r="J226" s="30" t="n">
        <v>4986</v>
      </c>
      <c r="K226" s="21" t="n">
        <v>2</v>
      </c>
      <c r="L226" s="14" t="n">
        <f aca="false">MAX(0,F226-E226)</f>
        <v>3</v>
      </c>
      <c r="M226" s="14" t="n">
        <f aca="false">IF(L226&lt;=Assumptions!$B$5,1,0)</f>
        <v>0</v>
      </c>
      <c r="N226" s="14" t="n">
        <f aca="false">IF(H226&gt;=G226,1,0)</f>
        <v>1</v>
      </c>
      <c r="O226" s="14" t="n">
        <f aca="false">M226*N226</f>
        <v>0</v>
      </c>
      <c r="P226" s="15" t="n">
        <f aca="false">L226*Assumptions!$B$6</f>
        <v>4500</v>
      </c>
      <c r="Q226" s="31" t="n">
        <f aca="false">IF(I226=0,0,J226/I226)</f>
        <v>118.714285714286</v>
      </c>
      <c r="R226" s="18" t="n">
        <f aca="false">IF(H226=0,0,K226/H226)</f>
        <v>0.0105263157894737</v>
      </c>
      <c r="S226" s="14" t="n">
        <f aca="false">MONTH(D226)</f>
        <v>8</v>
      </c>
    </row>
    <row r="227" customFormat="false" ht="15" hidden="false" customHeight="false" outlineLevel="0" collapsed="false">
      <c r="A227" s="21" t="s">
        <v>323</v>
      </c>
      <c r="B227" s="21" t="s">
        <v>50</v>
      </c>
      <c r="C227" s="21" t="s">
        <v>57</v>
      </c>
      <c r="D227" s="29" t="n">
        <v>46201</v>
      </c>
      <c r="E227" s="29" t="n">
        <v>46209</v>
      </c>
      <c r="F227" s="29" t="n">
        <v>46209</v>
      </c>
      <c r="G227" s="21" t="n">
        <v>560</v>
      </c>
      <c r="H227" s="21" t="n">
        <v>560</v>
      </c>
      <c r="I227" s="21" t="n">
        <v>277</v>
      </c>
      <c r="J227" s="30" t="n">
        <v>26287</v>
      </c>
      <c r="K227" s="21" t="n">
        <v>8</v>
      </c>
      <c r="L227" s="14" t="n">
        <f aca="false">MAX(0,F227-E227)</f>
        <v>0</v>
      </c>
      <c r="M227" s="14" t="n">
        <f aca="false">IF(L227&lt;=Assumptions!$B$5,1,0)</f>
        <v>1</v>
      </c>
      <c r="N227" s="14" t="n">
        <f aca="false">IF(H227&gt;=G227,1,0)</f>
        <v>1</v>
      </c>
      <c r="O227" s="14" t="n">
        <f aca="false">M227*N227</f>
        <v>1</v>
      </c>
      <c r="P227" s="15" t="n">
        <f aca="false">L227*Assumptions!$B$6</f>
        <v>0</v>
      </c>
      <c r="Q227" s="31" t="n">
        <f aca="false">IF(I227=0,0,J227/I227)</f>
        <v>94.898916967509</v>
      </c>
      <c r="R227" s="18" t="n">
        <f aca="false">IF(H227=0,0,K227/H227)</f>
        <v>0.0142857142857143</v>
      </c>
      <c r="S227" s="14" t="n">
        <f aca="false">MONTH(D227)</f>
        <v>6</v>
      </c>
    </row>
    <row r="228" customFormat="false" ht="15" hidden="false" customHeight="false" outlineLevel="0" collapsed="false">
      <c r="A228" s="21" t="s">
        <v>324</v>
      </c>
      <c r="B228" s="21" t="s">
        <v>46</v>
      </c>
      <c r="C228" s="21" t="s">
        <v>55</v>
      </c>
      <c r="D228" s="29" t="n">
        <v>46088</v>
      </c>
      <c r="E228" s="29" t="n">
        <v>46095</v>
      </c>
      <c r="F228" s="29" t="n">
        <v>46095</v>
      </c>
      <c r="G228" s="21" t="n">
        <v>610</v>
      </c>
      <c r="H228" s="21" t="n">
        <v>610</v>
      </c>
      <c r="I228" s="21" t="n">
        <v>328</v>
      </c>
      <c r="J228" s="30" t="n">
        <v>30801</v>
      </c>
      <c r="K228" s="21" t="n">
        <v>10</v>
      </c>
      <c r="L228" s="14" t="n">
        <f aca="false">MAX(0,F228-E228)</f>
        <v>0</v>
      </c>
      <c r="M228" s="14" t="n">
        <f aca="false">IF(L228&lt;=Assumptions!$B$5,1,0)</f>
        <v>1</v>
      </c>
      <c r="N228" s="14" t="n">
        <f aca="false">IF(H228&gt;=G228,1,0)</f>
        <v>1</v>
      </c>
      <c r="O228" s="14" t="n">
        <f aca="false">M228*N228</f>
        <v>1</v>
      </c>
      <c r="P228" s="15" t="n">
        <f aca="false">L228*Assumptions!$B$6</f>
        <v>0</v>
      </c>
      <c r="Q228" s="31" t="n">
        <f aca="false">IF(I228=0,0,J228/I228)</f>
        <v>93.9054878048781</v>
      </c>
      <c r="R228" s="18" t="n">
        <f aca="false">IF(H228=0,0,K228/H228)</f>
        <v>0.0163934426229508</v>
      </c>
      <c r="S228" s="14" t="n">
        <f aca="false">MONTH(D228)</f>
        <v>3</v>
      </c>
    </row>
    <row r="229" customFormat="false" ht="15" hidden="false" customHeight="false" outlineLevel="0" collapsed="false">
      <c r="A229" s="21" t="s">
        <v>325</v>
      </c>
      <c r="B229" s="21" t="s">
        <v>45</v>
      </c>
      <c r="C229" s="21" t="s">
        <v>56</v>
      </c>
      <c r="D229" s="29" t="n">
        <v>46238</v>
      </c>
      <c r="E229" s="29" t="n">
        <v>46241</v>
      </c>
      <c r="F229" s="29" t="n">
        <v>46241</v>
      </c>
      <c r="G229" s="21" t="n">
        <v>870</v>
      </c>
      <c r="H229" s="21" t="n">
        <v>870</v>
      </c>
      <c r="I229" s="21" t="n">
        <v>169</v>
      </c>
      <c r="J229" s="30" t="n">
        <v>18440</v>
      </c>
      <c r="K229" s="21" t="n">
        <v>10</v>
      </c>
      <c r="L229" s="14" t="n">
        <f aca="false">MAX(0,F229-E229)</f>
        <v>0</v>
      </c>
      <c r="M229" s="14" t="n">
        <f aca="false">IF(L229&lt;=Assumptions!$B$5,1,0)</f>
        <v>1</v>
      </c>
      <c r="N229" s="14" t="n">
        <f aca="false">IF(H229&gt;=G229,1,0)</f>
        <v>1</v>
      </c>
      <c r="O229" s="14" t="n">
        <f aca="false">M229*N229</f>
        <v>1</v>
      </c>
      <c r="P229" s="15" t="n">
        <f aca="false">L229*Assumptions!$B$6</f>
        <v>0</v>
      </c>
      <c r="Q229" s="31" t="n">
        <f aca="false">IF(I229=0,0,J229/I229)</f>
        <v>109.112426035503</v>
      </c>
      <c r="R229" s="18" t="n">
        <f aca="false">IF(H229=0,0,K229/H229)</f>
        <v>0.0114942528735632</v>
      </c>
      <c r="S229" s="14" t="n">
        <f aca="false">MONTH(D229)</f>
        <v>8</v>
      </c>
    </row>
    <row r="230" customFormat="false" ht="15" hidden="false" customHeight="false" outlineLevel="0" collapsed="false">
      <c r="A230" s="21" t="s">
        <v>326</v>
      </c>
      <c r="B230" s="21" t="s">
        <v>49</v>
      </c>
      <c r="C230" s="21" t="s">
        <v>57</v>
      </c>
      <c r="D230" s="29" t="n">
        <v>46214</v>
      </c>
      <c r="E230" s="29" t="n">
        <v>46219</v>
      </c>
      <c r="F230" s="29" t="n">
        <v>46219</v>
      </c>
      <c r="G230" s="21" t="n">
        <v>640</v>
      </c>
      <c r="H230" s="21" t="n">
        <v>640</v>
      </c>
      <c r="I230" s="21" t="n">
        <v>255</v>
      </c>
      <c r="J230" s="30" t="n">
        <v>18193</v>
      </c>
      <c r="K230" s="21" t="n">
        <v>3</v>
      </c>
      <c r="L230" s="14" t="n">
        <f aca="false">MAX(0,F230-E230)</f>
        <v>0</v>
      </c>
      <c r="M230" s="14" t="n">
        <f aca="false">IF(L230&lt;=Assumptions!$B$5,1,0)</f>
        <v>1</v>
      </c>
      <c r="N230" s="14" t="n">
        <f aca="false">IF(H230&gt;=G230,1,0)</f>
        <v>1</v>
      </c>
      <c r="O230" s="14" t="n">
        <f aca="false">M230*N230</f>
        <v>1</v>
      </c>
      <c r="P230" s="15" t="n">
        <f aca="false">L230*Assumptions!$B$6</f>
        <v>0</v>
      </c>
      <c r="Q230" s="31" t="n">
        <f aca="false">IF(I230=0,0,J230/I230)</f>
        <v>71.3450980392157</v>
      </c>
      <c r="R230" s="18" t="n">
        <f aca="false">IF(H230=0,0,K230/H230)</f>
        <v>0.0046875</v>
      </c>
      <c r="S230" s="14" t="n">
        <f aca="false">MONTH(D230)</f>
        <v>7</v>
      </c>
    </row>
    <row r="231" customFormat="false" ht="15" hidden="false" customHeight="false" outlineLevel="0" collapsed="false">
      <c r="A231" s="21" t="s">
        <v>327</v>
      </c>
      <c r="B231" s="21" t="s">
        <v>48</v>
      </c>
      <c r="C231" s="21" t="s">
        <v>58</v>
      </c>
      <c r="D231" s="29" t="n">
        <v>46120</v>
      </c>
      <c r="E231" s="29" t="n">
        <v>46123</v>
      </c>
      <c r="F231" s="29" t="n">
        <v>46123</v>
      </c>
      <c r="G231" s="21" t="n">
        <v>320</v>
      </c>
      <c r="H231" s="21" t="n">
        <v>320</v>
      </c>
      <c r="I231" s="21" t="n">
        <v>220</v>
      </c>
      <c r="J231" s="30" t="n">
        <v>17340</v>
      </c>
      <c r="K231" s="21" t="n">
        <v>18</v>
      </c>
      <c r="L231" s="14" t="n">
        <f aca="false">MAX(0,F231-E231)</f>
        <v>0</v>
      </c>
      <c r="M231" s="14" t="n">
        <f aca="false">IF(L231&lt;=Assumptions!$B$5,1,0)</f>
        <v>1</v>
      </c>
      <c r="N231" s="14" t="n">
        <f aca="false">IF(H231&gt;=G231,1,0)</f>
        <v>1</v>
      </c>
      <c r="O231" s="14" t="n">
        <f aca="false">M231*N231</f>
        <v>1</v>
      </c>
      <c r="P231" s="15" t="n">
        <f aca="false">L231*Assumptions!$B$6</f>
        <v>0</v>
      </c>
      <c r="Q231" s="31" t="n">
        <f aca="false">IF(I231=0,0,J231/I231)</f>
        <v>78.8181818181818</v>
      </c>
      <c r="R231" s="18" t="n">
        <f aca="false">IF(H231=0,0,K231/H231)</f>
        <v>0.05625</v>
      </c>
      <c r="S231" s="14" t="n">
        <f aca="false">MONTH(D231)</f>
        <v>4</v>
      </c>
    </row>
    <row r="232" customFormat="false" ht="15" hidden="false" customHeight="false" outlineLevel="0" collapsed="false">
      <c r="A232" s="21" t="s">
        <v>328</v>
      </c>
      <c r="B232" s="21" t="s">
        <v>48</v>
      </c>
      <c r="C232" s="21" t="s">
        <v>53</v>
      </c>
      <c r="D232" s="29" t="n">
        <v>46083</v>
      </c>
      <c r="E232" s="29" t="n">
        <v>46089</v>
      </c>
      <c r="F232" s="29" t="n">
        <v>46089</v>
      </c>
      <c r="G232" s="21" t="n">
        <v>830</v>
      </c>
      <c r="H232" s="21" t="n">
        <v>830</v>
      </c>
      <c r="I232" s="21" t="n">
        <v>26</v>
      </c>
      <c r="J232" s="30" t="n">
        <v>4044</v>
      </c>
      <c r="K232" s="21" t="n">
        <v>44</v>
      </c>
      <c r="L232" s="14" t="n">
        <f aca="false">MAX(0,F232-E232)</f>
        <v>0</v>
      </c>
      <c r="M232" s="14" t="n">
        <f aca="false">IF(L232&lt;=Assumptions!$B$5,1,0)</f>
        <v>1</v>
      </c>
      <c r="N232" s="14" t="n">
        <f aca="false">IF(H232&gt;=G232,1,0)</f>
        <v>1</v>
      </c>
      <c r="O232" s="14" t="n">
        <f aca="false">M232*N232</f>
        <v>1</v>
      </c>
      <c r="P232" s="15" t="n">
        <f aca="false">L232*Assumptions!$B$6</f>
        <v>0</v>
      </c>
      <c r="Q232" s="31" t="n">
        <f aca="false">IF(I232=0,0,J232/I232)</f>
        <v>155.538461538462</v>
      </c>
      <c r="R232" s="18" t="n">
        <f aca="false">IF(H232=0,0,K232/H232)</f>
        <v>0.0530120481927711</v>
      </c>
      <c r="S232" s="14" t="n">
        <f aca="false">MONTH(D232)</f>
        <v>3</v>
      </c>
    </row>
    <row r="233" customFormat="false" ht="15" hidden="false" customHeight="false" outlineLevel="0" collapsed="false">
      <c r="A233" s="21" t="s">
        <v>329</v>
      </c>
      <c r="B233" s="21" t="s">
        <v>47</v>
      </c>
      <c r="C233" s="21" t="s">
        <v>53</v>
      </c>
      <c r="D233" s="29" t="n">
        <v>46271</v>
      </c>
      <c r="E233" s="29" t="n">
        <v>46278</v>
      </c>
      <c r="F233" s="29" t="n">
        <v>46281</v>
      </c>
      <c r="G233" s="21" t="n">
        <v>850</v>
      </c>
      <c r="H233" s="21" t="n">
        <v>850</v>
      </c>
      <c r="I233" s="21" t="n">
        <v>39</v>
      </c>
      <c r="J233" s="30" t="n">
        <v>7596</v>
      </c>
      <c r="K233" s="21" t="n">
        <v>65</v>
      </c>
      <c r="L233" s="14" t="n">
        <f aca="false">MAX(0,F233-E233)</f>
        <v>3</v>
      </c>
      <c r="M233" s="14" t="n">
        <f aca="false">IF(L233&lt;=Assumptions!$B$5,1,0)</f>
        <v>0</v>
      </c>
      <c r="N233" s="14" t="n">
        <f aca="false">IF(H233&gt;=G233,1,0)</f>
        <v>1</v>
      </c>
      <c r="O233" s="14" t="n">
        <f aca="false">M233*N233</f>
        <v>0</v>
      </c>
      <c r="P233" s="15" t="n">
        <f aca="false">L233*Assumptions!$B$6</f>
        <v>4500</v>
      </c>
      <c r="Q233" s="31" t="n">
        <f aca="false">IF(I233=0,0,J233/I233)</f>
        <v>194.769230769231</v>
      </c>
      <c r="R233" s="18" t="n">
        <f aca="false">IF(H233=0,0,K233/H233)</f>
        <v>0.0764705882352941</v>
      </c>
      <c r="S233" s="14" t="n">
        <f aca="false">MONTH(D233)</f>
        <v>9</v>
      </c>
    </row>
    <row r="234" customFormat="false" ht="15" hidden="false" customHeight="false" outlineLevel="0" collapsed="false">
      <c r="A234" s="21" t="s">
        <v>330</v>
      </c>
      <c r="B234" s="21" t="s">
        <v>49</v>
      </c>
      <c r="C234" s="21" t="s">
        <v>56</v>
      </c>
      <c r="D234" s="29" t="n">
        <v>46222</v>
      </c>
      <c r="E234" s="29" t="n">
        <v>46230</v>
      </c>
      <c r="F234" s="29" t="n">
        <v>46229</v>
      </c>
      <c r="G234" s="21" t="n">
        <v>950</v>
      </c>
      <c r="H234" s="21" t="n">
        <v>950</v>
      </c>
      <c r="I234" s="21" t="n">
        <v>178</v>
      </c>
      <c r="J234" s="30" t="n">
        <v>15131</v>
      </c>
      <c r="K234" s="21" t="n">
        <v>10</v>
      </c>
      <c r="L234" s="14" t="n">
        <f aca="false">MAX(0,F234-E234)</f>
        <v>0</v>
      </c>
      <c r="M234" s="14" t="n">
        <f aca="false">IF(L234&lt;=Assumptions!$B$5,1,0)</f>
        <v>1</v>
      </c>
      <c r="N234" s="14" t="n">
        <f aca="false">IF(H234&gt;=G234,1,0)</f>
        <v>1</v>
      </c>
      <c r="O234" s="14" t="n">
        <f aca="false">M234*N234</f>
        <v>1</v>
      </c>
      <c r="P234" s="15" t="n">
        <f aca="false">L234*Assumptions!$B$6</f>
        <v>0</v>
      </c>
      <c r="Q234" s="31" t="n">
        <f aca="false">IF(I234=0,0,J234/I234)</f>
        <v>85.0056179775281</v>
      </c>
      <c r="R234" s="18" t="n">
        <f aca="false">IF(H234=0,0,K234/H234)</f>
        <v>0.0105263157894737</v>
      </c>
      <c r="S234" s="14" t="n">
        <f aca="false">MONTH(D234)</f>
        <v>7</v>
      </c>
    </row>
    <row r="235" customFormat="false" ht="15" hidden="false" customHeight="false" outlineLevel="0" collapsed="false">
      <c r="A235" s="21" t="s">
        <v>331</v>
      </c>
      <c r="B235" s="21" t="s">
        <v>50</v>
      </c>
      <c r="C235" s="21" t="s">
        <v>58</v>
      </c>
      <c r="D235" s="29" t="n">
        <v>46112</v>
      </c>
      <c r="E235" s="29" t="n">
        <v>46120</v>
      </c>
      <c r="F235" s="29" t="n">
        <v>46121</v>
      </c>
      <c r="G235" s="21" t="n">
        <v>200</v>
      </c>
      <c r="H235" s="21" t="n">
        <v>200</v>
      </c>
      <c r="I235" s="21" t="n">
        <v>222</v>
      </c>
      <c r="J235" s="30" t="n">
        <v>18860</v>
      </c>
      <c r="K235" s="21" t="n">
        <v>3</v>
      </c>
      <c r="L235" s="14" t="n">
        <f aca="false">MAX(0,F235-E235)</f>
        <v>1</v>
      </c>
      <c r="M235" s="14" t="n">
        <f aca="false">IF(L235&lt;=Assumptions!$B$5,1,0)</f>
        <v>0</v>
      </c>
      <c r="N235" s="14" t="n">
        <f aca="false">IF(H235&gt;=G235,1,0)</f>
        <v>1</v>
      </c>
      <c r="O235" s="14" t="n">
        <f aca="false">M235*N235</f>
        <v>0</v>
      </c>
      <c r="P235" s="15" t="n">
        <f aca="false">L235*Assumptions!$B$6</f>
        <v>1500</v>
      </c>
      <c r="Q235" s="31" t="n">
        <f aca="false">IF(I235=0,0,J235/I235)</f>
        <v>84.954954954955</v>
      </c>
      <c r="R235" s="18" t="n">
        <f aca="false">IF(H235=0,0,K235/H235)</f>
        <v>0.015</v>
      </c>
      <c r="S235" s="14" t="n">
        <f aca="false">MONTH(D235)</f>
        <v>3</v>
      </c>
    </row>
    <row r="236" customFormat="false" ht="15" hidden="false" customHeight="false" outlineLevel="0" collapsed="false">
      <c r="A236" s="21" t="s">
        <v>332</v>
      </c>
      <c r="B236" s="21" t="s">
        <v>49</v>
      </c>
      <c r="C236" s="21" t="s">
        <v>55</v>
      </c>
      <c r="D236" s="29" t="n">
        <v>46056</v>
      </c>
      <c r="E236" s="29" t="n">
        <v>46063</v>
      </c>
      <c r="F236" s="29" t="n">
        <v>46063</v>
      </c>
      <c r="G236" s="21" t="n">
        <v>610</v>
      </c>
      <c r="H236" s="21" t="n">
        <v>610</v>
      </c>
      <c r="I236" s="21" t="n">
        <v>282</v>
      </c>
      <c r="J236" s="30" t="n">
        <v>24729</v>
      </c>
      <c r="K236" s="21" t="n">
        <v>7</v>
      </c>
      <c r="L236" s="14" t="n">
        <f aca="false">MAX(0,F236-E236)</f>
        <v>0</v>
      </c>
      <c r="M236" s="14" t="n">
        <f aca="false">IF(L236&lt;=Assumptions!$B$5,1,0)</f>
        <v>1</v>
      </c>
      <c r="N236" s="14" t="n">
        <f aca="false">IF(H236&gt;=G236,1,0)</f>
        <v>1</v>
      </c>
      <c r="O236" s="14" t="n">
        <f aca="false">M236*N236</f>
        <v>1</v>
      </c>
      <c r="P236" s="15" t="n">
        <f aca="false">L236*Assumptions!$B$6</f>
        <v>0</v>
      </c>
      <c r="Q236" s="31" t="n">
        <f aca="false">IF(I236=0,0,J236/I236)</f>
        <v>87.6914893617021</v>
      </c>
      <c r="R236" s="18" t="n">
        <f aca="false">IF(H236=0,0,K236/H236)</f>
        <v>0.0114754098360656</v>
      </c>
      <c r="S236" s="14" t="n">
        <f aca="false">MONTH(D236)</f>
        <v>2</v>
      </c>
    </row>
    <row r="237" customFormat="false" ht="15" hidden="false" customHeight="false" outlineLevel="0" collapsed="false">
      <c r="A237" s="21" t="s">
        <v>333</v>
      </c>
      <c r="B237" s="21" t="s">
        <v>49</v>
      </c>
      <c r="C237" s="21" t="s">
        <v>55</v>
      </c>
      <c r="D237" s="29" t="n">
        <v>46185</v>
      </c>
      <c r="E237" s="29" t="n">
        <v>46188</v>
      </c>
      <c r="F237" s="29" t="n">
        <v>46188</v>
      </c>
      <c r="G237" s="21" t="n">
        <v>490</v>
      </c>
      <c r="H237" s="21" t="n">
        <v>490</v>
      </c>
      <c r="I237" s="21" t="n">
        <v>290</v>
      </c>
      <c r="J237" s="30" t="n">
        <v>25562</v>
      </c>
      <c r="K237" s="21" t="n">
        <v>1</v>
      </c>
      <c r="L237" s="14" t="n">
        <f aca="false">MAX(0,F237-E237)</f>
        <v>0</v>
      </c>
      <c r="M237" s="14" t="n">
        <f aca="false">IF(L237&lt;=Assumptions!$B$5,1,0)</f>
        <v>1</v>
      </c>
      <c r="N237" s="14" t="n">
        <f aca="false">IF(H237&gt;=G237,1,0)</f>
        <v>1</v>
      </c>
      <c r="O237" s="14" t="n">
        <f aca="false">M237*N237</f>
        <v>1</v>
      </c>
      <c r="P237" s="15" t="n">
        <f aca="false">L237*Assumptions!$B$6</f>
        <v>0</v>
      </c>
      <c r="Q237" s="31" t="n">
        <f aca="false">IF(I237=0,0,J237/I237)</f>
        <v>88.1448275862069</v>
      </c>
      <c r="R237" s="18" t="n">
        <f aca="false">IF(H237=0,0,K237/H237)</f>
        <v>0.00204081632653061</v>
      </c>
      <c r="S237" s="14" t="n">
        <f aca="false">MONTH(D237)</f>
        <v>6</v>
      </c>
    </row>
    <row r="238" customFormat="false" ht="15" hidden="false" customHeight="false" outlineLevel="0" collapsed="false">
      <c r="A238" s="21" t="s">
        <v>334</v>
      </c>
      <c r="B238" s="21" t="s">
        <v>45</v>
      </c>
      <c r="C238" s="21" t="s">
        <v>54</v>
      </c>
      <c r="D238" s="29" t="n">
        <v>46098</v>
      </c>
      <c r="E238" s="29" t="n">
        <v>46101</v>
      </c>
      <c r="F238" s="29" t="n">
        <v>46107</v>
      </c>
      <c r="G238" s="21" t="n">
        <v>400</v>
      </c>
      <c r="H238" s="21" t="n">
        <v>400</v>
      </c>
      <c r="I238" s="21" t="n">
        <v>511</v>
      </c>
      <c r="J238" s="30" t="n">
        <v>52219</v>
      </c>
      <c r="K238" s="21" t="n">
        <v>1</v>
      </c>
      <c r="L238" s="14" t="n">
        <f aca="false">MAX(0,F238-E238)</f>
        <v>6</v>
      </c>
      <c r="M238" s="14" t="n">
        <f aca="false">IF(L238&lt;=Assumptions!$B$5,1,0)</f>
        <v>0</v>
      </c>
      <c r="N238" s="14" t="n">
        <f aca="false">IF(H238&gt;=G238,1,0)</f>
        <v>1</v>
      </c>
      <c r="O238" s="14" t="n">
        <f aca="false">M238*N238</f>
        <v>0</v>
      </c>
      <c r="P238" s="15" t="n">
        <f aca="false">L238*Assumptions!$B$6</f>
        <v>9000</v>
      </c>
      <c r="Q238" s="31" t="n">
        <f aca="false">IF(I238=0,0,J238/I238)</f>
        <v>102.189823874755</v>
      </c>
      <c r="R238" s="18" t="n">
        <f aca="false">IF(H238=0,0,K238/H238)</f>
        <v>0.0025</v>
      </c>
      <c r="S238" s="14" t="n">
        <f aca="false">MONTH(D238)</f>
        <v>3</v>
      </c>
    </row>
    <row r="239" customFormat="false" ht="15" hidden="false" customHeight="false" outlineLevel="0" collapsed="false">
      <c r="A239" s="21" t="s">
        <v>335</v>
      </c>
      <c r="B239" s="21" t="s">
        <v>48</v>
      </c>
      <c r="C239" s="21" t="s">
        <v>53</v>
      </c>
      <c r="D239" s="29" t="n">
        <v>46166</v>
      </c>
      <c r="E239" s="29" t="n">
        <v>46170</v>
      </c>
      <c r="F239" s="29" t="n">
        <v>46170</v>
      </c>
      <c r="G239" s="21" t="n">
        <v>320</v>
      </c>
      <c r="H239" s="21" t="n">
        <v>282</v>
      </c>
      <c r="I239" s="21" t="n">
        <v>35</v>
      </c>
      <c r="J239" s="30" t="n">
        <v>4706</v>
      </c>
      <c r="K239" s="21" t="n">
        <v>2</v>
      </c>
      <c r="L239" s="14" t="n">
        <f aca="false">MAX(0,F239-E239)</f>
        <v>0</v>
      </c>
      <c r="M239" s="14" t="n">
        <f aca="false">IF(L239&lt;=Assumptions!$B$5,1,0)</f>
        <v>1</v>
      </c>
      <c r="N239" s="14" t="n">
        <f aca="false">IF(H239&gt;=G239,1,0)</f>
        <v>0</v>
      </c>
      <c r="O239" s="14" t="n">
        <f aca="false">M239*N239</f>
        <v>0</v>
      </c>
      <c r="P239" s="15" t="n">
        <f aca="false">L239*Assumptions!$B$6</f>
        <v>0</v>
      </c>
      <c r="Q239" s="31" t="n">
        <f aca="false">IF(I239=0,0,J239/I239)</f>
        <v>134.457142857143</v>
      </c>
      <c r="R239" s="18" t="n">
        <f aca="false">IF(H239=0,0,K239/H239)</f>
        <v>0.00709219858156028</v>
      </c>
      <c r="S239" s="14" t="n">
        <f aca="false">MONTH(D239)</f>
        <v>5</v>
      </c>
    </row>
    <row r="240" customFormat="false" ht="15" hidden="false" customHeight="false" outlineLevel="0" collapsed="false">
      <c r="A240" s="21" t="s">
        <v>336</v>
      </c>
      <c r="B240" s="21" t="s">
        <v>48</v>
      </c>
      <c r="C240" s="21" t="s">
        <v>53</v>
      </c>
      <c r="D240" s="29" t="n">
        <v>46174</v>
      </c>
      <c r="E240" s="29" t="n">
        <v>46178</v>
      </c>
      <c r="F240" s="29" t="n">
        <v>46178</v>
      </c>
      <c r="G240" s="21" t="n">
        <v>250</v>
      </c>
      <c r="H240" s="21" t="n">
        <v>250</v>
      </c>
      <c r="I240" s="21" t="n">
        <v>50</v>
      </c>
      <c r="J240" s="30" t="n">
        <v>4750</v>
      </c>
      <c r="K240" s="21" t="n">
        <v>9</v>
      </c>
      <c r="L240" s="14" t="n">
        <f aca="false">MAX(0,F240-E240)</f>
        <v>0</v>
      </c>
      <c r="M240" s="14" t="n">
        <f aca="false">IF(L240&lt;=Assumptions!$B$5,1,0)</f>
        <v>1</v>
      </c>
      <c r="N240" s="14" t="n">
        <f aca="false">IF(H240&gt;=G240,1,0)</f>
        <v>1</v>
      </c>
      <c r="O240" s="14" t="n">
        <f aca="false">M240*N240</f>
        <v>1</v>
      </c>
      <c r="P240" s="15" t="n">
        <f aca="false">L240*Assumptions!$B$6</f>
        <v>0</v>
      </c>
      <c r="Q240" s="31" t="n">
        <f aca="false">IF(I240=0,0,J240/I240)</f>
        <v>95</v>
      </c>
      <c r="R240" s="18" t="n">
        <f aca="false">IF(H240=0,0,K240/H240)</f>
        <v>0.036</v>
      </c>
      <c r="S240" s="14" t="n">
        <f aca="false">MONTH(D240)</f>
        <v>6</v>
      </c>
    </row>
    <row r="241" customFormat="false" ht="15" hidden="false" customHeight="false" outlineLevel="0" collapsed="false">
      <c r="A241" s="21" t="s">
        <v>337</v>
      </c>
      <c r="B241" s="21" t="s">
        <v>49</v>
      </c>
      <c r="C241" s="21" t="s">
        <v>57</v>
      </c>
      <c r="D241" s="29" t="n">
        <v>46162</v>
      </c>
      <c r="E241" s="29" t="n">
        <v>46165</v>
      </c>
      <c r="F241" s="29" t="n">
        <v>46165</v>
      </c>
      <c r="G241" s="21" t="n">
        <v>350</v>
      </c>
      <c r="H241" s="21" t="n">
        <v>350</v>
      </c>
      <c r="I241" s="21" t="n">
        <v>276</v>
      </c>
      <c r="J241" s="30" t="n">
        <v>26739</v>
      </c>
      <c r="K241" s="21" t="n">
        <v>0</v>
      </c>
      <c r="L241" s="14" t="n">
        <f aca="false">MAX(0,F241-E241)</f>
        <v>0</v>
      </c>
      <c r="M241" s="14" t="n">
        <f aca="false">IF(L241&lt;=Assumptions!$B$5,1,0)</f>
        <v>1</v>
      </c>
      <c r="N241" s="14" t="n">
        <f aca="false">IF(H241&gt;=G241,1,0)</f>
        <v>1</v>
      </c>
      <c r="O241" s="14" t="n">
        <f aca="false">M241*N241</f>
        <v>1</v>
      </c>
      <c r="P241" s="15" t="n">
        <f aca="false">L241*Assumptions!$B$6</f>
        <v>0</v>
      </c>
      <c r="Q241" s="31" t="n">
        <f aca="false">IF(I241=0,0,J241/I241)</f>
        <v>96.8804347826087</v>
      </c>
      <c r="R241" s="18" t="n">
        <f aca="false">IF(H241=0,0,K241/H241)</f>
        <v>0</v>
      </c>
      <c r="S241" s="14" t="n">
        <f aca="false">MONTH(D241)</f>
        <v>5</v>
      </c>
    </row>
    <row r="242" customFormat="false" ht="15" hidden="false" customHeight="false" outlineLevel="0" collapsed="false">
      <c r="A242" s="21" t="s">
        <v>338</v>
      </c>
      <c r="B242" s="21" t="s">
        <v>45</v>
      </c>
      <c r="C242" s="21" t="s">
        <v>53</v>
      </c>
      <c r="D242" s="29" t="n">
        <v>46140</v>
      </c>
      <c r="E242" s="29" t="n">
        <v>46143</v>
      </c>
      <c r="F242" s="29" t="n">
        <v>46142</v>
      </c>
      <c r="G242" s="21" t="n">
        <v>80</v>
      </c>
      <c r="H242" s="21" t="n">
        <v>80</v>
      </c>
      <c r="I242" s="21" t="n">
        <v>57</v>
      </c>
      <c r="J242" s="30" t="n">
        <v>4612</v>
      </c>
      <c r="K242" s="21" t="n">
        <v>0</v>
      </c>
      <c r="L242" s="14" t="n">
        <f aca="false">MAX(0,F242-E242)</f>
        <v>0</v>
      </c>
      <c r="M242" s="14" t="n">
        <f aca="false">IF(L242&lt;=Assumptions!$B$5,1,0)</f>
        <v>1</v>
      </c>
      <c r="N242" s="14" t="n">
        <f aca="false">IF(H242&gt;=G242,1,0)</f>
        <v>1</v>
      </c>
      <c r="O242" s="14" t="n">
        <f aca="false">M242*N242</f>
        <v>1</v>
      </c>
      <c r="P242" s="15" t="n">
        <f aca="false">L242*Assumptions!$B$6</f>
        <v>0</v>
      </c>
      <c r="Q242" s="31" t="n">
        <f aca="false">IF(I242=0,0,J242/I242)</f>
        <v>80.9122807017544</v>
      </c>
      <c r="R242" s="18" t="n">
        <f aca="false">IF(H242=0,0,K242/H242)</f>
        <v>0</v>
      </c>
      <c r="S242" s="14" t="n">
        <f aca="false">MONTH(D242)</f>
        <v>4</v>
      </c>
    </row>
    <row r="243" customFormat="false" ht="15" hidden="false" customHeight="false" outlineLevel="0" collapsed="false">
      <c r="A243" s="21" t="s">
        <v>339</v>
      </c>
      <c r="B243" s="21" t="s">
        <v>46</v>
      </c>
      <c r="C243" s="21" t="s">
        <v>53</v>
      </c>
      <c r="D243" s="29" t="n">
        <v>46127</v>
      </c>
      <c r="E243" s="29" t="n">
        <v>46136</v>
      </c>
      <c r="F243" s="29" t="n">
        <v>46135</v>
      </c>
      <c r="G243" s="21" t="n">
        <v>830</v>
      </c>
      <c r="H243" s="21" t="n">
        <v>830</v>
      </c>
      <c r="I243" s="21" t="n">
        <v>23</v>
      </c>
      <c r="J243" s="30" t="n">
        <v>3612</v>
      </c>
      <c r="K243" s="21" t="n">
        <v>12</v>
      </c>
      <c r="L243" s="14" t="n">
        <f aca="false">MAX(0,F243-E243)</f>
        <v>0</v>
      </c>
      <c r="M243" s="14" t="n">
        <f aca="false">IF(L243&lt;=Assumptions!$B$5,1,0)</f>
        <v>1</v>
      </c>
      <c r="N243" s="14" t="n">
        <f aca="false">IF(H243&gt;=G243,1,0)</f>
        <v>1</v>
      </c>
      <c r="O243" s="14" t="n">
        <f aca="false">M243*N243</f>
        <v>1</v>
      </c>
      <c r="P243" s="15" t="n">
        <f aca="false">L243*Assumptions!$B$6</f>
        <v>0</v>
      </c>
      <c r="Q243" s="31" t="n">
        <f aca="false">IF(I243=0,0,J243/I243)</f>
        <v>157.04347826087</v>
      </c>
      <c r="R243" s="18" t="n">
        <f aca="false">IF(H243=0,0,K243/H243)</f>
        <v>0.0144578313253012</v>
      </c>
      <c r="S243" s="14" t="n">
        <f aca="false">MONTH(D243)</f>
        <v>4</v>
      </c>
    </row>
    <row r="244" customFormat="false" ht="15" hidden="false" customHeight="false" outlineLevel="0" collapsed="false">
      <c r="A244" s="21" t="s">
        <v>340</v>
      </c>
      <c r="B244" s="21" t="s">
        <v>48</v>
      </c>
      <c r="C244" s="21" t="s">
        <v>54</v>
      </c>
      <c r="D244" s="29" t="n">
        <v>46254</v>
      </c>
      <c r="E244" s="29" t="n">
        <v>46264</v>
      </c>
      <c r="F244" s="29" t="n">
        <v>46264</v>
      </c>
      <c r="G244" s="21" t="n">
        <v>630</v>
      </c>
      <c r="H244" s="21" t="n">
        <v>630</v>
      </c>
      <c r="I244" s="21" t="n">
        <v>404</v>
      </c>
      <c r="J244" s="30" t="n">
        <v>42706</v>
      </c>
      <c r="K244" s="21" t="n">
        <v>19</v>
      </c>
      <c r="L244" s="14" t="n">
        <f aca="false">MAX(0,F244-E244)</f>
        <v>0</v>
      </c>
      <c r="M244" s="14" t="n">
        <f aca="false">IF(L244&lt;=Assumptions!$B$5,1,0)</f>
        <v>1</v>
      </c>
      <c r="N244" s="14" t="n">
        <f aca="false">IF(H244&gt;=G244,1,0)</f>
        <v>1</v>
      </c>
      <c r="O244" s="14" t="n">
        <f aca="false">M244*N244</f>
        <v>1</v>
      </c>
      <c r="P244" s="15" t="n">
        <f aca="false">L244*Assumptions!$B$6</f>
        <v>0</v>
      </c>
      <c r="Q244" s="31" t="n">
        <f aca="false">IF(I244=0,0,J244/I244)</f>
        <v>105.707920792079</v>
      </c>
      <c r="R244" s="18" t="n">
        <f aca="false">IF(H244=0,0,K244/H244)</f>
        <v>0.0301587301587302</v>
      </c>
      <c r="S244" s="14" t="n">
        <f aca="false">MONTH(D244)</f>
        <v>8</v>
      </c>
    </row>
    <row r="245" customFormat="false" ht="15" hidden="false" customHeight="false" outlineLevel="0" collapsed="false">
      <c r="A245" s="21" t="s">
        <v>341</v>
      </c>
      <c r="B245" s="21" t="s">
        <v>49</v>
      </c>
      <c r="C245" s="21" t="s">
        <v>54</v>
      </c>
      <c r="D245" s="29" t="n">
        <v>46121</v>
      </c>
      <c r="E245" s="29" t="n">
        <v>46126</v>
      </c>
      <c r="F245" s="29" t="n">
        <v>46126</v>
      </c>
      <c r="G245" s="21" t="n">
        <v>610</v>
      </c>
      <c r="H245" s="21" t="n">
        <v>610</v>
      </c>
      <c r="I245" s="21" t="n">
        <v>480</v>
      </c>
      <c r="J245" s="30" t="n">
        <v>51648</v>
      </c>
      <c r="K245" s="21" t="n">
        <v>3</v>
      </c>
      <c r="L245" s="14" t="n">
        <f aca="false">MAX(0,F245-E245)</f>
        <v>0</v>
      </c>
      <c r="M245" s="14" t="n">
        <f aca="false">IF(L245&lt;=Assumptions!$B$5,1,0)</f>
        <v>1</v>
      </c>
      <c r="N245" s="14" t="n">
        <f aca="false">IF(H245&gt;=G245,1,0)</f>
        <v>1</v>
      </c>
      <c r="O245" s="14" t="n">
        <f aca="false">M245*N245</f>
        <v>1</v>
      </c>
      <c r="P245" s="15" t="n">
        <f aca="false">L245*Assumptions!$B$6</f>
        <v>0</v>
      </c>
      <c r="Q245" s="31" t="n">
        <f aca="false">IF(I245=0,0,J245/I245)</f>
        <v>107.6</v>
      </c>
      <c r="R245" s="18" t="n">
        <f aca="false">IF(H245=0,0,K245/H245)</f>
        <v>0.00491803278688525</v>
      </c>
      <c r="S245" s="14" t="n">
        <f aca="false">MONTH(D245)</f>
        <v>4</v>
      </c>
    </row>
    <row r="246" customFormat="false" ht="15" hidden="false" customHeight="false" outlineLevel="0" collapsed="false">
      <c r="A246" s="21" t="s">
        <v>342</v>
      </c>
      <c r="B246" s="21" t="s">
        <v>47</v>
      </c>
      <c r="C246" s="21" t="s">
        <v>55</v>
      </c>
      <c r="D246" s="29" t="n">
        <v>46089</v>
      </c>
      <c r="E246" s="29" t="n">
        <v>46092</v>
      </c>
      <c r="F246" s="29" t="n">
        <v>46098</v>
      </c>
      <c r="G246" s="21" t="n">
        <v>210</v>
      </c>
      <c r="H246" s="21" t="n">
        <v>210</v>
      </c>
      <c r="I246" s="21" t="n">
        <v>281</v>
      </c>
      <c r="J246" s="30" t="n">
        <v>27356</v>
      </c>
      <c r="K246" s="21" t="n">
        <v>0</v>
      </c>
      <c r="L246" s="14" t="n">
        <f aca="false">MAX(0,F246-E246)</f>
        <v>6</v>
      </c>
      <c r="M246" s="14" t="n">
        <f aca="false">IF(L246&lt;=Assumptions!$B$5,1,0)</f>
        <v>0</v>
      </c>
      <c r="N246" s="14" t="n">
        <f aca="false">IF(H246&gt;=G246,1,0)</f>
        <v>1</v>
      </c>
      <c r="O246" s="14" t="n">
        <f aca="false">M246*N246</f>
        <v>0</v>
      </c>
      <c r="P246" s="15" t="n">
        <f aca="false">L246*Assumptions!$B$6</f>
        <v>9000</v>
      </c>
      <c r="Q246" s="31" t="n">
        <f aca="false">IF(I246=0,0,J246/I246)</f>
        <v>97.3523131672598</v>
      </c>
      <c r="R246" s="18" t="n">
        <f aca="false">IF(H246=0,0,K246/H246)</f>
        <v>0</v>
      </c>
      <c r="S246" s="14" t="n">
        <f aca="false">MONTH(D246)</f>
        <v>3</v>
      </c>
    </row>
    <row r="247" customFormat="false" ht="15" hidden="false" customHeight="false" outlineLevel="0" collapsed="false">
      <c r="A247" s="21" t="s">
        <v>343</v>
      </c>
      <c r="B247" s="21" t="s">
        <v>49</v>
      </c>
      <c r="C247" s="21" t="s">
        <v>58</v>
      </c>
      <c r="D247" s="29" t="n">
        <v>46096</v>
      </c>
      <c r="E247" s="29" t="n">
        <v>46103</v>
      </c>
      <c r="F247" s="29" t="n">
        <v>46103</v>
      </c>
      <c r="G247" s="21" t="n">
        <v>740</v>
      </c>
      <c r="H247" s="21" t="n">
        <v>740</v>
      </c>
      <c r="I247" s="21" t="n">
        <v>258</v>
      </c>
      <c r="J247" s="30" t="n">
        <v>24208</v>
      </c>
      <c r="K247" s="21" t="n">
        <v>8</v>
      </c>
      <c r="L247" s="14" t="n">
        <f aca="false">MAX(0,F247-E247)</f>
        <v>0</v>
      </c>
      <c r="M247" s="14" t="n">
        <f aca="false">IF(L247&lt;=Assumptions!$B$5,1,0)</f>
        <v>1</v>
      </c>
      <c r="N247" s="14" t="n">
        <f aca="false">IF(H247&gt;=G247,1,0)</f>
        <v>1</v>
      </c>
      <c r="O247" s="14" t="n">
        <f aca="false">M247*N247</f>
        <v>1</v>
      </c>
      <c r="P247" s="15" t="n">
        <f aca="false">L247*Assumptions!$B$6</f>
        <v>0</v>
      </c>
      <c r="Q247" s="31" t="n">
        <f aca="false">IF(I247=0,0,J247/I247)</f>
        <v>93.8294573643411</v>
      </c>
      <c r="R247" s="18" t="n">
        <f aca="false">IF(H247=0,0,K247/H247)</f>
        <v>0.0108108108108108</v>
      </c>
      <c r="S247" s="14" t="n">
        <f aca="false">MONTH(D247)</f>
        <v>3</v>
      </c>
    </row>
    <row r="248" customFormat="false" ht="15" hidden="false" customHeight="false" outlineLevel="0" collapsed="false">
      <c r="A248" s="21" t="s">
        <v>344</v>
      </c>
      <c r="B248" s="21" t="s">
        <v>47</v>
      </c>
      <c r="C248" s="21" t="s">
        <v>57</v>
      </c>
      <c r="D248" s="29" t="n">
        <v>46157</v>
      </c>
      <c r="E248" s="29" t="n">
        <v>46160</v>
      </c>
      <c r="F248" s="29" t="n">
        <v>46160</v>
      </c>
      <c r="G248" s="21" t="n">
        <v>740</v>
      </c>
      <c r="H248" s="21" t="n">
        <v>740</v>
      </c>
      <c r="I248" s="21" t="n">
        <v>311</v>
      </c>
      <c r="J248" s="30" t="n">
        <v>25099</v>
      </c>
      <c r="K248" s="21" t="n">
        <v>1</v>
      </c>
      <c r="L248" s="14" t="n">
        <f aca="false">MAX(0,F248-E248)</f>
        <v>0</v>
      </c>
      <c r="M248" s="14" t="n">
        <f aca="false">IF(L248&lt;=Assumptions!$B$5,1,0)</f>
        <v>1</v>
      </c>
      <c r="N248" s="14" t="n">
        <f aca="false">IF(H248&gt;=G248,1,0)</f>
        <v>1</v>
      </c>
      <c r="O248" s="14" t="n">
        <f aca="false">M248*N248</f>
        <v>1</v>
      </c>
      <c r="P248" s="15" t="n">
        <f aca="false">L248*Assumptions!$B$6</f>
        <v>0</v>
      </c>
      <c r="Q248" s="31" t="n">
        <f aca="false">IF(I248=0,0,J248/I248)</f>
        <v>80.7041800643087</v>
      </c>
      <c r="R248" s="18" t="n">
        <f aca="false">IF(H248=0,0,K248/H248)</f>
        <v>0.00135135135135135</v>
      </c>
      <c r="S248" s="14" t="n">
        <f aca="false">MONTH(D248)</f>
        <v>5</v>
      </c>
    </row>
    <row r="249" customFormat="false" ht="15" hidden="false" customHeight="false" outlineLevel="0" collapsed="false">
      <c r="A249" s="21" t="s">
        <v>345</v>
      </c>
      <c r="B249" s="21" t="s">
        <v>47</v>
      </c>
      <c r="C249" s="21" t="s">
        <v>55</v>
      </c>
      <c r="D249" s="29" t="n">
        <v>46194</v>
      </c>
      <c r="E249" s="29" t="n">
        <v>46203</v>
      </c>
      <c r="F249" s="29" t="n">
        <v>46202</v>
      </c>
      <c r="G249" s="21" t="n">
        <v>980</v>
      </c>
      <c r="H249" s="21" t="n">
        <v>980</v>
      </c>
      <c r="I249" s="21" t="n">
        <v>317</v>
      </c>
      <c r="J249" s="30" t="n">
        <v>38420</v>
      </c>
      <c r="K249" s="21" t="n">
        <v>18</v>
      </c>
      <c r="L249" s="14" t="n">
        <f aca="false">MAX(0,F249-E249)</f>
        <v>0</v>
      </c>
      <c r="M249" s="14" t="n">
        <f aca="false">IF(L249&lt;=Assumptions!$B$5,1,0)</f>
        <v>1</v>
      </c>
      <c r="N249" s="14" t="n">
        <f aca="false">IF(H249&gt;=G249,1,0)</f>
        <v>1</v>
      </c>
      <c r="O249" s="14" t="n">
        <f aca="false">M249*N249</f>
        <v>1</v>
      </c>
      <c r="P249" s="15" t="n">
        <f aca="false">L249*Assumptions!$B$6</f>
        <v>0</v>
      </c>
      <c r="Q249" s="31" t="n">
        <f aca="false">IF(I249=0,0,J249/I249)</f>
        <v>121.198738170347</v>
      </c>
      <c r="R249" s="18" t="n">
        <f aca="false">IF(H249=0,0,K249/H249)</f>
        <v>0.0183673469387755</v>
      </c>
      <c r="S249" s="14" t="n">
        <f aca="false">MONTH(D249)</f>
        <v>6</v>
      </c>
    </row>
    <row r="250" customFormat="false" ht="15" hidden="false" customHeight="false" outlineLevel="0" collapsed="false">
      <c r="A250" s="21" t="s">
        <v>346</v>
      </c>
      <c r="B250" s="21" t="s">
        <v>50</v>
      </c>
      <c r="C250" s="21" t="s">
        <v>53</v>
      </c>
      <c r="D250" s="29" t="n">
        <v>46220</v>
      </c>
      <c r="E250" s="29" t="n">
        <v>46226</v>
      </c>
      <c r="F250" s="29" t="n">
        <v>46225</v>
      </c>
      <c r="G250" s="21" t="n">
        <v>760</v>
      </c>
      <c r="H250" s="21" t="n">
        <v>760</v>
      </c>
      <c r="I250" s="21" t="n">
        <v>48</v>
      </c>
      <c r="J250" s="30" t="n">
        <v>7404</v>
      </c>
      <c r="K250" s="21" t="n">
        <v>17</v>
      </c>
      <c r="L250" s="14" t="n">
        <f aca="false">MAX(0,F250-E250)</f>
        <v>0</v>
      </c>
      <c r="M250" s="14" t="n">
        <f aca="false">IF(L250&lt;=Assumptions!$B$5,1,0)</f>
        <v>1</v>
      </c>
      <c r="N250" s="14" t="n">
        <f aca="false">IF(H250&gt;=G250,1,0)</f>
        <v>1</v>
      </c>
      <c r="O250" s="14" t="n">
        <f aca="false">M250*N250</f>
        <v>1</v>
      </c>
      <c r="P250" s="15" t="n">
        <f aca="false">L250*Assumptions!$B$6</f>
        <v>0</v>
      </c>
      <c r="Q250" s="31" t="n">
        <f aca="false">IF(I250=0,0,J250/I250)</f>
        <v>154.25</v>
      </c>
      <c r="R250" s="18" t="n">
        <f aca="false">IF(H250=0,0,K250/H250)</f>
        <v>0.0223684210526316</v>
      </c>
      <c r="S250" s="14" t="n">
        <f aca="false">MONTH(D250)</f>
        <v>7</v>
      </c>
    </row>
    <row r="251" customFormat="false" ht="15" hidden="false" customHeight="false" outlineLevel="0" collapsed="false">
      <c r="A251" s="21" t="s">
        <v>347</v>
      </c>
      <c r="B251" s="21" t="s">
        <v>48</v>
      </c>
      <c r="C251" s="21" t="s">
        <v>58</v>
      </c>
      <c r="D251" s="29" t="n">
        <v>46182</v>
      </c>
      <c r="E251" s="29" t="n">
        <v>46189</v>
      </c>
      <c r="F251" s="29" t="n">
        <v>46189</v>
      </c>
      <c r="G251" s="21" t="n">
        <v>780</v>
      </c>
      <c r="H251" s="21" t="n">
        <v>754</v>
      </c>
      <c r="I251" s="21" t="n">
        <v>222</v>
      </c>
      <c r="J251" s="30" t="n">
        <v>21777</v>
      </c>
      <c r="K251" s="21" t="n">
        <v>27</v>
      </c>
      <c r="L251" s="14" t="n">
        <f aca="false">MAX(0,F251-E251)</f>
        <v>0</v>
      </c>
      <c r="M251" s="14" t="n">
        <f aca="false">IF(L251&lt;=Assumptions!$B$5,1,0)</f>
        <v>1</v>
      </c>
      <c r="N251" s="14" t="n">
        <f aca="false">IF(H251&gt;=G251,1,0)</f>
        <v>0</v>
      </c>
      <c r="O251" s="14" t="n">
        <f aca="false">M251*N251</f>
        <v>0</v>
      </c>
      <c r="P251" s="15" t="n">
        <f aca="false">L251*Assumptions!$B$6</f>
        <v>0</v>
      </c>
      <c r="Q251" s="31" t="n">
        <f aca="false">IF(I251=0,0,J251/I251)</f>
        <v>98.0945945945946</v>
      </c>
      <c r="R251" s="18" t="n">
        <f aca="false">IF(H251=0,0,K251/H251)</f>
        <v>0.0358090185676393</v>
      </c>
      <c r="S251" s="14" t="n">
        <f aca="false">MONTH(D251)</f>
        <v>6</v>
      </c>
    </row>
    <row r="252" customFormat="false" ht="15" hidden="false" customHeight="false" outlineLevel="0" collapsed="false">
      <c r="A252" s="21" t="s">
        <v>348</v>
      </c>
      <c r="B252" s="21" t="s">
        <v>50</v>
      </c>
      <c r="C252" s="21" t="s">
        <v>53</v>
      </c>
      <c r="D252" s="29" t="n">
        <v>46235</v>
      </c>
      <c r="E252" s="29" t="n">
        <v>46238</v>
      </c>
      <c r="F252" s="29" t="n">
        <v>46238</v>
      </c>
      <c r="G252" s="21" t="n">
        <v>230</v>
      </c>
      <c r="H252" s="21" t="n">
        <v>230</v>
      </c>
      <c r="I252" s="21" t="n">
        <v>41</v>
      </c>
      <c r="J252" s="30" t="n">
        <v>5175</v>
      </c>
      <c r="K252" s="21" t="n">
        <v>5</v>
      </c>
      <c r="L252" s="14" t="n">
        <f aca="false">MAX(0,F252-E252)</f>
        <v>0</v>
      </c>
      <c r="M252" s="14" t="n">
        <f aca="false">IF(L252&lt;=Assumptions!$B$5,1,0)</f>
        <v>1</v>
      </c>
      <c r="N252" s="14" t="n">
        <f aca="false">IF(H252&gt;=G252,1,0)</f>
        <v>1</v>
      </c>
      <c r="O252" s="14" t="n">
        <f aca="false">M252*N252</f>
        <v>1</v>
      </c>
      <c r="P252" s="15" t="n">
        <f aca="false">L252*Assumptions!$B$6</f>
        <v>0</v>
      </c>
      <c r="Q252" s="31" t="n">
        <f aca="false">IF(I252=0,0,J252/I252)</f>
        <v>126.219512195122</v>
      </c>
      <c r="R252" s="18" t="n">
        <f aca="false">IF(H252=0,0,K252/H252)</f>
        <v>0.0217391304347826</v>
      </c>
      <c r="S252" s="14" t="n">
        <f aca="false">MONTH(D252)</f>
        <v>8</v>
      </c>
    </row>
    <row r="253" customFormat="false" ht="15" hidden="false" customHeight="false" outlineLevel="0" collapsed="false">
      <c r="A253" s="21" t="s">
        <v>349</v>
      </c>
      <c r="B253" s="21" t="s">
        <v>50</v>
      </c>
      <c r="C253" s="21" t="s">
        <v>57</v>
      </c>
      <c r="D253" s="29" t="n">
        <v>46049</v>
      </c>
      <c r="E253" s="29" t="n">
        <v>46052</v>
      </c>
      <c r="F253" s="29" t="n">
        <v>46052</v>
      </c>
      <c r="G253" s="21" t="n">
        <v>960</v>
      </c>
      <c r="H253" s="21" t="n">
        <v>960</v>
      </c>
      <c r="I253" s="21" t="n">
        <v>267</v>
      </c>
      <c r="J253" s="30" t="n">
        <v>28270</v>
      </c>
      <c r="K253" s="21" t="n">
        <v>4</v>
      </c>
      <c r="L253" s="14" t="n">
        <f aca="false">MAX(0,F253-E253)</f>
        <v>0</v>
      </c>
      <c r="M253" s="14" t="n">
        <f aca="false">IF(L253&lt;=Assumptions!$B$5,1,0)</f>
        <v>1</v>
      </c>
      <c r="N253" s="14" t="n">
        <f aca="false">IF(H253&gt;=G253,1,0)</f>
        <v>1</v>
      </c>
      <c r="O253" s="14" t="n">
        <f aca="false">M253*N253</f>
        <v>1</v>
      </c>
      <c r="P253" s="15" t="n">
        <f aca="false">L253*Assumptions!$B$6</f>
        <v>0</v>
      </c>
      <c r="Q253" s="31" t="n">
        <f aca="false">IF(I253=0,0,J253/I253)</f>
        <v>105.880149812734</v>
      </c>
      <c r="R253" s="18" t="n">
        <f aca="false">IF(H253=0,0,K253/H253)</f>
        <v>0.00416666666666667</v>
      </c>
      <c r="S253" s="14" t="n">
        <f aca="false">MONTH(D253)</f>
        <v>1</v>
      </c>
    </row>
    <row r="254" customFormat="false" ht="15" hidden="false" customHeight="false" outlineLevel="0" collapsed="false">
      <c r="A254" s="21" t="s">
        <v>350</v>
      </c>
      <c r="B254" s="21" t="s">
        <v>50</v>
      </c>
      <c r="C254" s="21" t="s">
        <v>56</v>
      </c>
      <c r="D254" s="29" t="n">
        <v>46053</v>
      </c>
      <c r="E254" s="29" t="n">
        <v>46062</v>
      </c>
      <c r="F254" s="29" t="n">
        <v>46062</v>
      </c>
      <c r="G254" s="21" t="n">
        <v>740</v>
      </c>
      <c r="H254" s="21" t="n">
        <v>740</v>
      </c>
      <c r="I254" s="21" t="n">
        <v>162</v>
      </c>
      <c r="J254" s="30" t="n">
        <v>18037</v>
      </c>
      <c r="K254" s="21" t="n">
        <v>16</v>
      </c>
      <c r="L254" s="14" t="n">
        <f aca="false">MAX(0,F254-E254)</f>
        <v>0</v>
      </c>
      <c r="M254" s="14" t="n">
        <f aca="false">IF(L254&lt;=Assumptions!$B$5,1,0)</f>
        <v>1</v>
      </c>
      <c r="N254" s="14" t="n">
        <f aca="false">IF(H254&gt;=G254,1,0)</f>
        <v>1</v>
      </c>
      <c r="O254" s="14" t="n">
        <f aca="false">M254*N254</f>
        <v>1</v>
      </c>
      <c r="P254" s="15" t="n">
        <f aca="false">L254*Assumptions!$B$6</f>
        <v>0</v>
      </c>
      <c r="Q254" s="31" t="n">
        <f aca="false">IF(I254=0,0,J254/I254)</f>
        <v>111.33950617284</v>
      </c>
      <c r="R254" s="18" t="n">
        <f aca="false">IF(H254=0,0,K254/H254)</f>
        <v>0.0216216216216216</v>
      </c>
      <c r="S254" s="14" t="n">
        <f aca="false">MONTH(D254)</f>
        <v>1</v>
      </c>
    </row>
    <row r="255" customFormat="false" ht="15" hidden="false" customHeight="false" outlineLevel="0" collapsed="false">
      <c r="A255" s="21" t="s">
        <v>351</v>
      </c>
      <c r="B255" s="21" t="s">
        <v>45</v>
      </c>
      <c r="C255" s="21" t="s">
        <v>58</v>
      </c>
      <c r="D255" s="29" t="n">
        <v>46256</v>
      </c>
      <c r="E255" s="29" t="n">
        <v>46265</v>
      </c>
      <c r="F255" s="29" t="n">
        <v>46264</v>
      </c>
      <c r="G255" s="21" t="n">
        <v>900</v>
      </c>
      <c r="H255" s="21" t="n">
        <v>756</v>
      </c>
      <c r="I255" s="21" t="n">
        <v>263</v>
      </c>
      <c r="J255" s="30" t="n">
        <v>31452</v>
      </c>
      <c r="K255" s="21" t="n">
        <v>4</v>
      </c>
      <c r="L255" s="14" t="n">
        <f aca="false">MAX(0,F255-E255)</f>
        <v>0</v>
      </c>
      <c r="M255" s="14" t="n">
        <f aca="false">IF(L255&lt;=Assumptions!$B$5,1,0)</f>
        <v>1</v>
      </c>
      <c r="N255" s="14" t="n">
        <f aca="false">IF(H255&gt;=G255,1,0)</f>
        <v>0</v>
      </c>
      <c r="O255" s="14" t="n">
        <f aca="false">M255*N255</f>
        <v>0</v>
      </c>
      <c r="P255" s="15" t="n">
        <f aca="false">L255*Assumptions!$B$6</f>
        <v>0</v>
      </c>
      <c r="Q255" s="31" t="n">
        <f aca="false">IF(I255=0,0,J255/I255)</f>
        <v>119.589353612167</v>
      </c>
      <c r="R255" s="18" t="n">
        <f aca="false">IF(H255=0,0,K255/H255)</f>
        <v>0.00529100529100529</v>
      </c>
      <c r="S255" s="14" t="n">
        <f aca="false">MONTH(D255)</f>
        <v>8</v>
      </c>
    </row>
    <row r="256" customFormat="false" ht="15" hidden="false" customHeight="false" outlineLevel="0" collapsed="false">
      <c r="A256" s="21" t="s">
        <v>352</v>
      </c>
      <c r="B256" s="21" t="s">
        <v>48</v>
      </c>
      <c r="C256" s="21" t="s">
        <v>58</v>
      </c>
      <c r="D256" s="29" t="n">
        <v>46055</v>
      </c>
      <c r="E256" s="29" t="n">
        <v>46063</v>
      </c>
      <c r="F256" s="29" t="n">
        <v>46065</v>
      </c>
      <c r="G256" s="21" t="n">
        <v>120</v>
      </c>
      <c r="H256" s="21" t="n">
        <v>120</v>
      </c>
      <c r="I256" s="21" t="n">
        <v>235</v>
      </c>
      <c r="J256" s="30" t="n">
        <v>22795</v>
      </c>
      <c r="K256" s="21" t="n">
        <v>4</v>
      </c>
      <c r="L256" s="14" t="n">
        <f aca="false">MAX(0,F256-E256)</f>
        <v>2</v>
      </c>
      <c r="M256" s="14" t="n">
        <f aca="false">IF(L256&lt;=Assumptions!$B$5,1,0)</f>
        <v>0</v>
      </c>
      <c r="N256" s="14" t="n">
        <f aca="false">IF(H256&gt;=G256,1,0)</f>
        <v>1</v>
      </c>
      <c r="O256" s="14" t="n">
        <f aca="false">M256*N256</f>
        <v>0</v>
      </c>
      <c r="P256" s="15" t="n">
        <f aca="false">L256*Assumptions!$B$6</f>
        <v>3000</v>
      </c>
      <c r="Q256" s="31" t="n">
        <f aca="false">IF(I256=0,0,J256/I256)</f>
        <v>97</v>
      </c>
      <c r="R256" s="18" t="n">
        <f aca="false">IF(H256=0,0,K256/H256)</f>
        <v>0.0333333333333333</v>
      </c>
      <c r="S256" s="14" t="n">
        <f aca="false">MONTH(D256)</f>
        <v>2</v>
      </c>
    </row>
    <row r="257" customFormat="false" ht="15" hidden="false" customHeight="false" outlineLevel="0" collapsed="false">
      <c r="A257" s="21" t="s">
        <v>353</v>
      </c>
      <c r="B257" s="21" t="s">
        <v>48</v>
      </c>
      <c r="C257" s="21" t="s">
        <v>56</v>
      </c>
      <c r="D257" s="29" t="n">
        <v>46077</v>
      </c>
      <c r="E257" s="29" t="n">
        <v>46087</v>
      </c>
      <c r="F257" s="29" t="n">
        <v>46086</v>
      </c>
      <c r="G257" s="21" t="n">
        <v>280</v>
      </c>
      <c r="H257" s="21" t="n">
        <v>280</v>
      </c>
      <c r="I257" s="21" t="n">
        <v>151</v>
      </c>
      <c r="J257" s="30" t="n">
        <v>14215</v>
      </c>
      <c r="K257" s="21" t="n">
        <v>0</v>
      </c>
      <c r="L257" s="14" t="n">
        <f aca="false">MAX(0,F257-E257)</f>
        <v>0</v>
      </c>
      <c r="M257" s="14" t="n">
        <f aca="false">IF(L257&lt;=Assumptions!$B$5,1,0)</f>
        <v>1</v>
      </c>
      <c r="N257" s="14" t="n">
        <f aca="false">IF(H257&gt;=G257,1,0)</f>
        <v>1</v>
      </c>
      <c r="O257" s="14" t="n">
        <f aca="false">M257*N257</f>
        <v>1</v>
      </c>
      <c r="P257" s="15" t="n">
        <f aca="false">L257*Assumptions!$B$6</f>
        <v>0</v>
      </c>
      <c r="Q257" s="31" t="n">
        <f aca="false">IF(I257=0,0,J257/I257)</f>
        <v>94.1390728476821</v>
      </c>
      <c r="R257" s="18" t="n">
        <f aca="false">IF(H257=0,0,K257/H257)</f>
        <v>0</v>
      </c>
      <c r="S257" s="14" t="n">
        <f aca="false">MONTH(D257)</f>
        <v>2</v>
      </c>
    </row>
    <row r="258" customFormat="false" ht="15" hidden="false" customHeight="false" outlineLevel="0" collapsed="false">
      <c r="A258" s="21" t="s">
        <v>354</v>
      </c>
      <c r="B258" s="21" t="s">
        <v>46</v>
      </c>
      <c r="C258" s="21" t="s">
        <v>54</v>
      </c>
      <c r="D258" s="29" t="n">
        <v>46210</v>
      </c>
      <c r="E258" s="29" t="n">
        <v>46216</v>
      </c>
      <c r="F258" s="29" t="n">
        <v>46216</v>
      </c>
      <c r="G258" s="21" t="n">
        <v>450</v>
      </c>
      <c r="H258" s="21" t="n">
        <v>450</v>
      </c>
      <c r="I258" s="21" t="n">
        <v>445</v>
      </c>
      <c r="J258" s="30" t="n">
        <v>50720</v>
      </c>
      <c r="K258" s="21" t="n">
        <v>7</v>
      </c>
      <c r="L258" s="14" t="n">
        <f aca="false">MAX(0,F258-E258)</f>
        <v>0</v>
      </c>
      <c r="M258" s="14" t="n">
        <f aca="false">IF(L258&lt;=Assumptions!$B$5,1,0)</f>
        <v>1</v>
      </c>
      <c r="N258" s="14" t="n">
        <f aca="false">IF(H258&gt;=G258,1,0)</f>
        <v>1</v>
      </c>
      <c r="O258" s="14" t="n">
        <f aca="false">M258*N258</f>
        <v>1</v>
      </c>
      <c r="P258" s="15" t="n">
        <f aca="false">L258*Assumptions!$B$6</f>
        <v>0</v>
      </c>
      <c r="Q258" s="31" t="n">
        <f aca="false">IF(I258=0,0,J258/I258)</f>
        <v>113.977528089888</v>
      </c>
      <c r="R258" s="18" t="n">
        <f aca="false">IF(H258=0,0,K258/H258)</f>
        <v>0.0155555555555556</v>
      </c>
      <c r="S258" s="14" t="n">
        <f aca="false">MONTH(D258)</f>
        <v>7</v>
      </c>
    </row>
    <row r="259" customFormat="false" ht="15" hidden="false" customHeight="false" outlineLevel="0" collapsed="false">
      <c r="A259" s="21" t="s">
        <v>355</v>
      </c>
      <c r="B259" s="21" t="s">
        <v>47</v>
      </c>
      <c r="C259" s="21" t="s">
        <v>57</v>
      </c>
      <c r="D259" s="29" t="n">
        <v>46143</v>
      </c>
      <c r="E259" s="29" t="n">
        <v>46148</v>
      </c>
      <c r="F259" s="29" t="n">
        <v>46147</v>
      </c>
      <c r="G259" s="21" t="n">
        <v>110</v>
      </c>
      <c r="H259" s="21" t="n">
        <v>104</v>
      </c>
      <c r="I259" s="21" t="n">
        <v>305</v>
      </c>
      <c r="J259" s="30" t="n">
        <v>20264</v>
      </c>
      <c r="K259" s="21" t="n">
        <v>1</v>
      </c>
      <c r="L259" s="14" t="n">
        <f aca="false">MAX(0,F259-E259)</f>
        <v>0</v>
      </c>
      <c r="M259" s="14" t="n">
        <f aca="false">IF(L259&lt;=Assumptions!$B$5,1,0)</f>
        <v>1</v>
      </c>
      <c r="N259" s="14" t="n">
        <f aca="false">IF(H259&gt;=G259,1,0)</f>
        <v>0</v>
      </c>
      <c r="O259" s="14" t="n">
        <f aca="false">M259*N259</f>
        <v>0</v>
      </c>
      <c r="P259" s="15" t="n">
        <f aca="false">L259*Assumptions!$B$6</f>
        <v>0</v>
      </c>
      <c r="Q259" s="31" t="n">
        <f aca="false">IF(I259=0,0,J259/I259)</f>
        <v>66.4393442622951</v>
      </c>
      <c r="R259" s="18" t="n">
        <f aca="false">IF(H259=0,0,K259/H259)</f>
        <v>0.00961538461538462</v>
      </c>
      <c r="S259" s="14" t="n">
        <f aca="false">MONTH(D259)</f>
        <v>5</v>
      </c>
    </row>
    <row r="260" customFormat="false" ht="15" hidden="false" customHeight="false" outlineLevel="0" collapsed="false">
      <c r="A260" s="21" t="s">
        <v>356</v>
      </c>
      <c r="B260" s="21" t="s">
        <v>47</v>
      </c>
      <c r="C260" s="21" t="s">
        <v>53</v>
      </c>
      <c r="D260" s="29" t="n">
        <v>46193</v>
      </c>
      <c r="E260" s="29" t="n">
        <v>46200</v>
      </c>
      <c r="F260" s="29" t="n">
        <v>46202</v>
      </c>
      <c r="G260" s="21" t="n">
        <v>950</v>
      </c>
      <c r="H260" s="21" t="n">
        <v>884</v>
      </c>
      <c r="I260" s="21" t="n">
        <v>34</v>
      </c>
      <c r="J260" s="30" t="n">
        <v>6818</v>
      </c>
      <c r="K260" s="21" t="n">
        <v>56</v>
      </c>
      <c r="L260" s="14" t="n">
        <f aca="false">MAX(0,F260-E260)</f>
        <v>2</v>
      </c>
      <c r="M260" s="14" t="n">
        <f aca="false">IF(L260&lt;=Assumptions!$B$5,1,0)</f>
        <v>0</v>
      </c>
      <c r="N260" s="14" t="n">
        <f aca="false">IF(H260&gt;=G260,1,0)</f>
        <v>0</v>
      </c>
      <c r="O260" s="14" t="n">
        <f aca="false">M260*N260</f>
        <v>0</v>
      </c>
      <c r="P260" s="15" t="n">
        <f aca="false">L260*Assumptions!$B$6</f>
        <v>3000</v>
      </c>
      <c r="Q260" s="31" t="n">
        <f aca="false">IF(I260=0,0,J260/I260)</f>
        <v>200.529411764706</v>
      </c>
      <c r="R260" s="18" t="n">
        <f aca="false">IF(H260=0,0,K260/H260)</f>
        <v>0.0633484162895928</v>
      </c>
      <c r="S260" s="14" t="n">
        <f aca="false">MONTH(D260)</f>
        <v>6</v>
      </c>
    </row>
    <row r="261" customFormat="false" ht="15" hidden="false" customHeight="false" outlineLevel="0" collapsed="false">
      <c r="A261" s="21" t="s">
        <v>357</v>
      </c>
      <c r="B261" s="21" t="s">
        <v>47</v>
      </c>
      <c r="C261" s="21" t="s">
        <v>55</v>
      </c>
      <c r="D261" s="29" t="n">
        <v>46225</v>
      </c>
      <c r="E261" s="29" t="n">
        <v>46232</v>
      </c>
      <c r="F261" s="29" t="n">
        <v>46232</v>
      </c>
      <c r="G261" s="21" t="n">
        <v>950</v>
      </c>
      <c r="H261" s="21" t="n">
        <v>805</v>
      </c>
      <c r="I261" s="21" t="n">
        <v>358</v>
      </c>
      <c r="J261" s="30" t="n">
        <v>33975</v>
      </c>
      <c r="K261" s="21" t="n">
        <v>57</v>
      </c>
      <c r="L261" s="14" t="n">
        <f aca="false">MAX(0,F261-E261)</f>
        <v>0</v>
      </c>
      <c r="M261" s="14" t="n">
        <f aca="false">IF(L261&lt;=Assumptions!$B$5,1,0)</f>
        <v>1</v>
      </c>
      <c r="N261" s="14" t="n">
        <f aca="false">IF(H261&gt;=G261,1,0)</f>
        <v>0</v>
      </c>
      <c r="O261" s="14" t="n">
        <f aca="false">M261*N261</f>
        <v>0</v>
      </c>
      <c r="P261" s="15" t="n">
        <f aca="false">L261*Assumptions!$B$6</f>
        <v>0</v>
      </c>
      <c r="Q261" s="31" t="n">
        <f aca="false">IF(I261=0,0,J261/I261)</f>
        <v>94.9022346368715</v>
      </c>
      <c r="R261" s="18" t="n">
        <f aca="false">IF(H261=0,0,K261/H261)</f>
        <v>0.0708074534161491</v>
      </c>
      <c r="S261" s="14" t="n">
        <f aca="false">MONTH(D261)</f>
        <v>7</v>
      </c>
    </row>
    <row r="262" customFormat="false" ht="15" hidden="false" customHeight="false" outlineLevel="0" collapsed="false">
      <c r="A262" s="21" t="s">
        <v>358</v>
      </c>
      <c r="B262" s="21" t="s">
        <v>49</v>
      </c>
      <c r="C262" s="21" t="s">
        <v>57</v>
      </c>
      <c r="D262" s="29" t="n">
        <v>46260</v>
      </c>
      <c r="E262" s="29" t="n">
        <v>46268</v>
      </c>
      <c r="F262" s="29" t="n">
        <v>46268</v>
      </c>
      <c r="G262" s="21" t="n">
        <v>530</v>
      </c>
      <c r="H262" s="21" t="n">
        <v>530</v>
      </c>
      <c r="I262" s="21" t="n">
        <v>263</v>
      </c>
      <c r="J262" s="30" t="n">
        <v>22140</v>
      </c>
      <c r="K262" s="21" t="n">
        <v>0</v>
      </c>
      <c r="L262" s="14" t="n">
        <f aca="false">MAX(0,F262-E262)</f>
        <v>0</v>
      </c>
      <c r="M262" s="14" t="n">
        <f aca="false">IF(L262&lt;=Assumptions!$B$5,1,0)</f>
        <v>1</v>
      </c>
      <c r="N262" s="14" t="n">
        <f aca="false">IF(H262&gt;=G262,1,0)</f>
        <v>1</v>
      </c>
      <c r="O262" s="14" t="n">
        <f aca="false">M262*N262</f>
        <v>1</v>
      </c>
      <c r="P262" s="15" t="n">
        <f aca="false">L262*Assumptions!$B$6</f>
        <v>0</v>
      </c>
      <c r="Q262" s="31" t="n">
        <f aca="false">IF(I262=0,0,J262/I262)</f>
        <v>84.1825095057034</v>
      </c>
      <c r="R262" s="18" t="n">
        <f aca="false">IF(H262=0,0,K262/H262)</f>
        <v>0</v>
      </c>
      <c r="S262" s="14" t="n">
        <f aca="false">MONTH(D262)</f>
        <v>8</v>
      </c>
    </row>
    <row r="263" customFormat="false" ht="15" hidden="false" customHeight="false" outlineLevel="0" collapsed="false">
      <c r="A263" s="21" t="s">
        <v>359</v>
      </c>
      <c r="B263" s="21" t="s">
        <v>46</v>
      </c>
      <c r="C263" s="21" t="s">
        <v>54</v>
      </c>
      <c r="D263" s="29" t="n">
        <v>46100</v>
      </c>
      <c r="E263" s="29" t="n">
        <v>46107</v>
      </c>
      <c r="F263" s="29" t="n">
        <v>46107</v>
      </c>
      <c r="G263" s="21" t="n">
        <v>320</v>
      </c>
      <c r="H263" s="21" t="n">
        <v>320</v>
      </c>
      <c r="I263" s="21" t="n">
        <v>427</v>
      </c>
      <c r="J263" s="30" t="n">
        <v>48308</v>
      </c>
      <c r="K263" s="21" t="n">
        <v>9</v>
      </c>
      <c r="L263" s="14" t="n">
        <f aca="false">MAX(0,F263-E263)</f>
        <v>0</v>
      </c>
      <c r="M263" s="14" t="n">
        <f aca="false">IF(L263&lt;=Assumptions!$B$5,1,0)</f>
        <v>1</v>
      </c>
      <c r="N263" s="14" t="n">
        <f aca="false">IF(H263&gt;=G263,1,0)</f>
        <v>1</v>
      </c>
      <c r="O263" s="14" t="n">
        <f aca="false">M263*N263</f>
        <v>1</v>
      </c>
      <c r="P263" s="15" t="n">
        <f aca="false">L263*Assumptions!$B$6</f>
        <v>0</v>
      </c>
      <c r="Q263" s="31" t="n">
        <f aca="false">IF(I263=0,0,J263/I263)</f>
        <v>113.133489461358</v>
      </c>
      <c r="R263" s="18" t="n">
        <f aca="false">IF(H263=0,0,K263/H263)</f>
        <v>0.028125</v>
      </c>
      <c r="S263" s="14" t="n">
        <f aca="false">MONTH(D263)</f>
        <v>3</v>
      </c>
    </row>
    <row r="264" customFormat="false" ht="15" hidden="false" customHeight="false" outlineLevel="0" collapsed="false">
      <c r="A264" s="21" t="s">
        <v>360</v>
      </c>
      <c r="B264" s="21" t="s">
        <v>48</v>
      </c>
      <c r="C264" s="21" t="s">
        <v>57</v>
      </c>
      <c r="D264" s="29" t="n">
        <v>46100</v>
      </c>
      <c r="E264" s="29" t="n">
        <v>46104</v>
      </c>
      <c r="F264" s="29" t="n">
        <v>46104</v>
      </c>
      <c r="G264" s="21" t="n">
        <v>380</v>
      </c>
      <c r="H264" s="21" t="n">
        <v>364</v>
      </c>
      <c r="I264" s="21" t="n">
        <v>261</v>
      </c>
      <c r="J264" s="30" t="n">
        <v>23250</v>
      </c>
      <c r="K264" s="21" t="n">
        <v>20</v>
      </c>
      <c r="L264" s="14" t="n">
        <f aca="false">MAX(0,F264-E264)</f>
        <v>0</v>
      </c>
      <c r="M264" s="14" t="n">
        <f aca="false">IF(L264&lt;=Assumptions!$B$5,1,0)</f>
        <v>1</v>
      </c>
      <c r="N264" s="14" t="n">
        <f aca="false">IF(H264&gt;=G264,1,0)</f>
        <v>0</v>
      </c>
      <c r="O264" s="14" t="n">
        <f aca="false">M264*N264</f>
        <v>0</v>
      </c>
      <c r="P264" s="15" t="n">
        <f aca="false">L264*Assumptions!$B$6</f>
        <v>0</v>
      </c>
      <c r="Q264" s="31" t="n">
        <f aca="false">IF(I264=0,0,J264/I264)</f>
        <v>89.0804597701149</v>
      </c>
      <c r="R264" s="18" t="n">
        <f aca="false">IF(H264=0,0,K264/H264)</f>
        <v>0.0549450549450549</v>
      </c>
      <c r="S264" s="14" t="n">
        <f aca="false">MONTH(D264)</f>
        <v>3</v>
      </c>
    </row>
    <row r="265" customFormat="false" ht="15" hidden="false" customHeight="false" outlineLevel="0" collapsed="false">
      <c r="A265" s="21" t="s">
        <v>361</v>
      </c>
      <c r="B265" s="21" t="s">
        <v>45</v>
      </c>
      <c r="C265" s="21" t="s">
        <v>57</v>
      </c>
      <c r="D265" s="29" t="n">
        <v>46247</v>
      </c>
      <c r="E265" s="29" t="n">
        <v>46254</v>
      </c>
      <c r="F265" s="29" t="n">
        <v>46253</v>
      </c>
      <c r="G265" s="21" t="n">
        <v>770</v>
      </c>
      <c r="H265" s="21" t="n">
        <v>770</v>
      </c>
      <c r="I265" s="21" t="n">
        <v>281</v>
      </c>
      <c r="J265" s="30" t="n">
        <v>19240</v>
      </c>
      <c r="K265" s="21" t="n">
        <v>9</v>
      </c>
      <c r="L265" s="14" t="n">
        <f aca="false">MAX(0,F265-E265)</f>
        <v>0</v>
      </c>
      <c r="M265" s="14" t="n">
        <f aca="false">IF(L265&lt;=Assumptions!$B$5,1,0)</f>
        <v>1</v>
      </c>
      <c r="N265" s="14" t="n">
        <f aca="false">IF(H265&gt;=G265,1,0)</f>
        <v>1</v>
      </c>
      <c r="O265" s="14" t="n">
        <f aca="false">M265*N265</f>
        <v>1</v>
      </c>
      <c r="P265" s="15" t="n">
        <f aca="false">L265*Assumptions!$B$6</f>
        <v>0</v>
      </c>
      <c r="Q265" s="31" t="n">
        <f aca="false">IF(I265=0,0,J265/I265)</f>
        <v>68.4697508896797</v>
      </c>
      <c r="R265" s="18" t="n">
        <f aca="false">IF(H265=0,0,K265/H265)</f>
        <v>0.0116883116883117</v>
      </c>
      <c r="S265" s="14" t="n">
        <f aca="false">MONTH(D265)</f>
        <v>8</v>
      </c>
    </row>
    <row r="266" customFormat="false" ht="15" hidden="false" customHeight="false" outlineLevel="0" collapsed="false">
      <c r="A266" s="21" t="s">
        <v>362</v>
      </c>
      <c r="B266" s="21" t="s">
        <v>49</v>
      </c>
      <c r="C266" s="21" t="s">
        <v>58</v>
      </c>
      <c r="D266" s="29" t="n">
        <v>46233</v>
      </c>
      <c r="E266" s="29" t="n">
        <v>46237</v>
      </c>
      <c r="F266" s="29" t="n">
        <v>46236</v>
      </c>
      <c r="G266" s="21" t="n">
        <v>310</v>
      </c>
      <c r="H266" s="21" t="n">
        <v>310</v>
      </c>
      <c r="I266" s="21" t="n">
        <v>246</v>
      </c>
      <c r="J266" s="30" t="n">
        <v>26303</v>
      </c>
      <c r="K266" s="21" t="n">
        <v>1</v>
      </c>
      <c r="L266" s="14" t="n">
        <f aca="false">MAX(0,F266-E266)</f>
        <v>0</v>
      </c>
      <c r="M266" s="14" t="n">
        <f aca="false">IF(L266&lt;=Assumptions!$B$5,1,0)</f>
        <v>1</v>
      </c>
      <c r="N266" s="14" t="n">
        <f aca="false">IF(H266&gt;=G266,1,0)</f>
        <v>1</v>
      </c>
      <c r="O266" s="14" t="n">
        <f aca="false">M266*N266</f>
        <v>1</v>
      </c>
      <c r="P266" s="15" t="n">
        <f aca="false">L266*Assumptions!$B$6</f>
        <v>0</v>
      </c>
      <c r="Q266" s="31" t="n">
        <f aca="false">IF(I266=0,0,J266/I266)</f>
        <v>106.922764227642</v>
      </c>
      <c r="R266" s="18" t="n">
        <f aca="false">IF(H266=0,0,K266/H266)</f>
        <v>0.0032258064516129</v>
      </c>
      <c r="S266" s="14" t="n">
        <f aca="false">MONTH(D266)</f>
        <v>7</v>
      </c>
    </row>
    <row r="267" customFormat="false" ht="15" hidden="false" customHeight="false" outlineLevel="0" collapsed="false">
      <c r="A267" s="21" t="s">
        <v>363</v>
      </c>
      <c r="B267" s="21" t="s">
        <v>50</v>
      </c>
      <c r="C267" s="21" t="s">
        <v>58</v>
      </c>
      <c r="D267" s="29" t="n">
        <v>46246</v>
      </c>
      <c r="E267" s="29" t="n">
        <v>46253</v>
      </c>
      <c r="F267" s="29" t="n">
        <v>46253</v>
      </c>
      <c r="G267" s="21" t="n">
        <v>590</v>
      </c>
      <c r="H267" s="21" t="n">
        <v>590</v>
      </c>
      <c r="I267" s="21" t="n">
        <v>228</v>
      </c>
      <c r="J267" s="30" t="n">
        <v>21623</v>
      </c>
      <c r="K267" s="21" t="n">
        <v>5</v>
      </c>
      <c r="L267" s="14" t="n">
        <f aca="false">MAX(0,F267-E267)</f>
        <v>0</v>
      </c>
      <c r="M267" s="14" t="n">
        <f aca="false">IF(L267&lt;=Assumptions!$B$5,1,0)</f>
        <v>1</v>
      </c>
      <c r="N267" s="14" t="n">
        <f aca="false">IF(H267&gt;=G267,1,0)</f>
        <v>1</v>
      </c>
      <c r="O267" s="14" t="n">
        <f aca="false">M267*N267</f>
        <v>1</v>
      </c>
      <c r="P267" s="15" t="n">
        <f aca="false">L267*Assumptions!$B$6</f>
        <v>0</v>
      </c>
      <c r="Q267" s="31" t="n">
        <f aca="false">IF(I267=0,0,J267/I267)</f>
        <v>94.8377192982456</v>
      </c>
      <c r="R267" s="18" t="n">
        <f aca="false">IF(H267=0,0,K267/H267)</f>
        <v>0.00847457627118644</v>
      </c>
      <c r="S267" s="14" t="n">
        <f aca="false">MONTH(D267)</f>
        <v>8</v>
      </c>
    </row>
    <row r="268" customFormat="false" ht="15" hidden="false" customHeight="false" outlineLevel="0" collapsed="false">
      <c r="A268" s="21" t="s">
        <v>364</v>
      </c>
      <c r="B268" s="21" t="s">
        <v>46</v>
      </c>
      <c r="C268" s="21" t="s">
        <v>54</v>
      </c>
      <c r="D268" s="29" t="n">
        <v>46123</v>
      </c>
      <c r="E268" s="29" t="n">
        <v>46128</v>
      </c>
      <c r="F268" s="29" t="n">
        <v>46132</v>
      </c>
      <c r="G268" s="21" t="n">
        <v>860</v>
      </c>
      <c r="H268" s="21" t="n">
        <v>860</v>
      </c>
      <c r="I268" s="21" t="n">
        <v>486</v>
      </c>
      <c r="J268" s="30" t="n">
        <v>35104</v>
      </c>
      <c r="K268" s="21" t="n">
        <v>10</v>
      </c>
      <c r="L268" s="14" t="n">
        <f aca="false">MAX(0,F268-E268)</f>
        <v>4</v>
      </c>
      <c r="M268" s="14" t="n">
        <f aca="false">IF(L268&lt;=Assumptions!$B$5,1,0)</f>
        <v>0</v>
      </c>
      <c r="N268" s="14" t="n">
        <f aca="false">IF(H268&gt;=G268,1,0)</f>
        <v>1</v>
      </c>
      <c r="O268" s="14" t="n">
        <f aca="false">M268*N268</f>
        <v>0</v>
      </c>
      <c r="P268" s="15" t="n">
        <f aca="false">L268*Assumptions!$B$6</f>
        <v>6000</v>
      </c>
      <c r="Q268" s="31" t="n">
        <f aca="false">IF(I268=0,0,J268/I268)</f>
        <v>72.2304526748971</v>
      </c>
      <c r="R268" s="18" t="n">
        <f aca="false">IF(H268=0,0,K268/H268)</f>
        <v>0.0116279069767442</v>
      </c>
      <c r="S268" s="14" t="n">
        <f aca="false">MONTH(D268)</f>
        <v>4</v>
      </c>
    </row>
    <row r="269" customFormat="false" ht="15" hidden="false" customHeight="false" outlineLevel="0" collapsed="false">
      <c r="A269" s="21" t="s">
        <v>365</v>
      </c>
      <c r="B269" s="21" t="s">
        <v>45</v>
      </c>
      <c r="C269" s="21" t="s">
        <v>57</v>
      </c>
      <c r="D269" s="29" t="n">
        <v>46250</v>
      </c>
      <c r="E269" s="29" t="n">
        <v>46253</v>
      </c>
      <c r="F269" s="29" t="n">
        <v>46253</v>
      </c>
      <c r="G269" s="21" t="n">
        <v>970</v>
      </c>
      <c r="H269" s="21" t="n">
        <v>970</v>
      </c>
      <c r="I269" s="21" t="n">
        <v>250</v>
      </c>
      <c r="J269" s="30" t="n">
        <v>28109</v>
      </c>
      <c r="K269" s="21" t="n">
        <v>12</v>
      </c>
      <c r="L269" s="14" t="n">
        <f aca="false">MAX(0,F269-E269)</f>
        <v>0</v>
      </c>
      <c r="M269" s="14" t="n">
        <f aca="false">IF(L269&lt;=Assumptions!$B$5,1,0)</f>
        <v>1</v>
      </c>
      <c r="N269" s="14" t="n">
        <f aca="false">IF(H269&gt;=G269,1,0)</f>
        <v>1</v>
      </c>
      <c r="O269" s="14" t="n">
        <f aca="false">M269*N269</f>
        <v>1</v>
      </c>
      <c r="P269" s="15" t="n">
        <f aca="false">L269*Assumptions!$B$6</f>
        <v>0</v>
      </c>
      <c r="Q269" s="31" t="n">
        <f aca="false">IF(I269=0,0,J269/I269)</f>
        <v>112.436</v>
      </c>
      <c r="R269" s="18" t="n">
        <f aca="false">IF(H269=0,0,K269/H269)</f>
        <v>0.0123711340206186</v>
      </c>
      <c r="S269" s="14" t="n">
        <f aca="false">MONTH(D269)</f>
        <v>8</v>
      </c>
    </row>
    <row r="270" customFormat="false" ht="15" hidden="false" customHeight="false" outlineLevel="0" collapsed="false">
      <c r="A270" s="21" t="s">
        <v>366</v>
      </c>
      <c r="B270" s="21" t="s">
        <v>46</v>
      </c>
      <c r="C270" s="21" t="s">
        <v>53</v>
      </c>
      <c r="D270" s="29" t="n">
        <v>46162</v>
      </c>
      <c r="E270" s="29" t="n">
        <v>46170</v>
      </c>
      <c r="F270" s="29" t="n">
        <v>46170</v>
      </c>
      <c r="G270" s="21" t="n">
        <v>320</v>
      </c>
      <c r="H270" s="21" t="n">
        <v>320</v>
      </c>
      <c r="I270" s="21" t="n">
        <v>32</v>
      </c>
      <c r="J270" s="30" t="n">
        <v>5082</v>
      </c>
      <c r="K270" s="21" t="n">
        <v>4</v>
      </c>
      <c r="L270" s="14" t="n">
        <f aca="false">MAX(0,F270-E270)</f>
        <v>0</v>
      </c>
      <c r="M270" s="14" t="n">
        <f aca="false">IF(L270&lt;=Assumptions!$B$5,1,0)</f>
        <v>1</v>
      </c>
      <c r="N270" s="14" t="n">
        <f aca="false">IF(H270&gt;=G270,1,0)</f>
        <v>1</v>
      </c>
      <c r="O270" s="14" t="n">
        <f aca="false">M270*N270</f>
        <v>1</v>
      </c>
      <c r="P270" s="15" t="n">
        <f aca="false">L270*Assumptions!$B$6</f>
        <v>0</v>
      </c>
      <c r="Q270" s="31" t="n">
        <f aca="false">IF(I270=0,0,J270/I270)</f>
        <v>158.8125</v>
      </c>
      <c r="R270" s="18" t="n">
        <f aca="false">IF(H270=0,0,K270/H270)</f>
        <v>0.0125</v>
      </c>
      <c r="S270" s="14" t="n">
        <f aca="false">MONTH(D270)</f>
        <v>5</v>
      </c>
    </row>
    <row r="271" customFormat="false" ht="15" hidden="false" customHeight="false" outlineLevel="0" collapsed="false">
      <c r="A271" s="21" t="s">
        <v>367</v>
      </c>
      <c r="B271" s="21" t="s">
        <v>45</v>
      </c>
      <c r="C271" s="21" t="s">
        <v>56</v>
      </c>
      <c r="D271" s="29" t="n">
        <v>46066</v>
      </c>
      <c r="E271" s="29" t="n">
        <v>46074</v>
      </c>
      <c r="F271" s="29" t="n">
        <v>46074</v>
      </c>
      <c r="G271" s="21" t="n">
        <v>260</v>
      </c>
      <c r="H271" s="21" t="n">
        <v>260</v>
      </c>
      <c r="I271" s="21" t="n">
        <v>193</v>
      </c>
      <c r="J271" s="30" t="n">
        <v>18911</v>
      </c>
      <c r="K271" s="21" t="n">
        <v>0</v>
      </c>
      <c r="L271" s="14" t="n">
        <f aca="false">MAX(0,F271-E271)</f>
        <v>0</v>
      </c>
      <c r="M271" s="14" t="n">
        <f aca="false">IF(L271&lt;=Assumptions!$B$5,1,0)</f>
        <v>1</v>
      </c>
      <c r="N271" s="14" t="n">
        <f aca="false">IF(H271&gt;=G271,1,0)</f>
        <v>1</v>
      </c>
      <c r="O271" s="14" t="n">
        <f aca="false">M271*N271</f>
        <v>1</v>
      </c>
      <c r="P271" s="15" t="n">
        <f aca="false">L271*Assumptions!$B$6</f>
        <v>0</v>
      </c>
      <c r="Q271" s="31" t="n">
        <f aca="false">IF(I271=0,0,J271/I271)</f>
        <v>97.9844559585492</v>
      </c>
      <c r="R271" s="18" t="n">
        <f aca="false">IF(H271=0,0,K271/H271)</f>
        <v>0</v>
      </c>
      <c r="S271" s="14" t="n">
        <f aca="false">MONTH(D271)</f>
        <v>2</v>
      </c>
    </row>
    <row r="272" customFormat="false" ht="15" hidden="false" customHeight="false" outlineLevel="0" collapsed="false">
      <c r="A272" s="21" t="s">
        <v>368</v>
      </c>
      <c r="B272" s="21" t="s">
        <v>46</v>
      </c>
      <c r="C272" s="21" t="s">
        <v>54</v>
      </c>
      <c r="D272" s="29" t="n">
        <v>46226</v>
      </c>
      <c r="E272" s="29" t="n">
        <v>46231</v>
      </c>
      <c r="F272" s="29" t="n">
        <v>46235</v>
      </c>
      <c r="G272" s="21" t="n">
        <v>1000</v>
      </c>
      <c r="H272" s="21" t="n">
        <v>1000</v>
      </c>
      <c r="I272" s="21" t="n">
        <v>407</v>
      </c>
      <c r="J272" s="30" t="n">
        <v>36624</v>
      </c>
      <c r="K272" s="21" t="n">
        <v>0</v>
      </c>
      <c r="L272" s="14" t="n">
        <f aca="false">MAX(0,F272-E272)</f>
        <v>4</v>
      </c>
      <c r="M272" s="14" t="n">
        <f aca="false">IF(L272&lt;=Assumptions!$B$5,1,0)</f>
        <v>0</v>
      </c>
      <c r="N272" s="14" t="n">
        <f aca="false">IF(H272&gt;=G272,1,0)</f>
        <v>1</v>
      </c>
      <c r="O272" s="14" t="n">
        <f aca="false">M272*N272</f>
        <v>0</v>
      </c>
      <c r="P272" s="15" t="n">
        <f aca="false">L272*Assumptions!$B$6</f>
        <v>6000</v>
      </c>
      <c r="Q272" s="31" t="n">
        <f aca="false">IF(I272=0,0,J272/I272)</f>
        <v>89.985257985258</v>
      </c>
      <c r="R272" s="18" t="n">
        <f aca="false">IF(H272=0,0,K272/H272)</f>
        <v>0</v>
      </c>
      <c r="S272" s="14" t="n">
        <f aca="false">MONTH(D272)</f>
        <v>7</v>
      </c>
    </row>
    <row r="273" customFormat="false" ht="15" hidden="false" customHeight="false" outlineLevel="0" collapsed="false">
      <c r="A273" s="21" t="s">
        <v>369</v>
      </c>
      <c r="B273" s="21" t="s">
        <v>49</v>
      </c>
      <c r="C273" s="21" t="s">
        <v>55</v>
      </c>
      <c r="D273" s="29" t="n">
        <v>46271</v>
      </c>
      <c r="E273" s="29" t="n">
        <v>46276</v>
      </c>
      <c r="F273" s="29" t="n">
        <v>46276</v>
      </c>
      <c r="G273" s="21" t="n">
        <v>500</v>
      </c>
      <c r="H273" s="21" t="n">
        <v>500</v>
      </c>
      <c r="I273" s="21" t="n">
        <v>303</v>
      </c>
      <c r="J273" s="30" t="n">
        <v>30531</v>
      </c>
      <c r="K273" s="21" t="n">
        <v>4</v>
      </c>
      <c r="L273" s="14" t="n">
        <f aca="false">MAX(0,F273-E273)</f>
        <v>0</v>
      </c>
      <c r="M273" s="14" t="n">
        <f aca="false">IF(L273&lt;=Assumptions!$B$5,1,0)</f>
        <v>1</v>
      </c>
      <c r="N273" s="14" t="n">
        <f aca="false">IF(H273&gt;=G273,1,0)</f>
        <v>1</v>
      </c>
      <c r="O273" s="14" t="n">
        <f aca="false">M273*N273</f>
        <v>1</v>
      </c>
      <c r="P273" s="15" t="n">
        <f aca="false">L273*Assumptions!$B$6</f>
        <v>0</v>
      </c>
      <c r="Q273" s="31" t="n">
        <f aca="false">IF(I273=0,0,J273/I273)</f>
        <v>100.762376237624</v>
      </c>
      <c r="R273" s="18" t="n">
        <f aca="false">IF(H273=0,0,K273/H273)</f>
        <v>0.008</v>
      </c>
      <c r="S273" s="14" t="n">
        <f aca="false">MONTH(D273)</f>
        <v>9</v>
      </c>
    </row>
    <row r="274" customFormat="false" ht="15" hidden="false" customHeight="false" outlineLevel="0" collapsed="false">
      <c r="A274" s="21" t="s">
        <v>370</v>
      </c>
      <c r="B274" s="21" t="s">
        <v>45</v>
      </c>
      <c r="C274" s="21" t="s">
        <v>54</v>
      </c>
      <c r="D274" s="29" t="n">
        <v>46046</v>
      </c>
      <c r="E274" s="29" t="n">
        <v>46056</v>
      </c>
      <c r="F274" s="29" t="n">
        <v>46055</v>
      </c>
      <c r="G274" s="21" t="n">
        <v>260</v>
      </c>
      <c r="H274" s="21" t="n">
        <v>260</v>
      </c>
      <c r="I274" s="21" t="n">
        <v>483</v>
      </c>
      <c r="J274" s="30" t="n">
        <v>31967</v>
      </c>
      <c r="K274" s="21" t="n">
        <v>0</v>
      </c>
      <c r="L274" s="14" t="n">
        <f aca="false">MAX(0,F274-E274)</f>
        <v>0</v>
      </c>
      <c r="M274" s="14" t="n">
        <f aca="false">IF(L274&lt;=Assumptions!$B$5,1,0)</f>
        <v>1</v>
      </c>
      <c r="N274" s="14" t="n">
        <f aca="false">IF(H274&gt;=G274,1,0)</f>
        <v>1</v>
      </c>
      <c r="O274" s="14" t="n">
        <f aca="false">M274*N274</f>
        <v>1</v>
      </c>
      <c r="P274" s="15" t="n">
        <f aca="false">L274*Assumptions!$B$6</f>
        <v>0</v>
      </c>
      <c r="Q274" s="31" t="n">
        <f aca="false">IF(I274=0,0,J274/I274)</f>
        <v>66.184265010352</v>
      </c>
      <c r="R274" s="18" t="n">
        <f aca="false">IF(H274=0,0,K274/H274)</f>
        <v>0</v>
      </c>
      <c r="S274" s="14" t="n">
        <f aca="false">MONTH(D274)</f>
        <v>1</v>
      </c>
    </row>
    <row r="275" customFormat="false" ht="15" hidden="false" customHeight="false" outlineLevel="0" collapsed="false">
      <c r="A275" s="21" t="s">
        <v>371</v>
      </c>
      <c r="B275" s="21" t="s">
        <v>45</v>
      </c>
      <c r="C275" s="21" t="s">
        <v>54</v>
      </c>
      <c r="D275" s="29" t="n">
        <v>46164</v>
      </c>
      <c r="E275" s="29" t="n">
        <v>46174</v>
      </c>
      <c r="F275" s="29" t="n">
        <v>46174</v>
      </c>
      <c r="G275" s="21" t="n">
        <v>880</v>
      </c>
      <c r="H275" s="21" t="n">
        <v>880</v>
      </c>
      <c r="I275" s="21" t="n">
        <v>501</v>
      </c>
      <c r="J275" s="30" t="n">
        <v>45886</v>
      </c>
      <c r="K275" s="21" t="n">
        <v>1</v>
      </c>
      <c r="L275" s="14" t="n">
        <f aca="false">MAX(0,F275-E275)</f>
        <v>0</v>
      </c>
      <c r="M275" s="14" t="n">
        <f aca="false">IF(L275&lt;=Assumptions!$B$5,1,0)</f>
        <v>1</v>
      </c>
      <c r="N275" s="14" t="n">
        <f aca="false">IF(H275&gt;=G275,1,0)</f>
        <v>1</v>
      </c>
      <c r="O275" s="14" t="n">
        <f aca="false">M275*N275</f>
        <v>1</v>
      </c>
      <c r="P275" s="15" t="n">
        <f aca="false">L275*Assumptions!$B$6</f>
        <v>0</v>
      </c>
      <c r="Q275" s="31" t="n">
        <f aca="false">IF(I275=0,0,J275/I275)</f>
        <v>91.5888223552894</v>
      </c>
      <c r="R275" s="18" t="n">
        <f aca="false">IF(H275=0,0,K275/H275)</f>
        <v>0.00113636363636364</v>
      </c>
      <c r="S275" s="14" t="n">
        <f aca="false">MONTH(D275)</f>
        <v>5</v>
      </c>
    </row>
    <row r="276" customFormat="false" ht="15" hidden="false" customHeight="false" outlineLevel="0" collapsed="false">
      <c r="A276" s="21" t="s">
        <v>372</v>
      </c>
      <c r="B276" s="21" t="s">
        <v>50</v>
      </c>
      <c r="C276" s="21" t="s">
        <v>56</v>
      </c>
      <c r="D276" s="29" t="n">
        <v>46060</v>
      </c>
      <c r="E276" s="29" t="n">
        <v>46064</v>
      </c>
      <c r="F276" s="29" t="n">
        <v>46064</v>
      </c>
      <c r="G276" s="21" t="n">
        <v>90</v>
      </c>
      <c r="H276" s="21" t="n">
        <v>81</v>
      </c>
      <c r="I276" s="21" t="n">
        <v>164</v>
      </c>
      <c r="J276" s="30" t="n">
        <v>17090</v>
      </c>
      <c r="K276" s="21" t="n">
        <v>1</v>
      </c>
      <c r="L276" s="14" t="n">
        <f aca="false">MAX(0,F276-E276)</f>
        <v>0</v>
      </c>
      <c r="M276" s="14" t="n">
        <f aca="false">IF(L276&lt;=Assumptions!$B$5,1,0)</f>
        <v>1</v>
      </c>
      <c r="N276" s="14" t="n">
        <f aca="false">IF(H276&gt;=G276,1,0)</f>
        <v>0</v>
      </c>
      <c r="O276" s="14" t="n">
        <f aca="false">M276*N276</f>
        <v>0</v>
      </c>
      <c r="P276" s="15" t="n">
        <f aca="false">L276*Assumptions!$B$6</f>
        <v>0</v>
      </c>
      <c r="Q276" s="31" t="n">
        <f aca="false">IF(I276=0,0,J276/I276)</f>
        <v>104.207317073171</v>
      </c>
      <c r="R276" s="18" t="n">
        <f aca="false">IF(H276=0,0,K276/H276)</f>
        <v>0.0123456790123457</v>
      </c>
      <c r="S276" s="14" t="n">
        <f aca="false">MONTH(D276)</f>
        <v>2</v>
      </c>
    </row>
    <row r="277" customFormat="false" ht="15" hidden="false" customHeight="false" outlineLevel="0" collapsed="false">
      <c r="A277" s="21" t="s">
        <v>373</v>
      </c>
      <c r="B277" s="21" t="s">
        <v>48</v>
      </c>
      <c r="C277" s="21" t="s">
        <v>53</v>
      </c>
      <c r="D277" s="29" t="n">
        <v>46104</v>
      </c>
      <c r="E277" s="29" t="n">
        <v>46114</v>
      </c>
      <c r="F277" s="29" t="n">
        <v>46114</v>
      </c>
      <c r="G277" s="21" t="n">
        <v>430</v>
      </c>
      <c r="H277" s="21" t="n">
        <v>430</v>
      </c>
      <c r="I277" s="21" t="n">
        <v>36</v>
      </c>
      <c r="J277" s="30" t="n">
        <v>3654</v>
      </c>
      <c r="K277" s="21" t="n">
        <v>24</v>
      </c>
      <c r="L277" s="14" t="n">
        <f aca="false">MAX(0,F277-E277)</f>
        <v>0</v>
      </c>
      <c r="M277" s="14" t="n">
        <f aca="false">IF(L277&lt;=Assumptions!$B$5,1,0)</f>
        <v>1</v>
      </c>
      <c r="N277" s="14" t="n">
        <f aca="false">IF(H277&gt;=G277,1,0)</f>
        <v>1</v>
      </c>
      <c r="O277" s="14" t="n">
        <f aca="false">M277*N277</f>
        <v>1</v>
      </c>
      <c r="P277" s="15" t="n">
        <f aca="false">L277*Assumptions!$B$6</f>
        <v>0</v>
      </c>
      <c r="Q277" s="31" t="n">
        <f aca="false">IF(I277=0,0,J277/I277)</f>
        <v>101.5</v>
      </c>
      <c r="R277" s="18" t="n">
        <f aca="false">IF(H277=0,0,K277/H277)</f>
        <v>0.0558139534883721</v>
      </c>
      <c r="S277" s="14" t="n">
        <f aca="false">MONTH(D277)</f>
        <v>3</v>
      </c>
    </row>
    <row r="278" customFormat="false" ht="15" hidden="false" customHeight="false" outlineLevel="0" collapsed="false">
      <c r="A278" s="21" t="s">
        <v>374</v>
      </c>
      <c r="B278" s="21" t="s">
        <v>50</v>
      </c>
      <c r="C278" s="21" t="s">
        <v>54</v>
      </c>
      <c r="D278" s="29" t="n">
        <v>46211</v>
      </c>
      <c r="E278" s="29" t="n">
        <v>46214</v>
      </c>
      <c r="F278" s="29" t="n">
        <v>46214</v>
      </c>
      <c r="G278" s="21" t="n">
        <v>220</v>
      </c>
      <c r="H278" s="21" t="n">
        <v>220</v>
      </c>
      <c r="I278" s="21" t="n">
        <v>445</v>
      </c>
      <c r="J278" s="30" t="n">
        <v>29574</v>
      </c>
      <c r="K278" s="21" t="n">
        <v>1</v>
      </c>
      <c r="L278" s="14" t="n">
        <f aca="false">MAX(0,F278-E278)</f>
        <v>0</v>
      </c>
      <c r="M278" s="14" t="n">
        <f aca="false">IF(L278&lt;=Assumptions!$B$5,1,0)</f>
        <v>1</v>
      </c>
      <c r="N278" s="14" t="n">
        <f aca="false">IF(H278&gt;=G278,1,0)</f>
        <v>1</v>
      </c>
      <c r="O278" s="14" t="n">
        <f aca="false">M278*N278</f>
        <v>1</v>
      </c>
      <c r="P278" s="15" t="n">
        <f aca="false">L278*Assumptions!$B$6</f>
        <v>0</v>
      </c>
      <c r="Q278" s="31" t="n">
        <f aca="false">IF(I278=0,0,J278/I278)</f>
        <v>66.4584269662921</v>
      </c>
      <c r="R278" s="18" t="n">
        <f aca="false">IF(H278=0,0,K278/H278)</f>
        <v>0.00454545454545455</v>
      </c>
      <c r="S278" s="14" t="n">
        <f aca="false">MONTH(D278)</f>
        <v>7</v>
      </c>
    </row>
    <row r="279" customFormat="false" ht="15" hidden="false" customHeight="false" outlineLevel="0" collapsed="false">
      <c r="A279" s="21" t="s">
        <v>375</v>
      </c>
      <c r="B279" s="21" t="s">
        <v>48</v>
      </c>
      <c r="C279" s="21" t="s">
        <v>58</v>
      </c>
      <c r="D279" s="29" t="n">
        <v>46089</v>
      </c>
      <c r="E279" s="29" t="n">
        <v>46098</v>
      </c>
      <c r="F279" s="29" t="n">
        <v>46098</v>
      </c>
      <c r="G279" s="21" t="n">
        <v>540</v>
      </c>
      <c r="H279" s="21" t="n">
        <v>507</v>
      </c>
      <c r="I279" s="21" t="n">
        <v>247</v>
      </c>
      <c r="J279" s="30" t="n">
        <v>19804</v>
      </c>
      <c r="K279" s="21" t="n">
        <v>8</v>
      </c>
      <c r="L279" s="14" t="n">
        <f aca="false">MAX(0,F279-E279)</f>
        <v>0</v>
      </c>
      <c r="M279" s="14" t="n">
        <f aca="false">IF(L279&lt;=Assumptions!$B$5,1,0)</f>
        <v>1</v>
      </c>
      <c r="N279" s="14" t="n">
        <f aca="false">IF(H279&gt;=G279,1,0)</f>
        <v>0</v>
      </c>
      <c r="O279" s="14" t="n">
        <f aca="false">M279*N279</f>
        <v>0</v>
      </c>
      <c r="P279" s="15" t="n">
        <f aca="false">L279*Assumptions!$B$6</f>
        <v>0</v>
      </c>
      <c r="Q279" s="31" t="n">
        <f aca="false">IF(I279=0,0,J279/I279)</f>
        <v>80.1781376518219</v>
      </c>
      <c r="R279" s="18" t="n">
        <f aca="false">IF(H279=0,0,K279/H279)</f>
        <v>0.0157790927021696</v>
      </c>
      <c r="S279" s="14" t="n">
        <f aca="false">MONTH(D279)</f>
        <v>3</v>
      </c>
    </row>
    <row r="280" customFormat="false" ht="15" hidden="false" customHeight="false" outlineLevel="0" collapsed="false">
      <c r="A280" s="21" t="s">
        <v>376</v>
      </c>
      <c r="B280" s="21" t="s">
        <v>46</v>
      </c>
      <c r="C280" s="21" t="s">
        <v>56</v>
      </c>
      <c r="D280" s="29" t="n">
        <v>46159</v>
      </c>
      <c r="E280" s="29" t="n">
        <v>46166</v>
      </c>
      <c r="F280" s="29" t="n">
        <v>46166</v>
      </c>
      <c r="G280" s="21" t="n">
        <v>140</v>
      </c>
      <c r="H280" s="21" t="n">
        <v>140</v>
      </c>
      <c r="I280" s="21" t="n">
        <v>170</v>
      </c>
      <c r="J280" s="30" t="n">
        <v>12897</v>
      </c>
      <c r="K280" s="21" t="n">
        <v>3</v>
      </c>
      <c r="L280" s="14" t="n">
        <f aca="false">MAX(0,F280-E280)</f>
        <v>0</v>
      </c>
      <c r="M280" s="14" t="n">
        <f aca="false">IF(L280&lt;=Assumptions!$B$5,1,0)</f>
        <v>1</v>
      </c>
      <c r="N280" s="14" t="n">
        <f aca="false">IF(H280&gt;=G280,1,0)</f>
        <v>1</v>
      </c>
      <c r="O280" s="14" t="n">
        <f aca="false">M280*N280</f>
        <v>1</v>
      </c>
      <c r="P280" s="15" t="n">
        <f aca="false">L280*Assumptions!$B$6</f>
        <v>0</v>
      </c>
      <c r="Q280" s="31" t="n">
        <f aca="false">IF(I280=0,0,J280/I280)</f>
        <v>75.8647058823529</v>
      </c>
      <c r="R280" s="18" t="n">
        <f aca="false">IF(H280=0,0,K280/H280)</f>
        <v>0.0214285714285714</v>
      </c>
      <c r="S280" s="14" t="n">
        <f aca="false">MONTH(D280)</f>
        <v>5</v>
      </c>
    </row>
    <row r="281" customFormat="false" ht="15" hidden="false" customHeight="false" outlineLevel="0" collapsed="false">
      <c r="A281" s="21" t="s">
        <v>377</v>
      </c>
      <c r="B281" s="21" t="s">
        <v>50</v>
      </c>
      <c r="C281" s="21" t="s">
        <v>58</v>
      </c>
      <c r="D281" s="29" t="n">
        <v>46035</v>
      </c>
      <c r="E281" s="29" t="n">
        <v>46040</v>
      </c>
      <c r="F281" s="29" t="n">
        <v>46041</v>
      </c>
      <c r="G281" s="21" t="n">
        <v>390</v>
      </c>
      <c r="H281" s="21" t="n">
        <v>390</v>
      </c>
      <c r="I281" s="21" t="n">
        <v>244</v>
      </c>
      <c r="J281" s="30" t="n">
        <v>21092</v>
      </c>
      <c r="K281" s="21" t="n">
        <v>5</v>
      </c>
      <c r="L281" s="14" t="n">
        <f aca="false">MAX(0,F281-E281)</f>
        <v>1</v>
      </c>
      <c r="M281" s="14" t="n">
        <f aca="false">IF(L281&lt;=Assumptions!$B$5,1,0)</f>
        <v>0</v>
      </c>
      <c r="N281" s="14" t="n">
        <f aca="false">IF(H281&gt;=G281,1,0)</f>
        <v>1</v>
      </c>
      <c r="O281" s="14" t="n">
        <f aca="false">M281*N281</f>
        <v>0</v>
      </c>
      <c r="P281" s="15" t="n">
        <f aca="false">L281*Assumptions!$B$6</f>
        <v>1500</v>
      </c>
      <c r="Q281" s="31" t="n">
        <f aca="false">IF(I281=0,0,J281/I281)</f>
        <v>86.4426229508197</v>
      </c>
      <c r="R281" s="18" t="n">
        <f aca="false">IF(H281=0,0,K281/H281)</f>
        <v>0.0128205128205128</v>
      </c>
      <c r="S281" s="14" t="n">
        <f aca="false">MONTH(D281)</f>
        <v>1</v>
      </c>
    </row>
    <row r="282" customFormat="false" ht="15" hidden="false" customHeight="false" outlineLevel="0" collapsed="false">
      <c r="A282" s="21" t="s">
        <v>378</v>
      </c>
      <c r="B282" s="21" t="s">
        <v>45</v>
      </c>
      <c r="C282" s="21" t="s">
        <v>54</v>
      </c>
      <c r="D282" s="29" t="n">
        <v>46079</v>
      </c>
      <c r="E282" s="29" t="n">
        <v>46086</v>
      </c>
      <c r="F282" s="29" t="n">
        <v>46086</v>
      </c>
      <c r="G282" s="21" t="n">
        <v>800</v>
      </c>
      <c r="H282" s="21" t="n">
        <v>800</v>
      </c>
      <c r="I282" s="21" t="n">
        <v>434</v>
      </c>
      <c r="J282" s="30" t="n">
        <v>45190</v>
      </c>
      <c r="K282" s="21" t="n">
        <v>12</v>
      </c>
      <c r="L282" s="14" t="n">
        <f aca="false">MAX(0,F282-E282)</f>
        <v>0</v>
      </c>
      <c r="M282" s="14" t="n">
        <f aca="false">IF(L282&lt;=Assumptions!$B$5,1,0)</f>
        <v>1</v>
      </c>
      <c r="N282" s="14" t="n">
        <f aca="false">IF(H282&gt;=G282,1,0)</f>
        <v>1</v>
      </c>
      <c r="O282" s="14" t="n">
        <f aca="false">M282*N282</f>
        <v>1</v>
      </c>
      <c r="P282" s="15" t="n">
        <f aca="false">L282*Assumptions!$B$6</f>
        <v>0</v>
      </c>
      <c r="Q282" s="31" t="n">
        <f aca="false">IF(I282=0,0,J282/I282)</f>
        <v>104.124423963134</v>
      </c>
      <c r="R282" s="18" t="n">
        <f aca="false">IF(H282=0,0,K282/H282)</f>
        <v>0.015</v>
      </c>
      <c r="S282" s="14" t="n">
        <f aca="false">MONTH(D282)</f>
        <v>2</v>
      </c>
    </row>
    <row r="283" customFormat="false" ht="15" hidden="false" customHeight="false" outlineLevel="0" collapsed="false">
      <c r="A283" s="21" t="s">
        <v>379</v>
      </c>
      <c r="B283" s="21" t="s">
        <v>48</v>
      </c>
      <c r="C283" s="21" t="s">
        <v>57</v>
      </c>
      <c r="D283" s="29" t="n">
        <v>46047</v>
      </c>
      <c r="E283" s="29" t="n">
        <v>46051</v>
      </c>
      <c r="F283" s="29" t="n">
        <v>46050</v>
      </c>
      <c r="G283" s="21" t="n">
        <v>610</v>
      </c>
      <c r="H283" s="21" t="n">
        <v>610</v>
      </c>
      <c r="I283" s="21" t="n">
        <v>282</v>
      </c>
      <c r="J283" s="30" t="n">
        <v>23039</v>
      </c>
      <c r="K283" s="21" t="n">
        <v>16</v>
      </c>
      <c r="L283" s="14" t="n">
        <f aca="false">MAX(0,F283-E283)</f>
        <v>0</v>
      </c>
      <c r="M283" s="14" t="n">
        <f aca="false">IF(L283&lt;=Assumptions!$B$5,1,0)</f>
        <v>1</v>
      </c>
      <c r="N283" s="14" t="n">
        <f aca="false">IF(H283&gt;=G283,1,0)</f>
        <v>1</v>
      </c>
      <c r="O283" s="14" t="n">
        <f aca="false">M283*N283</f>
        <v>1</v>
      </c>
      <c r="P283" s="15" t="n">
        <f aca="false">L283*Assumptions!$B$6</f>
        <v>0</v>
      </c>
      <c r="Q283" s="31" t="n">
        <f aca="false">IF(I283=0,0,J283/I283)</f>
        <v>81.6985815602837</v>
      </c>
      <c r="R283" s="18" t="n">
        <f aca="false">IF(H283=0,0,K283/H283)</f>
        <v>0.0262295081967213</v>
      </c>
      <c r="S283" s="14" t="n">
        <f aca="false">MONTH(D283)</f>
        <v>1</v>
      </c>
    </row>
    <row r="284" customFormat="false" ht="15" hidden="false" customHeight="false" outlineLevel="0" collapsed="false">
      <c r="A284" s="21" t="s">
        <v>380</v>
      </c>
      <c r="B284" s="21" t="s">
        <v>46</v>
      </c>
      <c r="C284" s="21" t="s">
        <v>58</v>
      </c>
      <c r="D284" s="29" t="n">
        <v>46242</v>
      </c>
      <c r="E284" s="29" t="n">
        <v>46246</v>
      </c>
      <c r="F284" s="29" t="n">
        <v>46246</v>
      </c>
      <c r="G284" s="21" t="n">
        <v>480</v>
      </c>
      <c r="H284" s="21" t="n">
        <v>480</v>
      </c>
      <c r="I284" s="21" t="n">
        <v>256</v>
      </c>
      <c r="J284" s="30" t="n">
        <v>28813</v>
      </c>
      <c r="K284" s="21" t="n">
        <v>2</v>
      </c>
      <c r="L284" s="14" t="n">
        <f aca="false">MAX(0,F284-E284)</f>
        <v>0</v>
      </c>
      <c r="M284" s="14" t="n">
        <f aca="false">IF(L284&lt;=Assumptions!$B$5,1,0)</f>
        <v>1</v>
      </c>
      <c r="N284" s="14" t="n">
        <f aca="false">IF(H284&gt;=G284,1,0)</f>
        <v>1</v>
      </c>
      <c r="O284" s="14" t="n">
        <f aca="false">M284*N284</f>
        <v>1</v>
      </c>
      <c r="P284" s="15" t="n">
        <f aca="false">L284*Assumptions!$B$6</f>
        <v>0</v>
      </c>
      <c r="Q284" s="31" t="n">
        <f aca="false">IF(I284=0,0,J284/I284)</f>
        <v>112.55078125</v>
      </c>
      <c r="R284" s="18" t="n">
        <f aca="false">IF(H284=0,0,K284/H284)</f>
        <v>0.00416666666666667</v>
      </c>
      <c r="S284" s="14" t="n">
        <f aca="false">MONTH(D284)</f>
        <v>8</v>
      </c>
    </row>
    <row r="285" customFormat="false" ht="15" hidden="false" customHeight="false" outlineLevel="0" collapsed="false">
      <c r="A285" s="21" t="s">
        <v>381</v>
      </c>
      <c r="B285" s="21" t="s">
        <v>49</v>
      </c>
      <c r="C285" s="21" t="s">
        <v>53</v>
      </c>
      <c r="D285" s="29" t="n">
        <v>46207</v>
      </c>
      <c r="E285" s="29" t="n">
        <v>46214</v>
      </c>
      <c r="F285" s="29" t="n">
        <v>46214</v>
      </c>
      <c r="G285" s="21" t="n">
        <v>350</v>
      </c>
      <c r="H285" s="21" t="n">
        <v>350</v>
      </c>
      <c r="I285" s="21" t="n">
        <v>29</v>
      </c>
      <c r="J285" s="30" t="n">
        <v>3819</v>
      </c>
      <c r="K285" s="21" t="n">
        <v>5</v>
      </c>
      <c r="L285" s="14" t="n">
        <f aca="false">MAX(0,F285-E285)</f>
        <v>0</v>
      </c>
      <c r="M285" s="14" t="n">
        <f aca="false">IF(L285&lt;=Assumptions!$B$5,1,0)</f>
        <v>1</v>
      </c>
      <c r="N285" s="14" t="n">
        <f aca="false">IF(H285&gt;=G285,1,0)</f>
        <v>1</v>
      </c>
      <c r="O285" s="14" t="n">
        <f aca="false">M285*N285</f>
        <v>1</v>
      </c>
      <c r="P285" s="15" t="n">
        <f aca="false">L285*Assumptions!$B$6</f>
        <v>0</v>
      </c>
      <c r="Q285" s="31" t="n">
        <f aca="false">IF(I285=0,0,J285/I285)</f>
        <v>131.689655172414</v>
      </c>
      <c r="R285" s="18" t="n">
        <f aca="false">IF(H285=0,0,K285/H285)</f>
        <v>0.0142857142857143</v>
      </c>
      <c r="S285" s="14" t="n">
        <f aca="false">MONTH(D285)</f>
        <v>7</v>
      </c>
    </row>
    <row r="286" customFormat="false" ht="15" hidden="false" customHeight="false" outlineLevel="0" collapsed="false">
      <c r="A286" s="21" t="s">
        <v>382</v>
      </c>
      <c r="B286" s="21" t="s">
        <v>49</v>
      </c>
      <c r="C286" s="21" t="s">
        <v>55</v>
      </c>
      <c r="D286" s="29" t="n">
        <v>46080</v>
      </c>
      <c r="E286" s="29" t="n">
        <v>46086</v>
      </c>
      <c r="F286" s="29" t="n">
        <v>46086</v>
      </c>
      <c r="G286" s="21" t="n">
        <v>390</v>
      </c>
      <c r="H286" s="21" t="n">
        <v>390</v>
      </c>
      <c r="I286" s="21" t="n">
        <v>358</v>
      </c>
      <c r="J286" s="30" t="n">
        <v>32578</v>
      </c>
      <c r="K286" s="21" t="n">
        <v>6</v>
      </c>
      <c r="L286" s="14" t="n">
        <f aca="false">MAX(0,F286-E286)</f>
        <v>0</v>
      </c>
      <c r="M286" s="14" t="n">
        <f aca="false">IF(L286&lt;=Assumptions!$B$5,1,0)</f>
        <v>1</v>
      </c>
      <c r="N286" s="14" t="n">
        <f aca="false">IF(H286&gt;=G286,1,0)</f>
        <v>1</v>
      </c>
      <c r="O286" s="14" t="n">
        <f aca="false">M286*N286</f>
        <v>1</v>
      </c>
      <c r="P286" s="15" t="n">
        <f aca="false">L286*Assumptions!$B$6</f>
        <v>0</v>
      </c>
      <c r="Q286" s="31" t="n">
        <f aca="false">IF(I286=0,0,J286/I286)</f>
        <v>91</v>
      </c>
      <c r="R286" s="18" t="n">
        <f aca="false">IF(H286=0,0,K286/H286)</f>
        <v>0.0153846153846154</v>
      </c>
      <c r="S286" s="14" t="n">
        <f aca="false">MONTH(D286)</f>
        <v>2</v>
      </c>
    </row>
    <row r="287" customFormat="false" ht="15" hidden="false" customHeight="false" outlineLevel="0" collapsed="false">
      <c r="A287" s="21" t="s">
        <v>383</v>
      </c>
      <c r="B287" s="21" t="s">
        <v>50</v>
      </c>
      <c r="C287" s="21" t="s">
        <v>58</v>
      </c>
      <c r="D287" s="29" t="n">
        <v>46152</v>
      </c>
      <c r="E287" s="29" t="n">
        <v>46162</v>
      </c>
      <c r="F287" s="29" t="n">
        <v>46162</v>
      </c>
      <c r="G287" s="21" t="n">
        <v>790</v>
      </c>
      <c r="H287" s="21" t="n">
        <v>790</v>
      </c>
      <c r="I287" s="21" t="n">
        <v>258</v>
      </c>
      <c r="J287" s="30" t="n">
        <v>25709</v>
      </c>
      <c r="K287" s="21" t="n">
        <v>4</v>
      </c>
      <c r="L287" s="14" t="n">
        <f aca="false">MAX(0,F287-E287)</f>
        <v>0</v>
      </c>
      <c r="M287" s="14" t="n">
        <f aca="false">IF(L287&lt;=Assumptions!$B$5,1,0)</f>
        <v>1</v>
      </c>
      <c r="N287" s="14" t="n">
        <f aca="false">IF(H287&gt;=G287,1,0)</f>
        <v>1</v>
      </c>
      <c r="O287" s="14" t="n">
        <f aca="false">M287*N287</f>
        <v>1</v>
      </c>
      <c r="P287" s="15" t="n">
        <f aca="false">L287*Assumptions!$B$6</f>
        <v>0</v>
      </c>
      <c r="Q287" s="31" t="n">
        <f aca="false">IF(I287=0,0,J287/I287)</f>
        <v>99.6472868217054</v>
      </c>
      <c r="R287" s="18" t="n">
        <f aca="false">IF(H287=0,0,K287/H287)</f>
        <v>0.00506329113924051</v>
      </c>
      <c r="S287" s="14" t="n">
        <f aca="false">MONTH(D287)</f>
        <v>5</v>
      </c>
    </row>
    <row r="288" customFormat="false" ht="15" hidden="false" customHeight="false" outlineLevel="0" collapsed="false">
      <c r="A288" s="21" t="s">
        <v>384</v>
      </c>
      <c r="B288" s="21" t="s">
        <v>46</v>
      </c>
      <c r="C288" s="21" t="s">
        <v>54</v>
      </c>
      <c r="D288" s="29" t="n">
        <v>46167</v>
      </c>
      <c r="E288" s="29" t="n">
        <v>46170</v>
      </c>
      <c r="F288" s="29" t="n">
        <v>46170</v>
      </c>
      <c r="G288" s="21" t="n">
        <v>60</v>
      </c>
      <c r="H288" s="21" t="n">
        <v>60</v>
      </c>
      <c r="I288" s="21" t="n">
        <v>477</v>
      </c>
      <c r="J288" s="30" t="n">
        <v>37843</v>
      </c>
      <c r="K288" s="21" t="n">
        <v>1</v>
      </c>
      <c r="L288" s="14" t="n">
        <f aca="false">MAX(0,F288-E288)</f>
        <v>0</v>
      </c>
      <c r="M288" s="14" t="n">
        <f aca="false">IF(L288&lt;=Assumptions!$B$5,1,0)</f>
        <v>1</v>
      </c>
      <c r="N288" s="14" t="n">
        <f aca="false">IF(H288&gt;=G288,1,0)</f>
        <v>1</v>
      </c>
      <c r="O288" s="14" t="n">
        <f aca="false">M288*N288</f>
        <v>1</v>
      </c>
      <c r="P288" s="15" t="n">
        <f aca="false">L288*Assumptions!$B$6</f>
        <v>0</v>
      </c>
      <c r="Q288" s="31" t="n">
        <f aca="false">IF(I288=0,0,J288/I288)</f>
        <v>79.335429769392</v>
      </c>
      <c r="R288" s="18" t="n">
        <f aca="false">IF(H288=0,0,K288/H288)</f>
        <v>0.0166666666666667</v>
      </c>
      <c r="S288" s="14" t="n">
        <f aca="false">MONTH(D288)</f>
        <v>5</v>
      </c>
    </row>
    <row r="289" customFormat="false" ht="15" hidden="false" customHeight="false" outlineLevel="0" collapsed="false">
      <c r="A289" s="21" t="s">
        <v>385</v>
      </c>
      <c r="B289" s="21" t="s">
        <v>49</v>
      </c>
      <c r="C289" s="21" t="s">
        <v>53</v>
      </c>
      <c r="D289" s="29" t="n">
        <v>46110</v>
      </c>
      <c r="E289" s="29" t="n">
        <v>46114</v>
      </c>
      <c r="F289" s="29" t="n">
        <v>46113</v>
      </c>
      <c r="G289" s="21" t="n">
        <v>290</v>
      </c>
      <c r="H289" s="21" t="n">
        <v>290</v>
      </c>
      <c r="I289" s="21" t="n">
        <v>58</v>
      </c>
      <c r="J289" s="30" t="n">
        <v>7903</v>
      </c>
      <c r="K289" s="21" t="n">
        <v>3</v>
      </c>
      <c r="L289" s="14" t="n">
        <f aca="false">MAX(0,F289-E289)</f>
        <v>0</v>
      </c>
      <c r="M289" s="14" t="n">
        <f aca="false">IF(L289&lt;=Assumptions!$B$5,1,0)</f>
        <v>1</v>
      </c>
      <c r="N289" s="14" t="n">
        <f aca="false">IF(H289&gt;=G289,1,0)</f>
        <v>1</v>
      </c>
      <c r="O289" s="14" t="n">
        <f aca="false">M289*N289</f>
        <v>1</v>
      </c>
      <c r="P289" s="15" t="n">
        <f aca="false">L289*Assumptions!$B$6</f>
        <v>0</v>
      </c>
      <c r="Q289" s="31" t="n">
        <f aca="false">IF(I289=0,0,J289/I289)</f>
        <v>136.258620689655</v>
      </c>
      <c r="R289" s="18" t="n">
        <f aca="false">IF(H289=0,0,K289/H289)</f>
        <v>0.0103448275862069</v>
      </c>
      <c r="S289" s="14" t="n">
        <f aca="false">MONTH(D289)</f>
        <v>3</v>
      </c>
    </row>
    <row r="290" customFormat="false" ht="15" hidden="false" customHeight="false" outlineLevel="0" collapsed="false">
      <c r="A290" s="21" t="s">
        <v>386</v>
      </c>
      <c r="B290" s="21" t="s">
        <v>48</v>
      </c>
      <c r="C290" s="21" t="s">
        <v>53</v>
      </c>
      <c r="D290" s="29" t="n">
        <v>46205</v>
      </c>
      <c r="E290" s="29" t="n">
        <v>46209</v>
      </c>
      <c r="F290" s="29" t="n">
        <v>46209</v>
      </c>
      <c r="G290" s="21" t="n">
        <v>910</v>
      </c>
      <c r="H290" s="21" t="n">
        <v>910</v>
      </c>
      <c r="I290" s="21" t="n">
        <v>57</v>
      </c>
      <c r="J290" s="30" t="n">
        <v>8904</v>
      </c>
      <c r="K290" s="21" t="n">
        <v>31</v>
      </c>
      <c r="L290" s="14" t="n">
        <f aca="false">MAX(0,F290-E290)</f>
        <v>0</v>
      </c>
      <c r="M290" s="14" t="n">
        <f aca="false">IF(L290&lt;=Assumptions!$B$5,1,0)</f>
        <v>1</v>
      </c>
      <c r="N290" s="14" t="n">
        <f aca="false">IF(H290&gt;=G290,1,0)</f>
        <v>1</v>
      </c>
      <c r="O290" s="14" t="n">
        <f aca="false">M290*N290</f>
        <v>1</v>
      </c>
      <c r="P290" s="15" t="n">
        <f aca="false">L290*Assumptions!$B$6</f>
        <v>0</v>
      </c>
      <c r="Q290" s="31" t="n">
        <f aca="false">IF(I290=0,0,J290/I290)</f>
        <v>156.210526315789</v>
      </c>
      <c r="R290" s="18" t="n">
        <f aca="false">IF(H290=0,0,K290/H290)</f>
        <v>0.0340659340659341</v>
      </c>
      <c r="S290" s="14" t="n">
        <f aca="false">MONTH(D290)</f>
        <v>7</v>
      </c>
    </row>
    <row r="291" customFormat="false" ht="15" hidden="false" customHeight="false" outlineLevel="0" collapsed="false">
      <c r="A291" s="21" t="s">
        <v>387</v>
      </c>
      <c r="B291" s="21" t="s">
        <v>47</v>
      </c>
      <c r="C291" s="21" t="s">
        <v>53</v>
      </c>
      <c r="D291" s="29" t="n">
        <v>46061</v>
      </c>
      <c r="E291" s="29" t="n">
        <v>46065</v>
      </c>
      <c r="F291" s="29" t="n">
        <v>46064</v>
      </c>
      <c r="G291" s="21" t="n">
        <v>700</v>
      </c>
      <c r="H291" s="21" t="n">
        <v>700</v>
      </c>
      <c r="I291" s="21" t="n">
        <v>20</v>
      </c>
      <c r="J291" s="30" t="n">
        <v>5743</v>
      </c>
      <c r="K291" s="21" t="n">
        <v>38</v>
      </c>
      <c r="L291" s="14" t="n">
        <f aca="false">MAX(0,F291-E291)</f>
        <v>0</v>
      </c>
      <c r="M291" s="14" t="n">
        <f aca="false">IF(L291&lt;=Assumptions!$B$5,1,0)</f>
        <v>1</v>
      </c>
      <c r="N291" s="14" t="n">
        <f aca="false">IF(H291&gt;=G291,1,0)</f>
        <v>1</v>
      </c>
      <c r="O291" s="14" t="n">
        <f aca="false">M291*N291</f>
        <v>1</v>
      </c>
      <c r="P291" s="15" t="n">
        <f aca="false">L291*Assumptions!$B$6</f>
        <v>0</v>
      </c>
      <c r="Q291" s="31" t="n">
        <f aca="false">IF(I291=0,0,J291/I291)</f>
        <v>287.15</v>
      </c>
      <c r="R291" s="18" t="n">
        <f aca="false">IF(H291=0,0,K291/H291)</f>
        <v>0.0542857142857143</v>
      </c>
      <c r="S291" s="14" t="n">
        <f aca="false">MONTH(D291)</f>
        <v>2</v>
      </c>
    </row>
    <row r="292" customFormat="false" ht="15" hidden="false" customHeight="false" outlineLevel="0" collapsed="false">
      <c r="A292" s="21" t="s">
        <v>388</v>
      </c>
      <c r="B292" s="21" t="s">
        <v>46</v>
      </c>
      <c r="C292" s="21" t="s">
        <v>53</v>
      </c>
      <c r="D292" s="29" t="n">
        <v>46233</v>
      </c>
      <c r="E292" s="29" t="n">
        <v>46242</v>
      </c>
      <c r="F292" s="29" t="n">
        <v>46242</v>
      </c>
      <c r="G292" s="21" t="n">
        <v>560</v>
      </c>
      <c r="H292" s="21" t="n">
        <v>560</v>
      </c>
      <c r="I292" s="21" t="n">
        <v>53</v>
      </c>
      <c r="J292" s="30" t="n">
        <v>7885</v>
      </c>
      <c r="K292" s="21" t="n">
        <v>0</v>
      </c>
      <c r="L292" s="14" t="n">
        <f aca="false">MAX(0,F292-E292)</f>
        <v>0</v>
      </c>
      <c r="M292" s="14" t="n">
        <f aca="false">IF(L292&lt;=Assumptions!$B$5,1,0)</f>
        <v>1</v>
      </c>
      <c r="N292" s="14" t="n">
        <f aca="false">IF(H292&gt;=G292,1,0)</f>
        <v>1</v>
      </c>
      <c r="O292" s="14" t="n">
        <f aca="false">M292*N292</f>
        <v>1</v>
      </c>
      <c r="P292" s="15" t="n">
        <f aca="false">L292*Assumptions!$B$6</f>
        <v>0</v>
      </c>
      <c r="Q292" s="31" t="n">
        <f aca="false">IF(I292=0,0,J292/I292)</f>
        <v>148.77358490566</v>
      </c>
      <c r="R292" s="18" t="n">
        <f aca="false">IF(H292=0,0,K292/H292)</f>
        <v>0</v>
      </c>
      <c r="S292" s="14" t="n">
        <f aca="false">MONTH(D292)</f>
        <v>7</v>
      </c>
    </row>
    <row r="293" customFormat="false" ht="15" hidden="false" customHeight="false" outlineLevel="0" collapsed="false">
      <c r="A293" s="21" t="s">
        <v>389</v>
      </c>
      <c r="B293" s="21" t="s">
        <v>48</v>
      </c>
      <c r="C293" s="21" t="s">
        <v>58</v>
      </c>
      <c r="D293" s="29" t="n">
        <v>46080</v>
      </c>
      <c r="E293" s="29" t="n">
        <v>46084</v>
      </c>
      <c r="F293" s="29" t="n">
        <v>46084</v>
      </c>
      <c r="G293" s="21" t="n">
        <v>240</v>
      </c>
      <c r="H293" s="21" t="n">
        <v>240</v>
      </c>
      <c r="I293" s="21" t="n">
        <v>243</v>
      </c>
      <c r="J293" s="30" t="n">
        <v>19766</v>
      </c>
      <c r="K293" s="21" t="n">
        <v>4</v>
      </c>
      <c r="L293" s="14" t="n">
        <f aca="false">MAX(0,F293-E293)</f>
        <v>0</v>
      </c>
      <c r="M293" s="14" t="n">
        <f aca="false">IF(L293&lt;=Assumptions!$B$5,1,0)</f>
        <v>1</v>
      </c>
      <c r="N293" s="14" t="n">
        <f aca="false">IF(H293&gt;=G293,1,0)</f>
        <v>1</v>
      </c>
      <c r="O293" s="14" t="n">
        <f aca="false">M293*N293</f>
        <v>1</v>
      </c>
      <c r="P293" s="15" t="n">
        <f aca="false">L293*Assumptions!$B$6</f>
        <v>0</v>
      </c>
      <c r="Q293" s="31" t="n">
        <f aca="false">IF(I293=0,0,J293/I293)</f>
        <v>81.3415637860082</v>
      </c>
      <c r="R293" s="18" t="n">
        <f aca="false">IF(H293=0,0,K293/H293)</f>
        <v>0.0166666666666667</v>
      </c>
      <c r="S293" s="14" t="n">
        <f aca="false">MONTH(D293)</f>
        <v>2</v>
      </c>
    </row>
    <row r="294" customFormat="false" ht="15" hidden="false" customHeight="false" outlineLevel="0" collapsed="false">
      <c r="A294" s="21" t="s">
        <v>390</v>
      </c>
      <c r="B294" s="21" t="s">
        <v>49</v>
      </c>
      <c r="C294" s="21" t="s">
        <v>56</v>
      </c>
      <c r="D294" s="29" t="n">
        <v>46091</v>
      </c>
      <c r="E294" s="29" t="n">
        <v>46098</v>
      </c>
      <c r="F294" s="29" t="n">
        <v>46098</v>
      </c>
      <c r="G294" s="21" t="n">
        <v>280</v>
      </c>
      <c r="H294" s="21" t="n">
        <v>280</v>
      </c>
      <c r="I294" s="21" t="n">
        <v>167</v>
      </c>
      <c r="J294" s="30" t="n">
        <v>17717</v>
      </c>
      <c r="K294" s="21" t="n">
        <v>3</v>
      </c>
      <c r="L294" s="14" t="n">
        <f aca="false">MAX(0,F294-E294)</f>
        <v>0</v>
      </c>
      <c r="M294" s="14" t="n">
        <f aca="false">IF(L294&lt;=Assumptions!$B$5,1,0)</f>
        <v>1</v>
      </c>
      <c r="N294" s="14" t="n">
        <f aca="false">IF(H294&gt;=G294,1,0)</f>
        <v>1</v>
      </c>
      <c r="O294" s="14" t="n">
        <f aca="false">M294*N294</f>
        <v>1</v>
      </c>
      <c r="P294" s="15" t="n">
        <f aca="false">L294*Assumptions!$B$6</f>
        <v>0</v>
      </c>
      <c r="Q294" s="31" t="n">
        <f aca="false">IF(I294=0,0,J294/I294)</f>
        <v>106.089820359281</v>
      </c>
      <c r="R294" s="18" t="n">
        <f aca="false">IF(H294=0,0,K294/H294)</f>
        <v>0.0107142857142857</v>
      </c>
      <c r="S294" s="14" t="n">
        <f aca="false">MONTH(D294)</f>
        <v>3</v>
      </c>
    </row>
    <row r="295" customFormat="false" ht="15" hidden="false" customHeight="false" outlineLevel="0" collapsed="false">
      <c r="A295" s="21" t="s">
        <v>391</v>
      </c>
      <c r="B295" s="21" t="s">
        <v>49</v>
      </c>
      <c r="C295" s="21" t="s">
        <v>54</v>
      </c>
      <c r="D295" s="29" t="n">
        <v>46161</v>
      </c>
      <c r="E295" s="29" t="n">
        <v>46164</v>
      </c>
      <c r="F295" s="29" t="n">
        <v>46163</v>
      </c>
      <c r="G295" s="21" t="n">
        <v>160</v>
      </c>
      <c r="H295" s="21" t="n">
        <v>160</v>
      </c>
      <c r="I295" s="21" t="n">
        <v>482</v>
      </c>
      <c r="J295" s="30" t="n">
        <v>42499</v>
      </c>
      <c r="K295" s="21" t="n">
        <v>1</v>
      </c>
      <c r="L295" s="14" t="n">
        <f aca="false">MAX(0,F295-E295)</f>
        <v>0</v>
      </c>
      <c r="M295" s="14" t="n">
        <f aca="false">IF(L295&lt;=Assumptions!$B$5,1,0)</f>
        <v>1</v>
      </c>
      <c r="N295" s="14" t="n">
        <f aca="false">IF(H295&gt;=G295,1,0)</f>
        <v>1</v>
      </c>
      <c r="O295" s="14" t="n">
        <f aca="false">M295*N295</f>
        <v>1</v>
      </c>
      <c r="P295" s="15" t="n">
        <f aca="false">L295*Assumptions!$B$6</f>
        <v>0</v>
      </c>
      <c r="Q295" s="31" t="n">
        <f aca="false">IF(I295=0,0,J295/I295)</f>
        <v>88.1721991701245</v>
      </c>
      <c r="R295" s="18" t="n">
        <f aca="false">IF(H295=0,0,K295/H295)</f>
        <v>0.00625</v>
      </c>
      <c r="S295" s="14" t="n">
        <f aca="false">MONTH(D295)</f>
        <v>5</v>
      </c>
    </row>
    <row r="296" customFormat="false" ht="15" hidden="false" customHeight="false" outlineLevel="0" collapsed="false">
      <c r="A296" s="21" t="s">
        <v>392</v>
      </c>
      <c r="B296" s="21" t="s">
        <v>45</v>
      </c>
      <c r="C296" s="21" t="s">
        <v>56</v>
      </c>
      <c r="D296" s="29" t="n">
        <v>46184</v>
      </c>
      <c r="E296" s="29" t="n">
        <v>46192</v>
      </c>
      <c r="F296" s="29" t="n">
        <v>46192</v>
      </c>
      <c r="G296" s="21" t="n">
        <v>580</v>
      </c>
      <c r="H296" s="21" t="n">
        <v>580</v>
      </c>
      <c r="I296" s="21" t="n">
        <v>155</v>
      </c>
      <c r="J296" s="30" t="n">
        <v>17103</v>
      </c>
      <c r="K296" s="21" t="n">
        <v>5</v>
      </c>
      <c r="L296" s="14" t="n">
        <f aca="false">MAX(0,F296-E296)</f>
        <v>0</v>
      </c>
      <c r="M296" s="14" t="n">
        <f aca="false">IF(L296&lt;=Assumptions!$B$5,1,0)</f>
        <v>1</v>
      </c>
      <c r="N296" s="14" t="n">
        <f aca="false">IF(H296&gt;=G296,1,0)</f>
        <v>1</v>
      </c>
      <c r="O296" s="14" t="n">
        <f aca="false">M296*N296</f>
        <v>1</v>
      </c>
      <c r="P296" s="15" t="n">
        <f aca="false">L296*Assumptions!$B$6</f>
        <v>0</v>
      </c>
      <c r="Q296" s="31" t="n">
        <f aca="false">IF(I296=0,0,J296/I296)</f>
        <v>110.341935483871</v>
      </c>
      <c r="R296" s="18" t="n">
        <f aca="false">IF(H296=0,0,K296/H296)</f>
        <v>0.00862068965517241</v>
      </c>
      <c r="S296" s="14" t="n">
        <f aca="false">MONTH(D296)</f>
        <v>6</v>
      </c>
    </row>
    <row r="297" customFormat="false" ht="15" hidden="false" customHeight="false" outlineLevel="0" collapsed="false">
      <c r="A297" s="21" t="s">
        <v>393</v>
      </c>
      <c r="B297" s="21" t="s">
        <v>45</v>
      </c>
      <c r="C297" s="21" t="s">
        <v>56</v>
      </c>
      <c r="D297" s="29" t="n">
        <v>46156</v>
      </c>
      <c r="E297" s="29" t="n">
        <v>46159</v>
      </c>
      <c r="F297" s="29" t="n">
        <v>46158</v>
      </c>
      <c r="G297" s="21" t="n">
        <v>70</v>
      </c>
      <c r="H297" s="21" t="n">
        <v>70</v>
      </c>
      <c r="I297" s="21" t="n">
        <v>158</v>
      </c>
      <c r="J297" s="30" t="n">
        <v>13884</v>
      </c>
      <c r="K297" s="21" t="n">
        <v>0</v>
      </c>
      <c r="L297" s="14" t="n">
        <f aca="false">MAX(0,F297-E297)</f>
        <v>0</v>
      </c>
      <c r="M297" s="14" t="n">
        <f aca="false">IF(L297&lt;=Assumptions!$B$5,1,0)</f>
        <v>1</v>
      </c>
      <c r="N297" s="14" t="n">
        <f aca="false">IF(H297&gt;=G297,1,0)</f>
        <v>1</v>
      </c>
      <c r="O297" s="14" t="n">
        <f aca="false">M297*N297</f>
        <v>1</v>
      </c>
      <c r="P297" s="15" t="n">
        <f aca="false">L297*Assumptions!$B$6</f>
        <v>0</v>
      </c>
      <c r="Q297" s="31" t="n">
        <f aca="false">IF(I297=0,0,J297/I297)</f>
        <v>87.873417721519</v>
      </c>
      <c r="R297" s="18" t="n">
        <f aca="false">IF(H297=0,0,K297/H297)</f>
        <v>0</v>
      </c>
      <c r="S297" s="14" t="n">
        <f aca="false">MONTH(D297)</f>
        <v>5</v>
      </c>
    </row>
    <row r="298" customFormat="false" ht="15" hidden="false" customHeight="false" outlineLevel="0" collapsed="false">
      <c r="A298" s="21" t="s">
        <v>394</v>
      </c>
      <c r="B298" s="21" t="s">
        <v>50</v>
      </c>
      <c r="C298" s="21" t="s">
        <v>54</v>
      </c>
      <c r="D298" s="29" t="n">
        <v>46182</v>
      </c>
      <c r="E298" s="29" t="n">
        <v>46191</v>
      </c>
      <c r="F298" s="29" t="n">
        <v>46191</v>
      </c>
      <c r="G298" s="21" t="n">
        <v>70</v>
      </c>
      <c r="H298" s="21" t="n">
        <v>58</v>
      </c>
      <c r="I298" s="21" t="n">
        <v>509</v>
      </c>
      <c r="J298" s="30" t="n">
        <v>48689</v>
      </c>
      <c r="K298" s="21" t="n">
        <v>1</v>
      </c>
      <c r="L298" s="14" t="n">
        <f aca="false">MAX(0,F298-E298)</f>
        <v>0</v>
      </c>
      <c r="M298" s="14" t="n">
        <f aca="false">IF(L298&lt;=Assumptions!$B$5,1,0)</f>
        <v>1</v>
      </c>
      <c r="N298" s="14" t="n">
        <f aca="false">IF(H298&gt;=G298,1,0)</f>
        <v>0</v>
      </c>
      <c r="O298" s="14" t="n">
        <f aca="false">M298*N298</f>
        <v>0</v>
      </c>
      <c r="P298" s="15" t="n">
        <f aca="false">L298*Assumptions!$B$6</f>
        <v>0</v>
      </c>
      <c r="Q298" s="31" t="n">
        <f aca="false">IF(I298=0,0,J298/I298)</f>
        <v>95.6561886051081</v>
      </c>
      <c r="R298" s="18" t="n">
        <f aca="false">IF(H298=0,0,K298/H298)</f>
        <v>0.0172413793103448</v>
      </c>
      <c r="S298" s="14" t="n">
        <f aca="false">MONTH(D298)</f>
        <v>6</v>
      </c>
    </row>
    <row r="299" customFormat="false" ht="15" hidden="false" customHeight="false" outlineLevel="0" collapsed="false">
      <c r="A299" s="21" t="s">
        <v>395</v>
      </c>
      <c r="B299" s="21" t="s">
        <v>45</v>
      </c>
      <c r="C299" s="21" t="s">
        <v>53</v>
      </c>
      <c r="D299" s="29" t="n">
        <v>46067</v>
      </c>
      <c r="E299" s="29" t="n">
        <v>46071</v>
      </c>
      <c r="F299" s="29" t="n">
        <v>46071</v>
      </c>
      <c r="G299" s="21" t="n">
        <v>210</v>
      </c>
      <c r="H299" s="21" t="n">
        <v>210</v>
      </c>
      <c r="I299" s="21" t="n">
        <v>50</v>
      </c>
      <c r="J299" s="30" t="n">
        <v>4929</v>
      </c>
      <c r="K299" s="21" t="n">
        <v>0</v>
      </c>
      <c r="L299" s="14" t="n">
        <f aca="false">MAX(0,F299-E299)</f>
        <v>0</v>
      </c>
      <c r="M299" s="14" t="n">
        <f aca="false">IF(L299&lt;=Assumptions!$B$5,1,0)</f>
        <v>1</v>
      </c>
      <c r="N299" s="14" t="n">
        <f aca="false">IF(H299&gt;=G299,1,0)</f>
        <v>1</v>
      </c>
      <c r="O299" s="14" t="n">
        <f aca="false">M299*N299</f>
        <v>1</v>
      </c>
      <c r="P299" s="15" t="n">
        <f aca="false">L299*Assumptions!$B$6</f>
        <v>0</v>
      </c>
      <c r="Q299" s="31" t="n">
        <f aca="false">IF(I299=0,0,J299/I299)</f>
        <v>98.58</v>
      </c>
      <c r="R299" s="18" t="n">
        <f aca="false">IF(H299=0,0,K299/H299)</f>
        <v>0</v>
      </c>
      <c r="S299" s="14" t="n">
        <f aca="false">MONTH(D299)</f>
        <v>2</v>
      </c>
    </row>
    <row r="300" customFormat="false" ht="15" hidden="false" customHeight="false" outlineLevel="0" collapsed="false">
      <c r="A300" s="21" t="s">
        <v>396</v>
      </c>
      <c r="B300" s="21" t="s">
        <v>48</v>
      </c>
      <c r="C300" s="21" t="s">
        <v>55</v>
      </c>
      <c r="D300" s="29" t="n">
        <v>46047</v>
      </c>
      <c r="E300" s="29" t="n">
        <v>46050</v>
      </c>
      <c r="F300" s="29" t="n">
        <v>46056</v>
      </c>
      <c r="G300" s="21" t="n">
        <v>590</v>
      </c>
      <c r="H300" s="21" t="n">
        <v>590</v>
      </c>
      <c r="I300" s="21" t="n">
        <v>283</v>
      </c>
      <c r="J300" s="30" t="n">
        <v>21672</v>
      </c>
      <c r="K300" s="21" t="n">
        <v>9</v>
      </c>
      <c r="L300" s="14" t="n">
        <f aca="false">MAX(0,F300-E300)</f>
        <v>6</v>
      </c>
      <c r="M300" s="14" t="n">
        <f aca="false">IF(L300&lt;=Assumptions!$B$5,1,0)</f>
        <v>0</v>
      </c>
      <c r="N300" s="14" t="n">
        <f aca="false">IF(H300&gt;=G300,1,0)</f>
        <v>1</v>
      </c>
      <c r="O300" s="14" t="n">
        <f aca="false">M300*N300</f>
        <v>0</v>
      </c>
      <c r="P300" s="15" t="n">
        <f aca="false">L300*Assumptions!$B$6</f>
        <v>9000</v>
      </c>
      <c r="Q300" s="31" t="n">
        <f aca="false">IF(I300=0,0,J300/I300)</f>
        <v>76.5795053003534</v>
      </c>
      <c r="R300" s="18" t="n">
        <f aca="false">IF(H300=0,0,K300/H300)</f>
        <v>0.0152542372881356</v>
      </c>
      <c r="S300" s="14" t="n">
        <f aca="false">MONTH(D300)</f>
        <v>1</v>
      </c>
    </row>
    <row r="301" customFormat="false" ht="15" hidden="false" customHeight="false" outlineLevel="0" collapsed="false">
      <c r="A301" s="21" t="s">
        <v>397</v>
      </c>
      <c r="B301" s="21" t="s">
        <v>50</v>
      </c>
      <c r="C301" s="21" t="s">
        <v>53</v>
      </c>
      <c r="D301" s="29" t="n">
        <v>46212</v>
      </c>
      <c r="E301" s="29" t="n">
        <v>46215</v>
      </c>
      <c r="F301" s="29" t="n">
        <v>46215</v>
      </c>
      <c r="G301" s="21" t="n">
        <v>710</v>
      </c>
      <c r="H301" s="21" t="n">
        <v>710</v>
      </c>
      <c r="I301" s="21" t="n">
        <v>33</v>
      </c>
      <c r="J301" s="30" t="n">
        <v>7214</v>
      </c>
      <c r="K301" s="21" t="n">
        <v>2</v>
      </c>
      <c r="L301" s="14" t="n">
        <f aca="false">MAX(0,F301-E301)</f>
        <v>0</v>
      </c>
      <c r="M301" s="14" t="n">
        <f aca="false">IF(L301&lt;=Assumptions!$B$5,1,0)</f>
        <v>1</v>
      </c>
      <c r="N301" s="14" t="n">
        <f aca="false">IF(H301&gt;=G301,1,0)</f>
        <v>1</v>
      </c>
      <c r="O301" s="14" t="n">
        <f aca="false">M301*N301</f>
        <v>1</v>
      </c>
      <c r="P301" s="15" t="n">
        <f aca="false">L301*Assumptions!$B$6</f>
        <v>0</v>
      </c>
      <c r="Q301" s="31" t="n">
        <f aca="false">IF(I301=0,0,J301/I301)</f>
        <v>218.606060606061</v>
      </c>
      <c r="R301" s="18" t="n">
        <f aca="false">IF(H301=0,0,K301/H301)</f>
        <v>0.0028169014084507</v>
      </c>
      <c r="S301" s="14" t="n">
        <f aca="false">MONTH(D301)</f>
        <v>7</v>
      </c>
    </row>
    <row r="302" customFormat="false" ht="15" hidden="false" customHeight="false" outlineLevel="0" collapsed="false">
      <c r="A302" s="21" t="s">
        <v>398</v>
      </c>
      <c r="B302" s="21" t="s">
        <v>47</v>
      </c>
      <c r="C302" s="21" t="s">
        <v>57</v>
      </c>
      <c r="D302" s="29" t="n">
        <v>46127</v>
      </c>
      <c r="E302" s="29" t="n">
        <v>46132</v>
      </c>
      <c r="F302" s="29" t="n">
        <v>46135</v>
      </c>
      <c r="G302" s="21" t="n">
        <v>550</v>
      </c>
      <c r="H302" s="21" t="n">
        <v>550</v>
      </c>
      <c r="I302" s="21" t="n">
        <v>263</v>
      </c>
      <c r="J302" s="30" t="n">
        <v>22984</v>
      </c>
      <c r="K302" s="21" t="n">
        <v>39</v>
      </c>
      <c r="L302" s="14" t="n">
        <f aca="false">MAX(0,F302-E302)</f>
        <v>3</v>
      </c>
      <c r="M302" s="14" t="n">
        <f aca="false">IF(L302&lt;=Assumptions!$B$5,1,0)</f>
        <v>0</v>
      </c>
      <c r="N302" s="14" t="n">
        <f aca="false">IF(H302&gt;=G302,1,0)</f>
        <v>1</v>
      </c>
      <c r="O302" s="14" t="n">
        <f aca="false">M302*N302</f>
        <v>0</v>
      </c>
      <c r="P302" s="15" t="n">
        <f aca="false">L302*Assumptions!$B$6</f>
        <v>4500</v>
      </c>
      <c r="Q302" s="31" t="n">
        <f aca="false">IF(I302=0,0,J302/I302)</f>
        <v>87.3916349809886</v>
      </c>
      <c r="R302" s="18" t="n">
        <f aca="false">IF(H302=0,0,K302/H302)</f>
        <v>0.0709090909090909</v>
      </c>
      <c r="S302" s="14" t="n">
        <f aca="false">MONTH(D302)</f>
        <v>4</v>
      </c>
    </row>
    <row r="303" customFormat="false" ht="15" hidden="false" customHeight="false" outlineLevel="0" collapsed="false">
      <c r="A303" s="21" t="s">
        <v>399</v>
      </c>
      <c r="B303" s="21" t="s">
        <v>45</v>
      </c>
      <c r="C303" s="21" t="s">
        <v>53</v>
      </c>
      <c r="D303" s="29" t="n">
        <v>46133</v>
      </c>
      <c r="E303" s="29" t="n">
        <v>46138</v>
      </c>
      <c r="F303" s="29" t="n">
        <v>46138</v>
      </c>
      <c r="G303" s="21" t="n">
        <v>170</v>
      </c>
      <c r="H303" s="21" t="n">
        <v>170</v>
      </c>
      <c r="I303" s="21" t="n">
        <v>60</v>
      </c>
      <c r="J303" s="30" t="n">
        <v>6514</v>
      </c>
      <c r="K303" s="21" t="n">
        <v>2</v>
      </c>
      <c r="L303" s="14" t="n">
        <f aca="false">MAX(0,F303-E303)</f>
        <v>0</v>
      </c>
      <c r="M303" s="14" t="n">
        <f aca="false">IF(L303&lt;=Assumptions!$B$5,1,0)</f>
        <v>1</v>
      </c>
      <c r="N303" s="14" t="n">
        <f aca="false">IF(H303&gt;=G303,1,0)</f>
        <v>1</v>
      </c>
      <c r="O303" s="14" t="n">
        <f aca="false">M303*N303</f>
        <v>1</v>
      </c>
      <c r="P303" s="15" t="n">
        <f aca="false">L303*Assumptions!$B$6</f>
        <v>0</v>
      </c>
      <c r="Q303" s="31" t="n">
        <f aca="false">IF(I303=0,0,J303/I303)</f>
        <v>108.566666666667</v>
      </c>
      <c r="R303" s="18" t="n">
        <f aca="false">IF(H303=0,0,K303/H303)</f>
        <v>0.0117647058823529</v>
      </c>
      <c r="S303" s="14" t="n">
        <f aca="false">MONTH(D303)</f>
        <v>4</v>
      </c>
    </row>
    <row r="304" customFormat="false" ht="15" hidden="false" customHeight="false" outlineLevel="0" collapsed="false">
      <c r="A304" s="21" t="s">
        <v>400</v>
      </c>
      <c r="B304" s="21" t="s">
        <v>45</v>
      </c>
      <c r="C304" s="21" t="s">
        <v>53</v>
      </c>
      <c r="D304" s="29" t="n">
        <v>46180</v>
      </c>
      <c r="E304" s="29" t="n">
        <v>46188</v>
      </c>
      <c r="F304" s="29" t="n">
        <v>46187</v>
      </c>
      <c r="G304" s="21" t="n">
        <v>580</v>
      </c>
      <c r="H304" s="21" t="n">
        <v>580</v>
      </c>
      <c r="I304" s="21" t="n">
        <v>43</v>
      </c>
      <c r="J304" s="30" t="n">
        <v>5628</v>
      </c>
      <c r="K304" s="21" t="n">
        <v>8</v>
      </c>
      <c r="L304" s="14" t="n">
        <f aca="false">MAX(0,F304-E304)</f>
        <v>0</v>
      </c>
      <c r="M304" s="14" t="n">
        <f aca="false">IF(L304&lt;=Assumptions!$B$5,1,0)</f>
        <v>1</v>
      </c>
      <c r="N304" s="14" t="n">
        <f aca="false">IF(H304&gt;=G304,1,0)</f>
        <v>1</v>
      </c>
      <c r="O304" s="14" t="n">
        <f aca="false">M304*N304</f>
        <v>1</v>
      </c>
      <c r="P304" s="15" t="n">
        <f aca="false">L304*Assumptions!$B$6</f>
        <v>0</v>
      </c>
      <c r="Q304" s="31" t="n">
        <f aca="false">IF(I304=0,0,J304/I304)</f>
        <v>130.883720930233</v>
      </c>
      <c r="R304" s="18" t="n">
        <f aca="false">IF(H304=0,0,K304/H304)</f>
        <v>0.0137931034482759</v>
      </c>
      <c r="S304" s="14" t="n">
        <f aca="false">MONTH(D304)</f>
        <v>6</v>
      </c>
    </row>
    <row r="305" customFormat="false" ht="15" hidden="false" customHeight="false" outlineLevel="0" collapsed="false">
      <c r="A305" s="21" t="s">
        <v>401</v>
      </c>
      <c r="B305" s="21" t="s">
        <v>49</v>
      </c>
      <c r="C305" s="21" t="s">
        <v>57</v>
      </c>
      <c r="D305" s="29" t="n">
        <v>46094</v>
      </c>
      <c r="E305" s="29" t="n">
        <v>46101</v>
      </c>
      <c r="F305" s="29" t="n">
        <v>46101</v>
      </c>
      <c r="G305" s="21" t="n">
        <v>50</v>
      </c>
      <c r="H305" s="21" t="n">
        <v>50</v>
      </c>
      <c r="I305" s="21" t="n">
        <v>282</v>
      </c>
      <c r="J305" s="30" t="n">
        <v>22990</v>
      </c>
      <c r="K305" s="21" t="n">
        <v>0</v>
      </c>
      <c r="L305" s="14" t="n">
        <f aca="false">MAX(0,F305-E305)</f>
        <v>0</v>
      </c>
      <c r="M305" s="14" t="n">
        <f aca="false">IF(L305&lt;=Assumptions!$B$5,1,0)</f>
        <v>1</v>
      </c>
      <c r="N305" s="14" t="n">
        <f aca="false">IF(H305&gt;=G305,1,0)</f>
        <v>1</v>
      </c>
      <c r="O305" s="14" t="n">
        <f aca="false">M305*N305</f>
        <v>1</v>
      </c>
      <c r="P305" s="15" t="n">
        <f aca="false">L305*Assumptions!$B$6</f>
        <v>0</v>
      </c>
      <c r="Q305" s="31" t="n">
        <f aca="false">IF(I305=0,0,J305/I305)</f>
        <v>81.5248226950355</v>
      </c>
      <c r="R305" s="18" t="n">
        <f aca="false">IF(H305=0,0,K305/H305)</f>
        <v>0</v>
      </c>
      <c r="S305" s="14" t="n">
        <f aca="false">MONTH(D305)</f>
        <v>3</v>
      </c>
    </row>
    <row r="306" customFormat="false" ht="15" hidden="false" customHeight="false" outlineLevel="0" collapsed="false">
      <c r="A306" s="21" t="s">
        <v>402</v>
      </c>
      <c r="B306" s="21" t="s">
        <v>46</v>
      </c>
      <c r="C306" s="21" t="s">
        <v>53</v>
      </c>
      <c r="D306" s="29" t="n">
        <v>46035</v>
      </c>
      <c r="E306" s="29" t="n">
        <v>46038</v>
      </c>
      <c r="F306" s="29" t="n">
        <v>46042</v>
      </c>
      <c r="G306" s="21" t="n">
        <v>180</v>
      </c>
      <c r="H306" s="21" t="n">
        <v>180</v>
      </c>
      <c r="I306" s="21" t="n">
        <v>47</v>
      </c>
      <c r="J306" s="30" t="n">
        <v>4389</v>
      </c>
      <c r="K306" s="21" t="n">
        <v>0</v>
      </c>
      <c r="L306" s="14" t="n">
        <f aca="false">MAX(0,F306-E306)</f>
        <v>4</v>
      </c>
      <c r="M306" s="14" t="n">
        <f aca="false">IF(L306&lt;=Assumptions!$B$5,1,0)</f>
        <v>0</v>
      </c>
      <c r="N306" s="14" t="n">
        <f aca="false">IF(H306&gt;=G306,1,0)</f>
        <v>1</v>
      </c>
      <c r="O306" s="14" t="n">
        <f aca="false">M306*N306</f>
        <v>0</v>
      </c>
      <c r="P306" s="15" t="n">
        <f aca="false">L306*Assumptions!$B$6</f>
        <v>6000</v>
      </c>
      <c r="Q306" s="31" t="n">
        <f aca="false">IF(I306=0,0,J306/I306)</f>
        <v>93.3829787234043</v>
      </c>
      <c r="R306" s="18" t="n">
        <f aca="false">IF(H306=0,0,K306/H306)</f>
        <v>0</v>
      </c>
      <c r="S306" s="14" t="n">
        <f aca="false">MONTH(D306)</f>
        <v>1</v>
      </c>
    </row>
    <row r="307" customFormat="false" ht="15" hidden="false" customHeight="false" outlineLevel="0" collapsed="false">
      <c r="A307" s="21" t="s">
        <v>403</v>
      </c>
      <c r="B307" s="21" t="s">
        <v>48</v>
      </c>
      <c r="C307" s="21" t="s">
        <v>58</v>
      </c>
      <c r="D307" s="29" t="n">
        <v>46228</v>
      </c>
      <c r="E307" s="29" t="n">
        <v>46238</v>
      </c>
      <c r="F307" s="29" t="n">
        <v>46238</v>
      </c>
      <c r="G307" s="21" t="n">
        <v>700</v>
      </c>
      <c r="H307" s="21" t="n">
        <v>700</v>
      </c>
      <c r="I307" s="21" t="n">
        <v>228</v>
      </c>
      <c r="J307" s="30" t="n">
        <v>23321</v>
      </c>
      <c r="K307" s="21" t="n">
        <v>36</v>
      </c>
      <c r="L307" s="14" t="n">
        <f aca="false">MAX(0,F307-E307)</f>
        <v>0</v>
      </c>
      <c r="M307" s="14" t="n">
        <f aca="false">IF(L307&lt;=Assumptions!$B$5,1,0)</f>
        <v>1</v>
      </c>
      <c r="N307" s="14" t="n">
        <f aca="false">IF(H307&gt;=G307,1,0)</f>
        <v>1</v>
      </c>
      <c r="O307" s="14" t="n">
        <f aca="false">M307*N307</f>
        <v>1</v>
      </c>
      <c r="P307" s="15" t="n">
        <f aca="false">L307*Assumptions!$B$6</f>
        <v>0</v>
      </c>
      <c r="Q307" s="31" t="n">
        <f aca="false">IF(I307=0,0,J307/I307)</f>
        <v>102.285087719298</v>
      </c>
      <c r="R307" s="18" t="n">
        <f aca="false">IF(H307=0,0,K307/H307)</f>
        <v>0.0514285714285714</v>
      </c>
      <c r="S307" s="14" t="n">
        <f aca="false">MONTH(D307)</f>
        <v>7</v>
      </c>
    </row>
    <row r="308" customFormat="false" ht="15" hidden="false" customHeight="false" outlineLevel="0" collapsed="false">
      <c r="A308" s="21" t="s">
        <v>404</v>
      </c>
      <c r="B308" s="21" t="s">
        <v>49</v>
      </c>
      <c r="C308" s="21" t="s">
        <v>54</v>
      </c>
      <c r="D308" s="29" t="n">
        <v>46162</v>
      </c>
      <c r="E308" s="29" t="n">
        <v>46170</v>
      </c>
      <c r="F308" s="29" t="n">
        <v>46170</v>
      </c>
      <c r="G308" s="21" t="n">
        <v>50</v>
      </c>
      <c r="H308" s="21" t="n">
        <v>50</v>
      </c>
      <c r="I308" s="21" t="n">
        <v>478</v>
      </c>
      <c r="J308" s="30" t="n">
        <v>39205</v>
      </c>
      <c r="K308" s="21" t="n">
        <v>0</v>
      </c>
      <c r="L308" s="14" t="n">
        <f aca="false">MAX(0,F308-E308)</f>
        <v>0</v>
      </c>
      <c r="M308" s="14" t="n">
        <f aca="false">IF(L308&lt;=Assumptions!$B$5,1,0)</f>
        <v>1</v>
      </c>
      <c r="N308" s="14" t="n">
        <f aca="false">IF(H308&gt;=G308,1,0)</f>
        <v>1</v>
      </c>
      <c r="O308" s="14" t="n">
        <f aca="false">M308*N308</f>
        <v>1</v>
      </c>
      <c r="P308" s="15" t="n">
        <f aca="false">L308*Assumptions!$B$6</f>
        <v>0</v>
      </c>
      <c r="Q308" s="31" t="n">
        <f aca="false">IF(I308=0,0,J308/I308)</f>
        <v>82.0188284518828</v>
      </c>
      <c r="R308" s="18" t="n">
        <f aca="false">IF(H308=0,0,K308/H308)</f>
        <v>0</v>
      </c>
      <c r="S308" s="14" t="n">
        <f aca="false">MONTH(D308)</f>
        <v>5</v>
      </c>
    </row>
    <row r="309" customFormat="false" ht="15" hidden="false" customHeight="false" outlineLevel="0" collapsed="false">
      <c r="A309" s="21" t="s">
        <v>405</v>
      </c>
      <c r="B309" s="21" t="s">
        <v>50</v>
      </c>
      <c r="C309" s="21" t="s">
        <v>53</v>
      </c>
      <c r="D309" s="29" t="n">
        <v>46111</v>
      </c>
      <c r="E309" s="29" t="n">
        <v>46118</v>
      </c>
      <c r="F309" s="29" t="n">
        <v>46119</v>
      </c>
      <c r="G309" s="21" t="n">
        <v>920</v>
      </c>
      <c r="H309" s="21" t="n">
        <v>801</v>
      </c>
      <c r="I309" s="21" t="n">
        <v>57</v>
      </c>
      <c r="J309" s="30" t="n">
        <v>6757</v>
      </c>
      <c r="K309" s="21" t="n">
        <v>6</v>
      </c>
      <c r="L309" s="14" t="n">
        <f aca="false">MAX(0,F309-E309)</f>
        <v>1</v>
      </c>
      <c r="M309" s="14" t="n">
        <f aca="false">IF(L309&lt;=Assumptions!$B$5,1,0)</f>
        <v>0</v>
      </c>
      <c r="N309" s="14" t="n">
        <f aca="false">IF(H309&gt;=G309,1,0)</f>
        <v>0</v>
      </c>
      <c r="O309" s="14" t="n">
        <f aca="false">M309*N309</f>
        <v>0</v>
      </c>
      <c r="P309" s="15" t="n">
        <f aca="false">L309*Assumptions!$B$6</f>
        <v>1500</v>
      </c>
      <c r="Q309" s="31" t="n">
        <f aca="false">IF(I309=0,0,J309/I309)</f>
        <v>118.543859649123</v>
      </c>
      <c r="R309" s="18" t="n">
        <f aca="false">IF(H309=0,0,K309/H309)</f>
        <v>0.00749063670411985</v>
      </c>
      <c r="S309" s="14" t="n">
        <f aca="false">MONTH(D309)</f>
        <v>3</v>
      </c>
    </row>
    <row r="310" customFormat="false" ht="15" hidden="false" customHeight="false" outlineLevel="0" collapsed="false">
      <c r="A310" s="21" t="s">
        <v>406</v>
      </c>
      <c r="B310" s="21" t="s">
        <v>46</v>
      </c>
      <c r="C310" s="21" t="s">
        <v>56</v>
      </c>
      <c r="D310" s="29" t="n">
        <v>46177</v>
      </c>
      <c r="E310" s="29" t="n">
        <v>46184</v>
      </c>
      <c r="F310" s="29" t="n">
        <v>46184</v>
      </c>
      <c r="G310" s="21" t="n">
        <v>610</v>
      </c>
      <c r="H310" s="21" t="n">
        <v>610</v>
      </c>
      <c r="I310" s="21" t="n">
        <v>159</v>
      </c>
      <c r="J310" s="30" t="n">
        <v>16291</v>
      </c>
      <c r="K310" s="21" t="n">
        <v>19</v>
      </c>
      <c r="L310" s="14" t="n">
        <f aca="false">MAX(0,F310-E310)</f>
        <v>0</v>
      </c>
      <c r="M310" s="14" t="n">
        <f aca="false">IF(L310&lt;=Assumptions!$B$5,1,0)</f>
        <v>1</v>
      </c>
      <c r="N310" s="14" t="n">
        <f aca="false">IF(H310&gt;=G310,1,0)</f>
        <v>1</v>
      </c>
      <c r="O310" s="14" t="n">
        <f aca="false">M310*N310</f>
        <v>1</v>
      </c>
      <c r="P310" s="15" t="n">
        <f aca="false">L310*Assumptions!$B$6</f>
        <v>0</v>
      </c>
      <c r="Q310" s="31" t="n">
        <f aca="false">IF(I310=0,0,J310/I310)</f>
        <v>102.459119496855</v>
      </c>
      <c r="R310" s="18" t="n">
        <f aca="false">IF(H310=0,0,K310/H310)</f>
        <v>0.0311475409836066</v>
      </c>
      <c r="S310" s="14" t="n">
        <f aca="false">MONTH(D310)</f>
        <v>6</v>
      </c>
    </row>
    <row r="311" customFormat="false" ht="15" hidden="false" customHeight="false" outlineLevel="0" collapsed="false">
      <c r="A311" s="21" t="s">
        <v>407</v>
      </c>
      <c r="B311" s="21" t="s">
        <v>47</v>
      </c>
      <c r="C311" s="21" t="s">
        <v>57</v>
      </c>
      <c r="D311" s="29" t="n">
        <v>46221</v>
      </c>
      <c r="E311" s="29" t="n">
        <v>46231</v>
      </c>
      <c r="F311" s="29" t="n">
        <v>46231</v>
      </c>
      <c r="G311" s="21" t="n">
        <v>870</v>
      </c>
      <c r="H311" s="21" t="n">
        <v>870</v>
      </c>
      <c r="I311" s="21" t="n">
        <v>327</v>
      </c>
      <c r="J311" s="30" t="n">
        <v>30134</v>
      </c>
      <c r="K311" s="21" t="n">
        <v>12</v>
      </c>
      <c r="L311" s="14" t="n">
        <f aca="false">MAX(0,F311-E311)</f>
        <v>0</v>
      </c>
      <c r="M311" s="14" t="n">
        <f aca="false">IF(L311&lt;=Assumptions!$B$5,1,0)</f>
        <v>1</v>
      </c>
      <c r="N311" s="14" t="n">
        <f aca="false">IF(H311&gt;=G311,1,0)</f>
        <v>1</v>
      </c>
      <c r="O311" s="14" t="n">
        <f aca="false">M311*N311</f>
        <v>1</v>
      </c>
      <c r="P311" s="15" t="n">
        <f aca="false">L311*Assumptions!$B$6</f>
        <v>0</v>
      </c>
      <c r="Q311" s="31" t="n">
        <f aca="false">IF(I311=0,0,J311/I311)</f>
        <v>92.1529051987768</v>
      </c>
      <c r="R311" s="18" t="n">
        <f aca="false">IF(H311=0,0,K311/H311)</f>
        <v>0.0137931034482759</v>
      </c>
      <c r="S311" s="14" t="n">
        <f aca="false">MONTH(D311)</f>
        <v>7</v>
      </c>
    </row>
    <row r="312" customFormat="false" ht="15" hidden="false" customHeight="false" outlineLevel="0" collapsed="false">
      <c r="A312" s="21" t="s">
        <v>408</v>
      </c>
      <c r="B312" s="21" t="s">
        <v>50</v>
      </c>
      <c r="C312" s="21" t="s">
        <v>56</v>
      </c>
      <c r="D312" s="29" t="n">
        <v>46212</v>
      </c>
      <c r="E312" s="29" t="n">
        <v>46218</v>
      </c>
      <c r="F312" s="29" t="n">
        <v>46219</v>
      </c>
      <c r="G312" s="21" t="n">
        <v>350</v>
      </c>
      <c r="H312" s="21" t="n">
        <v>350</v>
      </c>
      <c r="I312" s="21" t="n">
        <v>153</v>
      </c>
      <c r="J312" s="30" t="n">
        <v>13998</v>
      </c>
      <c r="K312" s="21" t="n">
        <v>4</v>
      </c>
      <c r="L312" s="14" t="n">
        <f aca="false">MAX(0,F312-E312)</f>
        <v>1</v>
      </c>
      <c r="M312" s="14" t="n">
        <f aca="false">IF(L312&lt;=Assumptions!$B$5,1,0)</f>
        <v>0</v>
      </c>
      <c r="N312" s="14" t="n">
        <f aca="false">IF(H312&gt;=G312,1,0)</f>
        <v>1</v>
      </c>
      <c r="O312" s="14" t="n">
        <f aca="false">M312*N312</f>
        <v>0</v>
      </c>
      <c r="P312" s="15" t="n">
        <f aca="false">L312*Assumptions!$B$6</f>
        <v>1500</v>
      </c>
      <c r="Q312" s="31" t="n">
        <f aca="false">IF(I312=0,0,J312/I312)</f>
        <v>91.4901960784314</v>
      </c>
      <c r="R312" s="18" t="n">
        <f aca="false">IF(H312=0,0,K312/H312)</f>
        <v>0.0114285714285714</v>
      </c>
      <c r="S312" s="14" t="n">
        <f aca="false">MONTH(D312)</f>
        <v>7</v>
      </c>
    </row>
    <row r="313" customFormat="false" ht="15" hidden="false" customHeight="false" outlineLevel="0" collapsed="false">
      <c r="A313" s="21" t="s">
        <v>409</v>
      </c>
      <c r="B313" s="21" t="s">
        <v>47</v>
      </c>
      <c r="C313" s="21" t="s">
        <v>55</v>
      </c>
      <c r="D313" s="29" t="n">
        <v>46104</v>
      </c>
      <c r="E313" s="29" t="n">
        <v>46109</v>
      </c>
      <c r="F313" s="29" t="n">
        <v>46109</v>
      </c>
      <c r="G313" s="21" t="n">
        <v>780</v>
      </c>
      <c r="H313" s="21" t="n">
        <v>780</v>
      </c>
      <c r="I313" s="21" t="n">
        <v>316</v>
      </c>
      <c r="J313" s="30" t="n">
        <v>36657</v>
      </c>
      <c r="K313" s="21" t="n">
        <v>34</v>
      </c>
      <c r="L313" s="14" t="n">
        <f aca="false">MAX(0,F313-E313)</f>
        <v>0</v>
      </c>
      <c r="M313" s="14" t="n">
        <f aca="false">IF(L313&lt;=Assumptions!$B$5,1,0)</f>
        <v>1</v>
      </c>
      <c r="N313" s="14" t="n">
        <f aca="false">IF(H313&gt;=G313,1,0)</f>
        <v>1</v>
      </c>
      <c r="O313" s="14" t="n">
        <f aca="false">M313*N313</f>
        <v>1</v>
      </c>
      <c r="P313" s="15" t="n">
        <f aca="false">L313*Assumptions!$B$6</f>
        <v>0</v>
      </c>
      <c r="Q313" s="31" t="n">
        <f aca="false">IF(I313=0,0,J313/I313)</f>
        <v>116.003164556962</v>
      </c>
      <c r="R313" s="18" t="n">
        <f aca="false">IF(H313=0,0,K313/H313)</f>
        <v>0.0435897435897436</v>
      </c>
      <c r="S313" s="14" t="n">
        <f aca="false">MONTH(D313)</f>
        <v>3</v>
      </c>
    </row>
    <row r="314" customFormat="false" ht="15" hidden="false" customHeight="false" outlineLevel="0" collapsed="false">
      <c r="A314" s="21" t="s">
        <v>410</v>
      </c>
      <c r="B314" s="21" t="s">
        <v>47</v>
      </c>
      <c r="C314" s="21" t="s">
        <v>55</v>
      </c>
      <c r="D314" s="29" t="n">
        <v>46098</v>
      </c>
      <c r="E314" s="29" t="n">
        <v>46107</v>
      </c>
      <c r="F314" s="29" t="n">
        <v>46107</v>
      </c>
      <c r="G314" s="21" t="n">
        <v>840</v>
      </c>
      <c r="H314" s="21" t="n">
        <v>840</v>
      </c>
      <c r="I314" s="21" t="n">
        <v>359</v>
      </c>
      <c r="J314" s="30" t="n">
        <v>27530</v>
      </c>
      <c r="K314" s="21" t="n">
        <v>27</v>
      </c>
      <c r="L314" s="14" t="n">
        <f aca="false">MAX(0,F314-E314)</f>
        <v>0</v>
      </c>
      <c r="M314" s="14" t="n">
        <f aca="false">IF(L314&lt;=Assumptions!$B$5,1,0)</f>
        <v>1</v>
      </c>
      <c r="N314" s="14" t="n">
        <f aca="false">IF(H314&gt;=G314,1,0)</f>
        <v>1</v>
      </c>
      <c r="O314" s="14" t="n">
        <f aca="false">M314*N314</f>
        <v>1</v>
      </c>
      <c r="P314" s="15" t="n">
        <f aca="false">L314*Assumptions!$B$6</f>
        <v>0</v>
      </c>
      <c r="Q314" s="31" t="n">
        <f aca="false">IF(I314=0,0,J314/I314)</f>
        <v>76.6852367688022</v>
      </c>
      <c r="R314" s="18" t="n">
        <f aca="false">IF(H314=0,0,K314/H314)</f>
        <v>0.0321428571428571</v>
      </c>
      <c r="S314" s="14" t="n">
        <f aca="false">MONTH(D314)</f>
        <v>3</v>
      </c>
    </row>
    <row r="315" customFormat="false" ht="15" hidden="false" customHeight="false" outlineLevel="0" collapsed="false">
      <c r="A315" s="21" t="s">
        <v>411</v>
      </c>
      <c r="B315" s="21" t="s">
        <v>48</v>
      </c>
      <c r="C315" s="21" t="s">
        <v>56</v>
      </c>
      <c r="D315" s="29" t="n">
        <v>46062</v>
      </c>
      <c r="E315" s="29" t="n">
        <v>46065</v>
      </c>
      <c r="F315" s="29" t="n">
        <v>46064</v>
      </c>
      <c r="G315" s="21" t="n">
        <v>440</v>
      </c>
      <c r="H315" s="21" t="n">
        <v>372</v>
      </c>
      <c r="I315" s="21" t="n">
        <v>169</v>
      </c>
      <c r="J315" s="30" t="n">
        <v>14663</v>
      </c>
      <c r="K315" s="21" t="n">
        <v>6</v>
      </c>
      <c r="L315" s="14" t="n">
        <f aca="false">MAX(0,F315-E315)</f>
        <v>0</v>
      </c>
      <c r="M315" s="14" t="n">
        <f aca="false">IF(L315&lt;=Assumptions!$B$5,1,0)</f>
        <v>1</v>
      </c>
      <c r="N315" s="14" t="n">
        <f aca="false">IF(H315&gt;=G315,1,0)</f>
        <v>0</v>
      </c>
      <c r="O315" s="14" t="n">
        <f aca="false">M315*N315</f>
        <v>0</v>
      </c>
      <c r="P315" s="15" t="n">
        <f aca="false">L315*Assumptions!$B$6</f>
        <v>0</v>
      </c>
      <c r="Q315" s="31" t="n">
        <f aca="false">IF(I315=0,0,J315/I315)</f>
        <v>86.7633136094675</v>
      </c>
      <c r="R315" s="18" t="n">
        <f aca="false">IF(H315=0,0,K315/H315)</f>
        <v>0.0161290322580645</v>
      </c>
      <c r="S315" s="14" t="n">
        <f aca="false">MONTH(D315)</f>
        <v>2</v>
      </c>
    </row>
    <row r="316" customFormat="false" ht="15" hidden="false" customHeight="false" outlineLevel="0" collapsed="false">
      <c r="A316" s="21" t="s">
        <v>412</v>
      </c>
      <c r="B316" s="21" t="s">
        <v>49</v>
      </c>
      <c r="C316" s="21" t="s">
        <v>56</v>
      </c>
      <c r="D316" s="29" t="n">
        <v>46145</v>
      </c>
      <c r="E316" s="29" t="n">
        <v>46152</v>
      </c>
      <c r="F316" s="29" t="n">
        <v>46151</v>
      </c>
      <c r="G316" s="21" t="n">
        <v>590</v>
      </c>
      <c r="H316" s="21" t="n">
        <v>590</v>
      </c>
      <c r="I316" s="21" t="n">
        <v>182</v>
      </c>
      <c r="J316" s="30" t="n">
        <v>16391</v>
      </c>
      <c r="K316" s="21" t="n">
        <v>2</v>
      </c>
      <c r="L316" s="14" t="n">
        <f aca="false">MAX(0,F316-E316)</f>
        <v>0</v>
      </c>
      <c r="M316" s="14" t="n">
        <f aca="false">IF(L316&lt;=Assumptions!$B$5,1,0)</f>
        <v>1</v>
      </c>
      <c r="N316" s="14" t="n">
        <f aca="false">IF(H316&gt;=G316,1,0)</f>
        <v>1</v>
      </c>
      <c r="O316" s="14" t="n">
        <f aca="false">M316*N316</f>
        <v>1</v>
      </c>
      <c r="P316" s="15" t="n">
        <f aca="false">L316*Assumptions!$B$6</f>
        <v>0</v>
      </c>
      <c r="Q316" s="31" t="n">
        <f aca="false">IF(I316=0,0,J316/I316)</f>
        <v>90.0604395604396</v>
      </c>
      <c r="R316" s="18" t="n">
        <f aca="false">IF(H316=0,0,K316/H316)</f>
        <v>0.00338983050847458</v>
      </c>
      <c r="S316" s="14" t="n">
        <f aca="false">MONTH(D316)</f>
        <v>5</v>
      </c>
    </row>
    <row r="317" customFormat="false" ht="15" hidden="false" customHeight="false" outlineLevel="0" collapsed="false">
      <c r="A317" s="21" t="s">
        <v>413</v>
      </c>
      <c r="B317" s="21" t="s">
        <v>46</v>
      </c>
      <c r="C317" s="21" t="s">
        <v>55</v>
      </c>
      <c r="D317" s="29" t="n">
        <v>46138</v>
      </c>
      <c r="E317" s="29" t="n">
        <v>46148</v>
      </c>
      <c r="F317" s="29" t="n">
        <v>46147</v>
      </c>
      <c r="G317" s="21" t="n">
        <v>860</v>
      </c>
      <c r="H317" s="21" t="n">
        <v>860</v>
      </c>
      <c r="I317" s="21" t="n">
        <v>294</v>
      </c>
      <c r="J317" s="30" t="n">
        <v>21763</v>
      </c>
      <c r="K317" s="21" t="n">
        <v>6</v>
      </c>
      <c r="L317" s="14" t="n">
        <f aca="false">MAX(0,F317-E317)</f>
        <v>0</v>
      </c>
      <c r="M317" s="14" t="n">
        <f aca="false">IF(L317&lt;=Assumptions!$B$5,1,0)</f>
        <v>1</v>
      </c>
      <c r="N317" s="14" t="n">
        <f aca="false">IF(H317&gt;=G317,1,0)</f>
        <v>1</v>
      </c>
      <c r="O317" s="14" t="n">
        <f aca="false">M317*N317</f>
        <v>1</v>
      </c>
      <c r="P317" s="15" t="n">
        <f aca="false">L317*Assumptions!$B$6</f>
        <v>0</v>
      </c>
      <c r="Q317" s="31" t="n">
        <f aca="false">IF(I317=0,0,J317/I317)</f>
        <v>74.0238095238095</v>
      </c>
      <c r="R317" s="18" t="n">
        <f aca="false">IF(H317=0,0,K317/H317)</f>
        <v>0.00697674418604651</v>
      </c>
      <c r="S317" s="14" t="n">
        <f aca="false">MONTH(D317)</f>
        <v>4</v>
      </c>
    </row>
    <row r="318" customFormat="false" ht="15" hidden="false" customHeight="false" outlineLevel="0" collapsed="false">
      <c r="A318" s="21" t="s">
        <v>414</v>
      </c>
      <c r="B318" s="21" t="s">
        <v>50</v>
      </c>
      <c r="C318" s="21" t="s">
        <v>54</v>
      </c>
      <c r="D318" s="29" t="n">
        <v>46267</v>
      </c>
      <c r="E318" s="29" t="n">
        <v>46275</v>
      </c>
      <c r="F318" s="29" t="n">
        <v>46275</v>
      </c>
      <c r="G318" s="21" t="n">
        <v>820</v>
      </c>
      <c r="H318" s="21" t="n">
        <v>781</v>
      </c>
      <c r="I318" s="21" t="n">
        <v>437</v>
      </c>
      <c r="J318" s="30" t="n">
        <v>48546</v>
      </c>
      <c r="K318" s="21" t="n">
        <v>14</v>
      </c>
      <c r="L318" s="14" t="n">
        <f aca="false">MAX(0,F318-E318)</f>
        <v>0</v>
      </c>
      <c r="M318" s="14" t="n">
        <f aca="false">IF(L318&lt;=Assumptions!$B$5,1,0)</f>
        <v>1</v>
      </c>
      <c r="N318" s="14" t="n">
        <f aca="false">IF(H318&gt;=G318,1,0)</f>
        <v>0</v>
      </c>
      <c r="O318" s="14" t="n">
        <f aca="false">M318*N318</f>
        <v>0</v>
      </c>
      <c r="P318" s="15" t="n">
        <f aca="false">L318*Assumptions!$B$6</f>
        <v>0</v>
      </c>
      <c r="Q318" s="31" t="n">
        <f aca="false">IF(I318=0,0,J318/I318)</f>
        <v>111.089244851259</v>
      </c>
      <c r="R318" s="18" t="n">
        <f aca="false">IF(H318=0,0,K318/H318)</f>
        <v>0.0179257362355954</v>
      </c>
      <c r="S318" s="14" t="n">
        <f aca="false">MONTH(D318)</f>
        <v>9</v>
      </c>
    </row>
    <row r="319" customFormat="false" ht="15" hidden="false" customHeight="false" outlineLevel="0" collapsed="false">
      <c r="A319" s="21" t="s">
        <v>415</v>
      </c>
      <c r="B319" s="21" t="s">
        <v>50</v>
      </c>
      <c r="C319" s="21" t="s">
        <v>57</v>
      </c>
      <c r="D319" s="29" t="n">
        <v>46241</v>
      </c>
      <c r="E319" s="29" t="n">
        <v>46248</v>
      </c>
      <c r="F319" s="29" t="n">
        <v>46248</v>
      </c>
      <c r="G319" s="21" t="n">
        <v>390</v>
      </c>
      <c r="H319" s="21" t="n">
        <v>390</v>
      </c>
      <c r="I319" s="21" t="n">
        <v>268</v>
      </c>
      <c r="J319" s="30" t="n">
        <v>27783</v>
      </c>
      <c r="K319" s="21" t="n">
        <v>3</v>
      </c>
      <c r="L319" s="14" t="n">
        <f aca="false">MAX(0,F319-E319)</f>
        <v>0</v>
      </c>
      <c r="M319" s="14" t="n">
        <f aca="false">IF(L319&lt;=Assumptions!$B$5,1,0)</f>
        <v>1</v>
      </c>
      <c r="N319" s="14" t="n">
        <f aca="false">IF(H319&gt;=G319,1,0)</f>
        <v>1</v>
      </c>
      <c r="O319" s="14" t="n">
        <f aca="false">M319*N319</f>
        <v>1</v>
      </c>
      <c r="P319" s="15" t="n">
        <f aca="false">L319*Assumptions!$B$6</f>
        <v>0</v>
      </c>
      <c r="Q319" s="31" t="n">
        <f aca="false">IF(I319=0,0,J319/I319)</f>
        <v>103.667910447761</v>
      </c>
      <c r="R319" s="18" t="n">
        <f aca="false">IF(H319=0,0,K319/H319)</f>
        <v>0.00769230769230769</v>
      </c>
      <c r="S319" s="14" t="n">
        <f aca="false">MONTH(D319)</f>
        <v>8</v>
      </c>
    </row>
    <row r="320" customFormat="false" ht="15" hidden="false" customHeight="false" outlineLevel="0" collapsed="false">
      <c r="A320" s="21" t="s">
        <v>416</v>
      </c>
      <c r="B320" s="21" t="s">
        <v>49</v>
      </c>
      <c r="C320" s="21" t="s">
        <v>57</v>
      </c>
      <c r="D320" s="29" t="n">
        <v>46275</v>
      </c>
      <c r="E320" s="29" t="n">
        <v>46278</v>
      </c>
      <c r="F320" s="29" t="n">
        <v>46278</v>
      </c>
      <c r="G320" s="21" t="n">
        <v>240</v>
      </c>
      <c r="H320" s="21" t="n">
        <v>240</v>
      </c>
      <c r="I320" s="21" t="n">
        <v>310</v>
      </c>
      <c r="J320" s="30" t="n">
        <v>32575</v>
      </c>
      <c r="K320" s="21" t="n">
        <v>1</v>
      </c>
      <c r="L320" s="14" t="n">
        <f aca="false">MAX(0,F320-E320)</f>
        <v>0</v>
      </c>
      <c r="M320" s="14" t="n">
        <f aca="false">IF(L320&lt;=Assumptions!$B$5,1,0)</f>
        <v>1</v>
      </c>
      <c r="N320" s="14" t="n">
        <f aca="false">IF(H320&gt;=G320,1,0)</f>
        <v>1</v>
      </c>
      <c r="O320" s="14" t="n">
        <f aca="false">M320*N320</f>
        <v>1</v>
      </c>
      <c r="P320" s="15" t="n">
        <f aca="false">L320*Assumptions!$B$6</f>
        <v>0</v>
      </c>
      <c r="Q320" s="31" t="n">
        <f aca="false">IF(I320=0,0,J320/I320)</f>
        <v>105.08064516129</v>
      </c>
      <c r="R320" s="18" t="n">
        <f aca="false">IF(H320=0,0,K320/H320)</f>
        <v>0.00416666666666667</v>
      </c>
      <c r="S320" s="14" t="n">
        <f aca="false">MONTH(D320)</f>
        <v>9</v>
      </c>
    </row>
    <row r="321" customFormat="false" ht="15" hidden="false" customHeight="false" outlineLevel="0" collapsed="false">
      <c r="A321" s="21" t="s">
        <v>417</v>
      </c>
      <c r="B321" s="21" t="s">
        <v>48</v>
      </c>
      <c r="C321" s="21" t="s">
        <v>54</v>
      </c>
      <c r="D321" s="29" t="n">
        <v>46105</v>
      </c>
      <c r="E321" s="29" t="n">
        <v>46108</v>
      </c>
      <c r="F321" s="29" t="n">
        <v>46108</v>
      </c>
      <c r="G321" s="21" t="n">
        <v>280</v>
      </c>
      <c r="H321" s="21" t="n">
        <v>280</v>
      </c>
      <c r="I321" s="21" t="n">
        <v>488</v>
      </c>
      <c r="J321" s="30" t="n">
        <v>44792</v>
      </c>
      <c r="K321" s="21" t="n">
        <v>2</v>
      </c>
      <c r="L321" s="14" t="n">
        <f aca="false">MAX(0,F321-E321)</f>
        <v>0</v>
      </c>
      <c r="M321" s="14" t="n">
        <f aca="false">IF(L321&lt;=Assumptions!$B$5,1,0)</f>
        <v>1</v>
      </c>
      <c r="N321" s="14" t="n">
        <f aca="false">IF(H321&gt;=G321,1,0)</f>
        <v>1</v>
      </c>
      <c r="O321" s="14" t="n">
        <f aca="false">M321*N321</f>
        <v>1</v>
      </c>
      <c r="P321" s="15" t="n">
        <f aca="false">L321*Assumptions!$B$6</f>
        <v>0</v>
      </c>
      <c r="Q321" s="31" t="n">
        <f aca="false">IF(I321=0,0,J321/I321)</f>
        <v>91.7868852459016</v>
      </c>
      <c r="R321" s="18" t="n">
        <f aca="false">IF(H321=0,0,K321/H321)</f>
        <v>0.00714285714285714</v>
      </c>
      <c r="S321" s="14" t="n">
        <f aca="false">MONTH(D321)</f>
        <v>3</v>
      </c>
    </row>
    <row r="322" customFormat="false" ht="15" hidden="false" customHeight="false" outlineLevel="0" collapsed="false">
      <c r="A322" s="21" t="s">
        <v>418</v>
      </c>
      <c r="B322" s="21" t="s">
        <v>47</v>
      </c>
      <c r="C322" s="21" t="s">
        <v>54</v>
      </c>
      <c r="D322" s="29" t="n">
        <v>46247</v>
      </c>
      <c r="E322" s="29" t="n">
        <v>46256</v>
      </c>
      <c r="F322" s="29" t="n">
        <v>46255</v>
      </c>
      <c r="G322" s="21" t="n">
        <v>470</v>
      </c>
      <c r="H322" s="21" t="n">
        <v>470</v>
      </c>
      <c r="I322" s="21" t="n">
        <v>464</v>
      </c>
      <c r="J322" s="30" t="n">
        <v>38082</v>
      </c>
      <c r="K322" s="21" t="n">
        <v>9</v>
      </c>
      <c r="L322" s="14" t="n">
        <f aca="false">MAX(0,F322-E322)</f>
        <v>0</v>
      </c>
      <c r="M322" s="14" t="n">
        <f aca="false">IF(L322&lt;=Assumptions!$B$5,1,0)</f>
        <v>1</v>
      </c>
      <c r="N322" s="14" t="n">
        <f aca="false">IF(H322&gt;=G322,1,0)</f>
        <v>1</v>
      </c>
      <c r="O322" s="14" t="n">
        <f aca="false">M322*N322</f>
        <v>1</v>
      </c>
      <c r="P322" s="15" t="n">
        <f aca="false">L322*Assumptions!$B$6</f>
        <v>0</v>
      </c>
      <c r="Q322" s="31" t="n">
        <f aca="false">IF(I322=0,0,J322/I322)</f>
        <v>82.073275862069</v>
      </c>
      <c r="R322" s="18" t="n">
        <f aca="false">IF(H322=0,0,K322/H322)</f>
        <v>0.0191489361702128</v>
      </c>
      <c r="S322" s="14" t="n">
        <f aca="false">MONTH(D322)</f>
        <v>8</v>
      </c>
    </row>
    <row r="323" customFormat="false" ht="15" hidden="false" customHeight="false" outlineLevel="0" collapsed="false">
      <c r="A323" s="21" t="s">
        <v>419</v>
      </c>
      <c r="B323" s="21" t="s">
        <v>49</v>
      </c>
      <c r="C323" s="21" t="s">
        <v>53</v>
      </c>
      <c r="D323" s="29" t="n">
        <v>46217</v>
      </c>
      <c r="E323" s="29" t="n">
        <v>46227</v>
      </c>
      <c r="F323" s="29" t="n">
        <v>46227</v>
      </c>
      <c r="G323" s="21" t="n">
        <v>620</v>
      </c>
      <c r="H323" s="21" t="n">
        <v>620</v>
      </c>
      <c r="I323" s="21" t="n">
        <v>30</v>
      </c>
      <c r="J323" s="30" t="n">
        <v>3693</v>
      </c>
      <c r="K323" s="21" t="n">
        <v>3</v>
      </c>
      <c r="L323" s="14" t="n">
        <f aca="false">MAX(0,F323-E323)</f>
        <v>0</v>
      </c>
      <c r="M323" s="14" t="n">
        <f aca="false">IF(L323&lt;=Assumptions!$B$5,1,0)</f>
        <v>1</v>
      </c>
      <c r="N323" s="14" t="n">
        <f aca="false">IF(H323&gt;=G323,1,0)</f>
        <v>1</v>
      </c>
      <c r="O323" s="14" t="n">
        <f aca="false">M323*N323</f>
        <v>1</v>
      </c>
      <c r="P323" s="15" t="n">
        <f aca="false">L323*Assumptions!$B$6</f>
        <v>0</v>
      </c>
      <c r="Q323" s="31" t="n">
        <f aca="false">IF(I323=0,0,J323/I323)</f>
        <v>123.1</v>
      </c>
      <c r="R323" s="18" t="n">
        <f aca="false">IF(H323=0,0,K323/H323)</f>
        <v>0.00483870967741936</v>
      </c>
      <c r="S323" s="14" t="n">
        <f aca="false">MONTH(D323)</f>
        <v>7</v>
      </c>
    </row>
    <row r="324" customFormat="false" ht="15" hidden="false" customHeight="false" outlineLevel="0" collapsed="false">
      <c r="A324" s="21" t="s">
        <v>420</v>
      </c>
      <c r="B324" s="21" t="s">
        <v>50</v>
      </c>
      <c r="C324" s="21" t="s">
        <v>56</v>
      </c>
      <c r="D324" s="29" t="n">
        <v>46052</v>
      </c>
      <c r="E324" s="29" t="n">
        <v>46056</v>
      </c>
      <c r="F324" s="29" t="n">
        <v>46060</v>
      </c>
      <c r="G324" s="21" t="n">
        <v>640</v>
      </c>
      <c r="H324" s="21" t="n">
        <v>561</v>
      </c>
      <c r="I324" s="21" t="n">
        <v>182</v>
      </c>
      <c r="J324" s="30" t="n">
        <v>19148</v>
      </c>
      <c r="K324" s="21" t="n">
        <v>15</v>
      </c>
      <c r="L324" s="14" t="n">
        <f aca="false">MAX(0,F324-E324)</f>
        <v>4</v>
      </c>
      <c r="M324" s="14" t="n">
        <f aca="false">IF(L324&lt;=Assumptions!$B$5,1,0)</f>
        <v>0</v>
      </c>
      <c r="N324" s="14" t="n">
        <f aca="false">IF(H324&gt;=G324,1,0)</f>
        <v>0</v>
      </c>
      <c r="O324" s="14" t="n">
        <f aca="false">M324*N324</f>
        <v>0</v>
      </c>
      <c r="P324" s="15" t="n">
        <f aca="false">L324*Assumptions!$B$6</f>
        <v>6000</v>
      </c>
      <c r="Q324" s="31" t="n">
        <f aca="false">IF(I324=0,0,J324/I324)</f>
        <v>105.208791208791</v>
      </c>
      <c r="R324" s="18" t="n">
        <f aca="false">IF(H324=0,0,K324/H324)</f>
        <v>0.0267379679144385</v>
      </c>
      <c r="S324" s="14" t="n">
        <f aca="false">MONTH(D324)</f>
        <v>1</v>
      </c>
    </row>
    <row r="325" customFormat="false" ht="15" hidden="false" customHeight="false" outlineLevel="0" collapsed="false">
      <c r="A325" s="21" t="s">
        <v>421</v>
      </c>
      <c r="B325" s="21" t="s">
        <v>49</v>
      </c>
      <c r="C325" s="21" t="s">
        <v>54</v>
      </c>
      <c r="D325" s="29" t="n">
        <v>46093</v>
      </c>
      <c r="E325" s="29" t="n">
        <v>46100</v>
      </c>
      <c r="F325" s="29" t="n">
        <v>46101</v>
      </c>
      <c r="G325" s="21" t="n">
        <v>870</v>
      </c>
      <c r="H325" s="21" t="n">
        <v>870</v>
      </c>
      <c r="I325" s="21" t="n">
        <v>483</v>
      </c>
      <c r="J325" s="30" t="n">
        <v>32921</v>
      </c>
      <c r="K325" s="21" t="n">
        <v>5</v>
      </c>
      <c r="L325" s="14" t="n">
        <f aca="false">MAX(0,F325-E325)</f>
        <v>1</v>
      </c>
      <c r="M325" s="14" t="n">
        <f aca="false">IF(L325&lt;=Assumptions!$B$5,1,0)</f>
        <v>0</v>
      </c>
      <c r="N325" s="14" t="n">
        <f aca="false">IF(H325&gt;=G325,1,0)</f>
        <v>1</v>
      </c>
      <c r="O325" s="14" t="n">
        <f aca="false">M325*N325</f>
        <v>0</v>
      </c>
      <c r="P325" s="15" t="n">
        <f aca="false">L325*Assumptions!$B$6</f>
        <v>1500</v>
      </c>
      <c r="Q325" s="31" t="n">
        <f aca="false">IF(I325=0,0,J325/I325)</f>
        <v>68.1594202898551</v>
      </c>
      <c r="R325" s="18" t="n">
        <f aca="false">IF(H325=0,0,K325/H325)</f>
        <v>0.00574712643678161</v>
      </c>
      <c r="S325" s="14" t="n">
        <f aca="false">MONTH(D325)</f>
        <v>3</v>
      </c>
    </row>
    <row r="326" customFormat="false" ht="15" hidden="false" customHeight="false" outlineLevel="0" collapsed="false">
      <c r="A326" s="21" t="s">
        <v>422</v>
      </c>
      <c r="B326" s="21" t="s">
        <v>47</v>
      </c>
      <c r="C326" s="21" t="s">
        <v>55</v>
      </c>
      <c r="D326" s="29" t="n">
        <v>46124</v>
      </c>
      <c r="E326" s="29" t="n">
        <v>46132</v>
      </c>
      <c r="F326" s="29" t="n">
        <v>46132</v>
      </c>
      <c r="G326" s="21" t="n">
        <v>860</v>
      </c>
      <c r="H326" s="21" t="n">
        <v>860</v>
      </c>
      <c r="I326" s="21" t="n">
        <v>292</v>
      </c>
      <c r="J326" s="30" t="n">
        <v>30006</v>
      </c>
      <c r="K326" s="21" t="n">
        <v>68</v>
      </c>
      <c r="L326" s="14" t="n">
        <f aca="false">MAX(0,F326-E326)</f>
        <v>0</v>
      </c>
      <c r="M326" s="14" t="n">
        <f aca="false">IF(L326&lt;=Assumptions!$B$5,1,0)</f>
        <v>1</v>
      </c>
      <c r="N326" s="14" t="n">
        <f aca="false">IF(H326&gt;=G326,1,0)</f>
        <v>1</v>
      </c>
      <c r="O326" s="14" t="n">
        <f aca="false">M326*N326</f>
        <v>1</v>
      </c>
      <c r="P326" s="15" t="n">
        <f aca="false">L326*Assumptions!$B$6</f>
        <v>0</v>
      </c>
      <c r="Q326" s="31" t="n">
        <f aca="false">IF(I326=0,0,J326/I326)</f>
        <v>102.760273972603</v>
      </c>
      <c r="R326" s="18" t="n">
        <f aca="false">IF(H326=0,0,K326/H326)</f>
        <v>0.0790697674418605</v>
      </c>
      <c r="S326" s="14" t="n">
        <f aca="false">MONTH(D326)</f>
        <v>4</v>
      </c>
    </row>
    <row r="327" customFormat="false" ht="15" hidden="false" customHeight="false" outlineLevel="0" collapsed="false">
      <c r="A327" s="21" t="s">
        <v>423</v>
      </c>
      <c r="B327" s="21" t="s">
        <v>48</v>
      </c>
      <c r="C327" s="21" t="s">
        <v>56</v>
      </c>
      <c r="D327" s="29" t="n">
        <v>46112</v>
      </c>
      <c r="E327" s="29" t="n">
        <v>46120</v>
      </c>
      <c r="F327" s="29" t="n">
        <v>46119</v>
      </c>
      <c r="G327" s="21" t="n">
        <v>650</v>
      </c>
      <c r="H327" s="21" t="n">
        <v>650</v>
      </c>
      <c r="I327" s="21" t="n">
        <v>176</v>
      </c>
      <c r="J327" s="30" t="n">
        <v>18903</v>
      </c>
      <c r="K327" s="21" t="n">
        <v>14</v>
      </c>
      <c r="L327" s="14" t="n">
        <f aca="false">MAX(0,F327-E327)</f>
        <v>0</v>
      </c>
      <c r="M327" s="14" t="n">
        <f aca="false">IF(L327&lt;=Assumptions!$B$5,1,0)</f>
        <v>1</v>
      </c>
      <c r="N327" s="14" t="n">
        <f aca="false">IF(H327&gt;=G327,1,0)</f>
        <v>1</v>
      </c>
      <c r="O327" s="14" t="n">
        <f aca="false">M327*N327</f>
        <v>1</v>
      </c>
      <c r="P327" s="15" t="n">
        <f aca="false">L327*Assumptions!$B$6</f>
        <v>0</v>
      </c>
      <c r="Q327" s="31" t="n">
        <f aca="false">IF(I327=0,0,J327/I327)</f>
        <v>107.403409090909</v>
      </c>
      <c r="R327" s="18" t="n">
        <f aca="false">IF(H327=0,0,K327/H327)</f>
        <v>0.0215384615384615</v>
      </c>
      <c r="S327" s="14" t="n">
        <f aca="false">MONTH(D327)</f>
        <v>3</v>
      </c>
    </row>
    <row r="328" customFormat="false" ht="15" hidden="false" customHeight="false" outlineLevel="0" collapsed="false">
      <c r="A328" s="21" t="s">
        <v>424</v>
      </c>
      <c r="B328" s="21" t="s">
        <v>46</v>
      </c>
      <c r="C328" s="21" t="s">
        <v>53</v>
      </c>
      <c r="D328" s="29" t="n">
        <v>46173</v>
      </c>
      <c r="E328" s="29" t="n">
        <v>46178</v>
      </c>
      <c r="F328" s="29" t="n">
        <v>46178</v>
      </c>
      <c r="G328" s="21" t="n">
        <v>680</v>
      </c>
      <c r="H328" s="21" t="n">
        <v>680</v>
      </c>
      <c r="I328" s="21" t="n">
        <v>54</v>
      </c>
      <c r="J328" s="30" t="n">
        <v>7519</v>
      </c>
      <c r="K328" s="21" t="n">
        <v>20</v>
      </c>
      <c r="L328" s="14" t="n">
        <f aca="false">MAX(0,F328-E328)</f>
        <v>0</v>
      </c>
      <c r="M328" s="14" t="n">
        <f aca="false">IF(L328&lt;=Assumptions!$B$5,1,0)</f>
        <v>1</v>
      </c>
      <c r="N328" s="14" t="n">
        <f aca="false">IF(H328&gt;=G328,1,0)</f>
        <v>1</v>
      </c>
      <c r="O328" s="14" t="n">
        <f aca="false">M328*N328</f>
        <v>1</v>
      </c>
      <c r="P328" s="15" t="n">
        <f aca="false">L328*Assumptions!$B$6</f>
        <v>0</v>
      </c>
      <c r="Q328" s="31" t="n">
        <f aca="false">IF(I328=0,0,J328/I328)</f>
        <v>139.240740740741</v>
      </c>
      <c r="R328" s="18" t="n">
        <f aca="false">IF(H328=0,0,K328/H328)</f>
        <v>0.0294117647058824</v>
      </c>
      <c r="S328" s="14" t="n">
        <f aca="false">MONTH(D328)</f>
        <v>5</v>
      </c>
    </row>
    <row r="329" customFormat="false" ht="15" hidden="false" customHeight="false" outlineLevel="0" collapsed="false">
      <c r="A329" s="21" t="s">
        <v>425</v>
      </c>
      <c r="B329" s="21" t="s">
        <v>46</v>
      </c>
      <c r="C329" s="21" t="s">
        <v>58</v>
      </c>
      <c r="D329" s="29" t="n">
        <v>46218</v>
      </c>
      <c r="E329" s="29" t="n">
        <v>46227</v>
      </c>
      <c r="F329" s="29" t="n">
        <v>46226</v>
      </c>
      <c r="G329" s="21" t="n">
        <v>200</v>
      </c>
      <c r="H329" s="21" t="n">
        <v>200</v>
      </c>
      <c r="I329" s="21" t="n">
        <v>265</v>
      </c>
      <c r="J329" s="30" t="n">
        <v>21613</v>
      </c>
      <c r="K329" s="21" t="n">
        <v>4</v>
      </c>
      <c r="L329" s="14" t="n">
        <f aca="false">MAX(0,F329-E329)</f>
        <v>0</v>
      </c>
      <c r="M329" s="14" t="n">
        <f aca="false">IF(L329&lt;=Assumptions!$B$5,1,0)</f>
        <v>1</v>
      </c>
      <c r="N329" s="14" t="n">
        <f aca="false">IF(H329&gt;=G329,1,0)</f>
        <v>1</v>
      </c>
      <c r="O329" s="14" t="n">
        <f aca="false">M329*N329</f>
        <v>1</v>
      </c>
      <c r="P329" s="15" t="n">
        <f aca="false">L329*Assumptions!$B$6</f>
        <v>0</v>
      </c>
      <c r="Q329" s="31" t="n">
        <f aca="false">IF(I329=0,0,J329/I329)</f>
        <v>81.5584905660377</v>
      </c>
      <c r="R329" s="18" t="n">
        <f aca="false">IF(H329=0,0,K329/H329)</f>
        <v>0.02</v>
      </c>
      <c r="S329" s="14" t="n">
        <f aca="false">MONTH(D329)</f>
        <v>7</v>
      </c>
    </row>
    <row r="330" customFormat="false" ht="15" hidden="false" customHeight="false" outlineLevel="0" collapsed="false">
      <c r="A330" s="21" t="s">
        <v>426</v>
      </c>
      <c r="B330" s="21" t="s">
        <v>50</v>
      </c>
      <c r="C330" s="21" t="s">
        <v>53</v>
      </c>
      <c r="D330" s="29" t="n">
        <v>46066</v>
      </c>
      <c r="E330" s="29" t="n">
        <v>46073</v>
      </c>
      <c r="F330" s="29" t="n">
        <v>46073</v>
      </c>
      <c r="G330" s="21" t="n">
        <v>780</v>
      </c>
      <c r="H330" s="21" t="n">
        <v>780</v>
      </c>
      <c r="I330" s="21" t="n">
        <v>55</v>
      </c>
      <c r="J330" s="30" t="n">
        <v>6269</v>
      </c>
      <c r="K330" s="21" t="n">
        <v>6</v>
      </c>
      <c r="L330" s="14" t="n">
        <f aca="false">MAX(0,F330-E330)</f>
        <v>0</v>
      </c>
      <c r="M330" s="14" t="n">
        <f aca="false">IF(L330&lt;=Assumptions!$B$5,1,0)</f>
        <v>1</v>
      </c>
      <c r="N330" s="14" t="n">
        <f aca="false">IF(H330&gt;=G330,1,0)</f>
        <v>1</v>
      </c>
      <c r="O330" s="14" t="n">
        <f aca="false">M330*N330</f>
        <v>1</v>
      </c>
      <c r="P330" s="15" t="n">
        <f aca="false">L330*Assumptions!$B$6</f>
        <v>0</v>
      </c>
      <c r="Q330" s="31" t="n">
        <f aca="false">IF(I330=0,0,J330/I330)</f>
        <v>113.981818181818</v>
      </c>
      <c r="R330" s="18" t="n">
        <f aca="false">IF(H330=0,0,K330/H330)</f>
        <v>0.00769230769230769</v>
      </c>
      <c r="S330" s="14" t="n">
        <f aca="false">MONTH(D330)</f>
        <v>2</v>
      </c>
    </row>
    <row r="331" customFormat="false" ht="15" hidden="false" customHeight="false" outlineLevel="0" collapsed="false">
      <c r="A331" s="21" t="s">
        <v>427</v>
      </c>
      <c r="B331" s="21" t="s">
        <v>47</v>
      </c>
      <c r="C331" s="21" t="s">
        <v>54</v>
      </c>
      <c r="D331" s="29" t="n">
        <v>46066</v>
      </c>
      <c r="E331" s="29" t="n">
        <v>46074</v>
      </c>
      <c r="F331" s="29" t="n">
        <v>46074</v>
      </c>
      <c r="G331" s="21" t="n">
        <v>710</v>
      </c>
      <c r="H331" s="21" t="n">
        <v>710</v>
      </c>
      <c r="I331" s="21" t="n">
        <v>462</v>
      </c>
      <c r="J331" s="30" t="n">
        <v>49368</v>
      </c>
      <c r="K331" s="21" t="n">
        <v>55</v>
      </c>
      <c r="L331" s="14" t="n">
        <f aca="false">MAX(0,F331-E331)</f>
        <v>0</v>
      </c>
      <c r="M331" s="14" t="n">
        <f aca="false">IF(L331&lt;=Assumptions!$B$5,1,0)</f>
        <v>1</v>
      </c>
      <c r="N331" s="14" t="n">
        <f aca="false">IF(H331&gt;=G331,1,0)</f>
        <v>1</v>
      </c>
      <c r="O331" s="14" t="n">
        <f aca="false">M331*N331</f>
        <v>1</v>
      </c>
      <c r="P331" s="15" t="n">
        <f aca="false">L331*Assumptions!$B$6</f>
        <v>0</v>
      </c>
      <c r="Q331" s="31" t="n">
        <f aca="false">IF(I331=0,0,J331/I331)</f>
        <v>106.857142857143</v>
      </c>
      <c r="R331" s="18" t="n">
        <f aca="false">IF(H331=0,0,K331/H331)</f>
        <v>0.0774647887323944</v>
      </c>
      <c r="S331" s="14" t="n">
        <f aca="false">MONTH(D331)</f>
        <v>2</v>
      </c>
    </row>
    <row r="332" customFormat="false" ht="15" hidden="false" customHeight="false" outlineLevel="0" collapsed="false">
      <c r="A332" s="21" t="s">
        <v>428</v>
      </c>
      <c r="B332" s="21" t="s">
        <v>48</v>
      </c>
      <c r="C332" s="21" t="s">
        <v>54</v>
      </c>
      <c r="D332" s="29" t="n">
        <v>46247</v>
      </c>
      <c r="E332" s="29" t="n">
        <v>46257</v>
      </c>
      <c r="F332" s="29" t="n">
        <v>46257</v>
      </c>
      <c r="G332" s="21" t="n">
        <v>310</v>
      </c>
      <c r="H332" s="21" t="n">
        <v>251</v>
      </c>
      <c r="I332" s="21" t="n">
        <v>429</v>
      </c>
      <c r="J332" s="30" t="n">
        <v>43986</v>
      </c>
      <c r="K332" s="21" t="n">
        <v>4</v>
      </c>
      <c r="L332" s="14" t="n">
        <f aca="false">MAX(0,F332-E332)</f>
        <v>0</v>
      </c>
      <c r="M332" s="14" t="n">
        <f aca="false">IF(L332&lt;=Assumptions!$B$5,1,0)</f>
        <v>1</v>
      </c>
      <c r="N332" s="14" t="n">
        <f aca="false">IF(H332&gt;=G332,1,0)</f>
        <v>0</v>
      </c>
      <c r="O332" s="14" t="n">
        <f aca="false">M332*N332</f>
        <v>0</v>
      </c>
      <c r="P332" s="15" t="n">
        <f aca="false">L332*Assumptions!$B$6</f>
        <v>0</v>
      </c>
      <c r="Q332" s="31" t="n">
        <f aca="false">IF(I332=0,0,J332/I332)</f>
        <v>102.531468531469</v>
      </c>
      <c r="R332" s="18" t="n">
        <f aca="false">IF(H332=0,0,K332/H332)</f>
        <v>0.0159362549800797</v>
      </c>
      <c r="S332" s="14" t="n">
        <f aca="false">MONTH(D332)</f>
        <v>8</v>
      </c>
    </row>
    <row r="333" customFormat="false" ht="15" hidden="false" customHeight="false" outlineLevel="0" collapsed="false">
      <c r="A333" s="21" t="s">
        <v>429</v>
      </c>
      <c r="B333" s="21" t="s">
        <v>50</v>
      </c>
      <c r="C333" s="21" t="s">
        <v>53</v>
      </c>
      <c r="D333" s="29" t="n">
        <v>46254</v>
      </c>
      <c r="E333" s="29" t="n">
        <v>46261</v>
      </c>
      <c r="F333" s="29" t="n">
        <v>46261</v>
      </c>
      <c r="G333" s="21" t="n">
        <v>940</v>
      </c>
      <c r="H333" s="21" t="n">
        <v>940</v>
      </c>
      <c r="I333" s="21" t="n">
        <v>43</v>
      </c>
      <c r="J333" s="30" t="n">
        <v>5920</v>
      </c>
      <c r="K333" s="21" t="n">
        <v>7</v>
      </c>
      <c r="L333" s="14" t="n">
        <f aca="false">MAX(0,F333-E333)</f>
        <v>0</v>
      </c>
      <c r="M333" s="14" t="n">
        <f aca="false">IF(L333&lt;=Assumptions!$B$5,1,0)</f>
        <v>1</v>
      </c>
      <c r="N333" s="14" t="n">
        <f aca="false">IF(H333&gt;=G333,1,0)</f>
        <v>1</v>
      </c>
      <c r="O333" s="14" t="n">
        <f aca="false">M333*N333</f>
        <v>1</v>
      </c>
      <c r="P333" s="15" t="n">
        <f aca="false">L333*Assumptions!$B$6</f>
        <v>0</v>
      </c>
      <c r="Q333" s="31" t="n">
        <f aca="false">IF(I333=0,0,J333/I333)</f>
        <v>137.674418604651</v>
      </c>
      <c r="R333" s="18" t="n">
        <f aca="false">IF(H333=0,0,K333/H333)</f>
        <v>0.0074468085106383</v>
      </c>
      <c r="S333" s="14" t="n">
        <f aca="false">MONTH(D333)</f>
        <v>8</v>
      </c>
    </row>
    <row r="334" customFormat="false" ht="15" hidden="false" customHeight="false" outlineLevel="0" collapsed="false">
      <c r="A334" s="21" t="s">
        <v>430</v>
      </c>
      <c r="B334" s="21" t="s">
        <v>47</v>
      </c>
      <c r="C334" s="21" t="s">
        <v>53</v>
      </c>
      <c r="D334" s="29" t="n">
        <v>46259</v>
      </c>
      <c r="E334" s="29" t="n">
        <v>46263</v>
      </c>
      <c r="F334" s="29" t="n">
        <v>46263</v>
      </c>
      <c r="G334" s="21" t="n">
        <v>590</v>
      </c>
      <c r="H334" s="21" t="n">
        <v>590</v>
      </c>
      <c r="I334" s="21" t="n">
        <v>53</v>
      </c>
      <c r="J334" s="30" t="n">
        <v>6494</v>
      </c>
      <c r="K334" s="21" t="n">
        <v>34</v>
      </c>
      <c r="L334" s="14" t="n">
        <f aca="false">MAX(0,F334-E334)</f>
        <v>0</v>
      </c>
      <c r="M334" s="14" t="n">
        <f aca="false">IF(L334&lt;=Assumptions!$B$5,1,0)</f>
        <v>1</v>
      </c>
      <c r="N334" s="14" t="n">
        <f aca="false">IF(H334&gt;=G334,1,0)</f>
        <v>1</v>
      </c>
      <c r="O334" s="14" t="n">
        <f aca="false">M334*N334</f>
        <v>1</v>
      </c>
      <c r="P334" s="15" t="n">
        <f aca="false">L334*Assumptions!$B$6</f>
        <v>0</v>
      </c>
      <c r="Q334" s="31" t="n">
        <f aca="false">IF(I334=0,0,J334/I334)</f>
        <v>122.528301886792</v>
      </c>
      <c r="R334" s="18" t="n">
        <f aca="false">IF(H334=0,0,K334/H334)</f>
        <v>0.0576271186440678</v>
      </c>
      <c r="S334" s="14" t="n">
        <f aca="false">MONTH(D334)</f>
        <v>8</v>
      </c>
    </row>
    <row r="335" customFormat="false" ht="15" hidden="false" customHeight="false" outlineLevel="0" collapsed="false">
      <c r="A335" s="21" t="s">
        <v>431</v>
      </c>
      <c r="B335" s="21" t="s">
        <v>48</v>
      </c>
      <c r="C335" s="21" t="s">
        <v>58</v>
      </c>
      <c r="D335" s="29" t="n">
        <v>46118</v>
      </c>
      <c r="E335" s="29" t="n">
        <v>46124</v>
      </c>
      <c r="F335" s="29" t="n">
        <v>46124</v>
      </c>
      <c r="G335" s="21" t="n">
        <v>420</v>
      </c>
      <c r="H335" s="21" t="n">
        <v>420</v>
      </c>
      <c r="I335" s="21" t="n">
        <v>266</v>
      </c>
      <c r="J335" s="30" t="n">
        <v>18593</v>
      </c>
      <c r="K335" s="21" t="n">
        <v>11</v>
      </c>
      <c r="L335" s="14" t="n">
        <f aca="false">MAX(0,F335-E335)</f>
        <v>0</v>
      </c>
      <c r="M335" s="14" t="n">
        <f aca="false">IF(L335&lt;=Assumptions!$B$5,1,0)</f>
        <v>1</v>
      </c>
      <c r="N335" s="14" t="n">
        <f aca="false">IF(H335&gt;=G335,1,0)</f>
        <v>1</v>
      </c>
      <c r="O335" s="14" t="n">
        <f aca="false">M335*N335</f>
        <v>1</v>
      </c>
      <c r="P335" s="15" t="n">
        <f aca="false">L335*Assumptions!$B$6</f>
        <v>0</v>
      </c>
      <c r="Q335" s="31" t="n">
        <f aca="false">IF(I335=0,0,J335/I335)</f>
        <v>69.8984962406015</v>
      </c>
      <c r="R335" s="18" t="n">
        <f aca="false">IF(H335=0,0,K335/H335)</f>
        <v>0.0261904761904762</v>
      </c>
      <c r="S335" s="14" t="n">
        <f aca="false">MONTH(D335)</f>
        <v>4</v>
      </c>
    </row>
    <row r="336" customFormat="false" ht="15" hidden="false" customHeight="false" outlineLevel="0" collapsed="false">
      <c r="A336" s="21" t="s">
        <v>432</v>
      </c>
      <c r="B336" s="21" t="s">
        <v>50</v>
      </c>
      <c r="C336" s="21" t="s">
        <v>53</v>
      </c>
      <c r="D336" s="29" t="n">
        <v>46039</v>
      </c>
      <c r="E336" s="29" t="n">
        <v>46047</v>
      </c>
      <c r="F336" s="29" t="n">
        <v>46047</v>
      </c>
      <c r="G336" s="21" t="n">
        <v>450</v>
      </c>
      <c r="H336" s="21" t="n">
        <v>450</v>
      </c>
      <c r="I336" s="21" t="n">
        <v>54</v>
      </c>
      <c r="J336" s="30" t="n">
        <v>7247</v>
      </c>
      <c r="K336" s="21" t="n">
        <v>6</v>
      </c>
      <c r="L336" s="14" t="n">
        <f aca="false">MAX(0,F336-E336)</f>
        <v>0</v>
      </c>
      <c r="M336" s="14" t="n">
        <f aca="false">IF(L336&lt;=Assumptions!$B$5,1,0)</f>
        <v>1</v>
      </c>
      <c r="N336" s="14" t="n">
        <f aca="false">IF(H336&gt;=G336,1,0)</f>
        <v>1</v>
      </c>
      <c r="O336" s="14" t="n">
        <f aca="false">M336*N336</f>
        <v>1</v>
      </c>
      <c r="P336" s="15" t="n">
        <f aca="false">L336*Assumptions!$B$6</f>
        <v>0</v>
      </c>
      <c r="Q336" s="31" t="n">
        <f aca="false">IF(I336=0,0,J336/I336)</f>
        <v>134.203703703704</v>
      </c>
      <c r="R336" s="18" t="n">
        <f aca="false">IF(H336=0,0,K336/H336)</f>
        <v>0.0133333333333333</v>
      </c>
      <c r="S336" s="14" t="n">
        <f aca="false">MONTH(D336)</f>
        <v>1</v>
      </c>
    </row>
    <row r="337" customFormat="false" ht="15" hidden="false" customHeight="false" outlineLevel="0" collapsed="false">
      <c r="A337" s="21" t="s">
        <v>433</v>
      </c>
      <c r="B337" s="21" t="s">
        <v>49</v>
      </c>
      <c r="C337" s="21" t="s">
        <v>53</v>
      </c>
      <c r="D337" s="29" t="n">
        <v>46095</v>
      </c>
      <c r="E337" s="29" t="n">
        <v>46102</v>
      </c>
      <c r="F337" s="29" t="n">
        <v>46101</v>
      </c>
      <c r="G337" s="21" t="n">
        <v>590</v>
      </c>
      <c r="H337" s="21" t="n">
        <v>590</v>
      </c>
      <c r="I337" s="21" t="n">
        <v>32</v>
      </c>
      <c r="J337" s="30" t="n">
        <v>6482</v>
      </c>
      <c r="K337" s="21" t="n">
        <v>0</v>
      </c>
      <c r="L337" s="14" t="n">
        <f aca="false">MAX(0,F337-E337)</f>
        <v>0</v>
      </c>
      <c r="M337" s="14" t="n">
        <f aca="false">IF(L337&lt;=Assumptions!$B$5,1,0)</f>
        <v>1</v>
      </c>
      <c r="N337" s="14" t="n">
        <f aca="false">IF(H337&gt;=G337,1,0)</f>
        <v>1</v>
      </c>
      <c r="O337" s="14" t="n">
        <f aca="false">M337*N337</f>
        <v>1</v>
      </c>
      <c r="P337" s="15" t="n">
        <f aca="false">L337*Assumptions!$B$6</f>
        <v>0</v>
      </c>
      <c r="Q337" s="31" t="n">
        <f aca="false">IF(I337=0,0,J337/I337)</f>
        <v>202.5625</v>
      </c>
      <c r="R337" s="18" t="n">
        <f aca="false">IF(H337=0,0,K337/H337)</f>
        <v>0</v>
      </c>
      <c r="S337" s="14" t="n">
        <f aca="false">MONTH(D337)</f>
        <v>3</v>
      </c>
    </row>
    <row r="338" customFormat="false" ht="15" hidden="false" customHeight="false" outlineLevel="0" collapsed="false">
      <c r="A338" s="21" t="s">
        <v>434</v>
      </c>
      <c r="B338" s="21" t="s">
        <v>45</v>
      </c>
      <c r="C338" s="21" t="s">
        <v>55</v>
      </c>
      <c r="D338" s="29" t="n">
        <v>46193</v>
      </c>
      <c r="E338" s="29" t="n">
        <v>46200</v>
      </c>
      <c r="F338" s="29" t="n">
        <v>46199</v>
      </c>
      <c r="G338" s="21" t="n">
        <v>620</v>
      </c>
      <c r="H338" s="21" t="n">
        <v>517</v>
      </c>
      <c r="I338" s="21" t="n">
        <v>356</v>
      </c>
      <c r="J338" s="30" t="n">
        <v>31085</v>
      </c>
      <c r="K338" s="21" t="n">
        <v>6</v>
      </c>
      <c r="L338" s="14" t="n">
        <f aca="false">MAX(0,F338-E338)</f>
        <v>0</v>
      </c>
      <c r="M338" s="14" t="n">
        <f aca="false">IF(L338&lt;=Assumptions!$B$5,1,0)</f>
        <v>1</v>
      </c>
      <c r="N338" s="14" t="n">
        <f aca="false">IF(H338&gt;=G338,1,0)</f>
        <v>0</v>
      </c>
      <c r="O338" s="14" t="n">
        <f aca="false">M338*N338</f>
        <v>0</v>
      </c>
      <c r="P338" s="15" t="n">
        <f aca="false">L338*Assumptions!$B$6</f>
        <v>0</v>
      </c>
      <c r="Q338" s="31" t="n">
        <f aca="false">IF(I338=0,0,J338/I338)</f>
        <v>87.3174157303371</v>
      </c>
      <c r="R338" s="18" t="n">
        <f aca="false">IF(H338=0,0,K338/H338)</f>
        <v>0.011605415860735</v>
      </c>
      <c r="S338" s="14" t="n">
        <f aca="false">MONTH(D338)</f>
        <v>6</v>
      </c>
    </row>
    <row r="339" customFormat="false" ht="15" hidden="false" customHeight="false" outlineLevel="0" collapsed="false">
      <c r="A339" s="21" t="s">
        <v>435</v>
      </c>
      <c r="B339" s="21" t="s">
        <v>49</v>
      </c>
      <c r="C339" s="21" t="s">
        <v>53</v>
      </c>
      <c r="D339" s="29" t="n">
        <v>46097</v>
      </c>
      <c r="E339" s="29" t="n">
        <v>46102</v>
      </c>
      <c r="F339" s="29" t="n">
        <v>46102</v>
      </c>
      <c r="G339" s="21" t="n">
        <v>360</v>
      </c>
      <c r="H339" s="21" t="n">
        <v>360</v>
      </c>
      <c r="I339" s="21" t="n">
        <v>47</v>
      </c>
      <c r="J339" s="30" t="n">
        <v>6165</v>
      </c>
      <c r="K339" s="21" t="n">
        <v>1</v>
      </c>
      <c r="L339" s="14" t="n">
        <f aca="false">MAX(0,F339-E339)</f>
        <v>0</v>
      </c>
      <c r="M339" s="14" t="n">
        <f aca="false">IF(L339&lt;=Assumptions!$B$5,1,0)</f>
        <v>1</v>
      </c>
      <c r="N339" s="14" t="n">
        <f aca="false">IF(H339&gt;=G339,1,0)</f>
        <v>1</v>
      </c>
      <c r="O339" s="14" t="n">
        <f aca="false">M339*N339</f>
        <v>1</v>
      </c>
      <c r="P339" s="15" t="n">
        <f aca="false">L339*Assumptions!$B$6</f>
        <v>0</v>
      </c>
      <c r="Q339" s="31" t="n">
        <f aca="false">IF(I339=0,0,J339/I339)</f>
        <v>131.170212765957</v>
      </c>
      <c r="R339" s="18" t="n">
        <f aca="false">IF(H339=0,0,K339/H339)</f>
        <v>0.00277777777777778</v>
      </c>
      <c r="S339" s="14" t="n">
        <f aca="false">MONTH(D339)</f>
        <v>3</v>
      </c>
    </row>
    <row r="340" customFormat="false" ht="15" hidden="false" customHeight="false" outlineLevel="0" collapsed="false">
      <c r="A340" s="21" t="s">
        <v>436</v>
      </c>
      <c r="B340" s="21" t="s">
        <v>46</v>
      </c>
      <c r="C340" s="21" t="s">
        <v>55</v>
      </c>
      <c r="D340" s="29" t="n">
        <v>46189</v>
      </c>
      <c r="E340" s="29" t="n">
        <v>46194</v>
      </c>
      <c r="F340" s="29" t="n">
        <v>46193</v>
      </c>
      <c r="G340" s="21" t="n">
        <v>640</v>
      </c>
      <c r="H340" s="21" t="n">
        <v>640</v>
      </c>
      <c r="I340" s="21" t="n">
        <v>293</v>
      </c>
      <c r="J340" s="30" t="n">
        <v>28693</v>
      </c>
      <c r="K340" s="21" t="n">
        <v>1</v>
      </c>
      <c r="L340" s="14" t="n">
        <f aca="false">MAX(0,F340-E340)</f>
        <v>0</v>
      </c>
      <c r="M340" s="14" t="n">
        <f aca="false">IF(L340&lt;=Assumptions!$B$5,1,0)</f>
        <v>1</v>
      </c>
      <c r="N340" s="14" t="n">
        <f aca="false">IF(H340&gt;=G340,1,0)</f>
        <v>1</v>
      </c>
      <c r="O340" s="14" t="n">
        <f aca="false">M340*N340</f>
        <v>1</v>
      </c>
      <c r="P340" s="15" t="n">
        <f aca="false">L340*Assumptions!$B$6</f>
        <v>0</v>
      </c>
      <c r="Q340" s="31" t="n">
        <f aca="false">IF(I340=0,0,J340/I340)</f>
        <v>97.9283276450512</v>
      </c>
      <c r="R340" s="18" t="n">
        <f aca="false">IF(H340=0,0,K340/H340)</f>
        <v>0.0015625</v>
      </c>
      <c r="S340" s="14" t="n">
        <f aca="false">MONTH(D340)</f>
        <v>6</v>
      </c>
    </row>
    <row r="341" customFormat="false" ht="15" hidden="false" customHeight="false" outlineLevel="0" collapsed="false">
      <c r="A341" s="21" t="s">
        <v>437</v>
      </c>
      <c r="B341" s="21" t="s">
        <v>48</v>
      </c>
      <c r="C341" s="21" t="s">
        <v>53</v>
      </c>
      <c r="D341" s="29" t="n">
        <v>46067</v>
      </c>
      <c r="E341" s="29" t="n">
        <v>46077</v>
      </c>
      <c r="F341" s="29" t="n">
        <v>46077</v>
      </c>
      <c r="G341" s="21" t="n">
        <v>910</v>
      </c>
      <c r="H341" s="21" t="n">
        <v>815</v>
      </c>
      <c r="I341" s="21" t="n">
        <v>22</v>
      </c>
      <c r="J341" s="30" t="n">
        <v>6000</v>
      </c>
      <c r="K341" s="21" t="n">
        <v>5</v>
      </c>
      <c r="L341" s="14" t="n">
        <f aca="false">MAX(0,F341-E341)</f>
        <v>0</v>
      </c>
      <c r="M341" s="14" t="n">
        <f aca="false">IF(L341&lt;=Assumptions!$B$5,1,0)</f>
        <v>1</v>
      </c>
      <c r="N341" s="14" t="n">
        <f aca="false">IF(H341&gt;=G341,1,0)</f>
        <v>0</v>
      </c>
      <c r="O341" s="14" t="n">
        <f aca="false">M341*N341</f>
        <v>0</v>
      </c>
      <c r="P341" s="15" t="n">
        <f aca="false">L341*Assumptions!$B$6</f>
        <v>0</v>
      </c>
      <c r="Q341" s="31" t="n">
        <f aca="false">IF(I341=0,0,J341/I341)</f>
        <v>272.727272727273</v>
      </c>
      <c r="R341" s="18" t="n">
        <f aca="false">IF(H341=0,0,K341/H341)</f>
        <v>0.00613496932515337</v>
      </c>
      <c r="S341" s="14" t="n">
        <f aca="false">MONTH(D341)</f>
        <v>2</v>
      </c>
    </row>
    <row r="342" customFormat="false" ht="15" hidden="false" customHeight="false" outlineLevel="0" collapsed="false">
      <c r="A342" s="21" t="s">
        <v>438</v>
      </c>
      <c r="B342" s="21" t="s">
        <v>46</v>
      </c>
      <c r="C342" s="21" t="s">
        <v>57</v>
      </c>
      <c r="D342" s="29" t="n">
        <v>46087</v>
      </c>
      <c r="E342" s="29" t="n">
        <v>46090</v>
      </c>
      <c r="F342" s="29" t="n">
        <v>46089</v>
      </c>
      <c r="G342" s="21" t="n">
        <v>500</v>
      </c>
      <c r="H342" s="21" t="n">
        <v>500</v>
      </c>
      <c r="I342" s="21" t="n">
        <v>282</v>
      </c>
      <c r="J342" s="30" t="n">
        <v>31968</v>
      </c>
      <c r="K342" s="21" t="n">
        <v>14</v>
      </c>
      <c r="L342" s="14" t="n">
        <f aca="false">MAX(0,F342-E342)</f>
        <v>0</v>
      </c>
      <c r="M342" s="14" t="n">
        <f aca="false">IF(L342&lt;=Assumptions!$B$5,1,0)</f>
        <v>1</v>
      </c>
      <c r="N342" s="14" t="n">
        <f aca="false">IF(H342&gt;=G342,1,0)</f>
        <v>1</v>
      </c>
      <c r="O342" s="14" t="n">
        <f aca="false">M342*N342</f>
        <v>1</v>
      </c>
      <c r="P342" s="15" t="n">
        <f aca="false">L342*Assumptions!$B$6</f>
        <v>0</v>
      </c>
      <c r="Q342" s="31" t="n">
        <f aca="false">IF(I342=0,0,J342/I342)</f>
        <v>113.36170212766</v>
      </c>
      <c r="R342" s="18" t="n">
        <f aca="false">IF(H342=0,0,K342/H342)</f>
        <v>0.028</v>
      </c>
      <c r="S342" s="14" t="n">
        <f aca="false">MONTH(D342)</f>
        <v>3</v>
      </c>
    </row>
    <row r="343" customFormat="false" ht="15" hidden="false" customHeight="false" outlineLevel="0" collapsed="false">
      <c r="A343" s="21" t="s">
        <v>439</v>
      </c>
      <c r="B343" s="21" t="s">
        <v>45</v>
      </c>
      <c r="C343" s="21" t="s">
        <v>56</v>
      </c>
      <c r="D343" s="29" t="n">
        <v>46032</v>
      </c>
      <c r="E343" s="29" t="n">
        <v>46035</v>
      </c>
      <c r="F343" s="29" t="n">
        <v>46034</v>
      </c>
      <c r="G343" s="21" t="n">
        <v>760</v>
      </c>
      <c r="H343" s="21" t="n">
        <v>760</v>
      </c>
      <c r="I343" s="21" t="n">
        <v>176</v>
      </c>
      <c r="J343" s="30" t="n">
        <v>19374</v>
      </c>
      <c r="K343" s="21" t="n">
        <v>14</v>
      </c>
      <c r="L343" s="14" t="n">
        <f aca="false">MAX(0,F343-E343)</f>
        <v>0</v>
      </c>
      <c r="M343" s="14" t="n">
        <f aca="false">IF(L343&lt;=Assumptions!$B$5,1,0)</f>
        <v>1</v>
      </c>
      <c r="N343" s="14" t="n">
        <f aca="false">IF(H343&gt;=G343,1,0)</f>
        <v>1</v>
      </c>
      <c r="O343" s="14" t="n">
        <f aca="false">M343*N343</f>
        <v>1</v>
      </c>
      <c r="P343" s="15" t="n">
        <f aca="false">L343*Assumptions!$B$6</f>
        <v>0</v>
      </c>
      <c r="Q343" s="31" t="n">
        <f aca="false">IF(I343=0,0,J343/I343)</f>
        <v>110.079545454545</v>
      </c>
      <c r="R343" s="18" t="n">
        <f aca="false">IF(H343=0,0,K343/H343)</f>
        <v>0.0184210526315789</v>
      </c>
      <c r="S343" s="14" t="n">
        <f aca="false">MONTH(D343)</f>
        <v>1</v>
      </c>
    </row>
    <row r="344" customFormat="false" ht="15" hidden="false" customHeight="false" outlineLevel="0" collapsed="false">
      <c r="A344" s="21" t="s">
        <v>440</v>
      </c>
      <c r="B344" s="21" t="s">
        <v>45</v>
      </c>
      <c r="C344" s="21" t="s">
        <v>58</v>
      </c>
      <c r="D344" s="29" t="n">
        <v>46218</v>
      </c>
      <c r="E344" s="29" t="n">
        <v>46227</v>
      </c>
      <c r="F344" s="29" t="n">
        <v>46227</v>
      </c>
      <c r="G344" s="21" t="n">
        <v>410</v>
      </c>
      <c r="H344" s="21" t="n">
        <v>360</v>
      </c>
      <c r="I344" s="21" t="n">
        <v>227</v>
      </c>
      <c r="J344" s="30" t="n">
        <v>22165</v>
      </c>
      <c r="K344" s="21" t="n">
        <v>2</v>
      </c>
      <c r="L344" s="14" t="n">
        <f aca="false">MAX(0,F344-E344)</f>
        <v>0</v>
      </c>
      <c r="M344" s="14" t="n">
        <f aca="false">IF(L344&lt;=Assumptions!$B$5,1,0)</f>
        <v>1</v>
      </c>
      <c r="N344" s="14" t="n">
        <f aca="false">IF(H344&gt;=G344,1,0)</f>
        <v>0</v>
      </c>
      <c r="O344" s="14" t="n">
        <f aca="false">M344*N344</f>
        <v>0</v>
      </c>
      <c r="P344" s="15" t="n">
        <f aca="false">L344*Assumptions!$B$6</f>
        <v>0</v>
      </c>
      <c r="Q344" s="31" t="n">
        <f aca="false">IF(I344=0,0,J344/I344)</f>
        <v>97.6431718061674</v>
      </c>
      <c r="R344" s="18" t="n">
        <f aca="false">IF(H344=0,0,K344/H344)</f>
        <v>0.00555555555555556</v>
      </c>
      <c r="S344" s="14" t="n">
        <f aca="false">MONTH(D344)</f>
        <v>7</v>
      </c>
    </row>
    <row r="345" customFormat="false" ht="15" hidden="false" customHeight="false" outlineLevel="0" collapsed="false">
      <c r="A345" s="21" t="s">
        <v>441</v>
      </c>
      <c r="B345" s="21" t="s">
        <v>49</v>
      </c>
      <c r="C345" s="21" t="s">
        <v>53</v>
      </c>
      <c r="D345" s="29" t="n">
        <v>46221</v>
      </c>
      <c r="E345" s="29" t="n">
        <v>46224</v>
      </c>
      <c r="F345" s="29" t="n">
        <v>46224</v>
      </c>
      <c r="G345" s="21" t="n">
        <v>740</v>
      </c>
      <c r="H345" s="21" t="n">
        <v>740</v>
      </c>
      <c r="I345" s="21" t="n">
        <v>24</v>
      </c>
      <c r="J345" s="30" t="n">
        <v>5353</v>
      </c>
      <c r="K345" s="21" t="n">
        <v>8</v>
      </c>
      <c r="L345" s="14" t="n">
        <f aca="false">MAX(0,F345-E345)</f>
        <v>0</v>
      </c>
      <c r="M345" s="14" t="n">
        <f aca="false">IF(L345&lt;=Assumptions!$B$5,1,0)</f>
        <v>1</v>
      </c>
      <c r="N345" s="14" t="n">
        <f aca="false">IF(H345&gt;=G345,1,0)</f>
        <v>1</v>
      </c>
      <c r="O345" s="14" t="n">
        <f aca="false">M345*N345</f>
        <v>1</v>
      </c>
      <c r="P345" s="15" t="n">
        <f aca="false">L345*Assumptions!$B$6</f>
        <v>0</v>
      </c>
      <c r="Q345" s="31" t="n">
        <f aca="false">IF(I345=0,0,J345/I345)</f>
        <v>223.041666666667</v>
      </c>
      <c r="R345" s="18" t="n">
        <f aca="false">IF(H345=0,0,K345/H345)</f>
        <v>0.0108108108108108</v>
      </c>
      <c r="S345" s="14" t="n">
        <f aca="false">MONTH(D345)</f>
        <v>7</v>
      </c>
    </row>
    <row r="346" customFormat="false" ht="15" hidden="false" customHeight="false" outlineLevel="0" collapsed="false">
      <c r="A346" s="21" t="s">
        <v>442</v>
      </c>
      <c r="B346" s="21" t="s">
        <v>48</v>
      </c>
      <c r="C346" s="21" t="s">
        <v>58</v>
      </c>
      <c r="D346" s="29" t="n">
        <v>46061</v>
      </c>
      <c r="E346" s="29" t="n">
        <v>46065</v>
      </c>
      <c r="F346" s="29" t="n">
        <v>46065</v>
      </c>
      <c r="G346" s="21" t="n">
        <v>180</v>
      </c>
      <c r="H346" s="21" t="n">
        <v>180</v>
      </c>
      <c r="I346" s="21" t="n">
        <v>261</v>
      </c>
      <c r="J346" s="30" t="n">
        <v>26286</v>
      </c>
      <c r="K346" s="21" t="n">
        <v>1</v>
      </c>
      <c r="L346" s="14" t="n">
        <f aca="false">MAX(0,F346-E346)</f>
        <v>0</v>
      </c>
      <c r="M346" s="14" t="n">
        <f aca="false">IF(L346&lt;=Assumptions!$B$5,1,0)</f>
        <v>1</v>
      </c>
      <c r="N346" s="14" t="n">
        <f aca="false">IF(H346&gt;=G346,1,0)</f>
        <v>1</v>
      </c>
      <c r="O346" s="14" t="n">
        <f aca="false">M346*N346</f>
        <v>1</v>
      </c>
      <c r="P346" s="15" t="n">
        <f aca="false">L346*Assumptions!$B$6</f>
        <v>0</v>
      </c>
      <c r="Q346" s="31" t="n">
        <f aca="false">IF(I346=0,0,J346/I346)</f>
        <v>100.712643678161</v>
      </c>
      <c r="R346" s="18" t="n">
        <f aca="false">IF(H346=0,0,K346/H346)</f>
        <v>0.00555555555555556</v>
      </c>
      <c r="S346" s="14" t="n">
        <f aca="false">MONTH(D346)</f>
        <v>2</v>
      </c>
    </row>
    <row r="347" customFormat="false" ht="15" hidden="false" customHeight="false" outlineLevel="0" collapsed="false">
      <c r="A347" s="21" t="s">
        <v>443</v>
      </c>
      <c r="B347" s="21" t="s">
        <v>46</v>
      </c>
      <c r="C347" s="21" t="s">
        <v>55</v>
      </c>
      <c r="D347" s="29" t="n">
        <v>46273</v>
      </c>
      <c r="E347" s="29" t="n">
        <v>46282</v>
      </c>
      <c r="F347" s="29" t="n">
        <v>46282</v>
      </c>
      <c r="G347" s="21" t="n">
        <v>680</v>
      </c>
      <c r="H347" s="21" t="n">
        <v>680</v>
      </c>
      <c r="I347" s="21" t="n">
        <v>308</v>
      </c>
      <c r="J347" s="30" t="n">
        <v>27307</v>
      </c>
      <c r="K347" s="21" t="n">
        <v>19</v>
      </c>
      <c r="L347" s="14" t="n">
        <f aca="false">MAX(0,F347-E347)</f>
        <v>0</v>
      </c>
      <c r="M347" s="14" t="n">
        <f aca="false">IF(L347&lt;=Assumptions!$B$5,1,0)</f>
        <v>1</v>
      </c>
      <c r="N347" s="14" t="n">
        <f aca="false">IF(H347&gt;=G347,1,0)</f>
        <v>1</v>
      </c>
      <c r="O347" s="14" t="n">
        <f aca="false">M347*N347</f>
        <v>1</v>
      </c>
      <c r="P347" s="15" t="n">
        <f aca="false">L347*Assumptions!$B$6</f>
        <v>0</v>
      </c>
      <c r="Q347" s="31" t="n">
        <f aca="false">IF(I347=0,0,J347/I347)</f>
        <v>88.6590909090909</v>
      </c>
      <c r="R347" s="18" t="n">
        <f aca="false">IF(H347=0,0,K347/H347)</f>
        <v>0.0279411764705882</v>
      </c>
      <c r="S347" s="14" t="n">
        <f aca="false">MONTH(D347)</f>
        <v>9</v>
      </c>
    </row>
    <row r="348" customFormat="false" ht="15" hidden="false" customHeight="false" outlineLevel="0" collapsed="false">
      <c r="A348" s="21" t="s">
        <v>444</v>
      </c>
      <c r="B348" s="21" t="s">
        <v>48</v>
      </c>
      <c r="C348" s="21" t="s">
        <v>56</v>
      </c>
      <c r="D348" s="29" t="n">
        <v>46140</v>
      </c>
      <c r="E348" s="29" t="n">
        <v>46148</v>
      </c>
      <c r="F348" s="29" t="n">
        <v>46152</v>
      </c>
      <c r="G348" s="21" t="n">
        <v>580</v>
      </c>
      <c r="H348" s="21" t="n">
        <v>580</v>
      </c>
      <c r="I348" s="21" t="n">
        <v>187</v>
      </c>
      <c r="J348" s="30" t="n">
        <v>20826</v>
      </c>
      <c r="K348" s="21" t="n">
        <v>1</v>
      </c>
      <c r="L348" s="14" t="n">
        <f aca="false">MAX(0,F348-E348)</f>
        <v>4</v>
      </c>
      <c r="M348" s="14" t="n">
        <f aca="false">IF(L348&lt;=Assumptions!$B$5,1,0)</f>
        <v>0</v>
      </c>
      <c r="N348" s="14" t="n">
        <f aca="false">IF(H348&gt;=G348,1,0)</f>
        <v>1</v>
      </c>
      <c r="O348" s="14" t="n">
        <f aca="false">M348*N348</f>
        <v>0</v>
      </c>
      <c r="P348" s="15" t="n">
        <f aca="false">L348*Assumptions!$B$6</f>
        <v>6000</v>
      </c>
      <c r="Q348" s="31" t="n">
        <f aca="false">IF(I348=0,0,J348/I348)</f>
        <v>111.368983957219</v>
      </c>
      <c r="R348" s="18" t="n">
        <f aca="false">IF(H348=0,0,K348/H348)</f>
        <v>0.00172413793103448</v>
      </c>
      <c r="S348" s="14" t="n">
        <f aca="false">MONTH(D348)</f>
        <v>4</v>
      </c>
    </row>
    <row r="349" customFormat="false" ht="15" hidden="false" customHeight="false" outlineLevel="0" collapsed="false">
      <c r="A349" s="21" t="s">
        <v>445</v>
      </c>
      <c r="B349" s="21" t="s">
        <v>45</v>
      </c>
      <c r="C349" s="21" t="s">
        <v>57</v>
      </c>
      <c r="D349" s="29" t="n">
        <v>46231</v>
      </c>
      <c r="E349" s="29" t="n">
        <v>46239</v>
      </c>
      <c r="F349" s="29" t="n">
        <v>46239</v>
      </c>
      <c r="G349" s="21" t="n">
        <v>590</v>
      </c>
      <c r="H349" s="21" t="n">
        <v>590</v>
      </c>
      <c r="I349" s="21" t="n">
        <v>296</v>
      </c>
      <c r="J349" s="30" t="n">
        <v>22720</v>
      </c>
      <c r="K349" s="21" t="n">
        <v>1</v>
      </c>
      <c r="L349" s="14" t="n">
        <f aca="false">MAX(0,F349-E349)</f>
        <v>0</v>
      </c>
      <c r="M349" s="14" t="n">
        <f aca="false">IF(L349&lt;=Assumptions!$B$5,1,0)</f>
        <v>1</v>
      </c>
      <c r="N349" s="14" t="n">
        <f aca="false">IF(H349&gt;=G349,1,0)</f>
        <v>1</v>
      </c>
      <c r="O349" s="14" t="n">
        <f aca="false">M349*N349</f>
        <v>1</v>
      </c>
      <c r="P349" s="15" t="n">
        <f aca="false">L349*Assumptions!$B$6</f>
        <v>0</v>
      </c>
      <c r="Q349" s="31" t="n">
        <f aca="false">IF(I349=0,0,J349/I349)</f>
        <v>76.7567567567568</v>
      </c>
      <c r="R349" s="18" t="n">
        <f aca="false">IF(H349=0,0,K349/H349)</f>
        <v>0.00169491525423729</v>
      </c>
      <c r="S349" s="14" t="n">
        <f aca="false">MONTH(D349)</f>
        <v>7</v>
      </c>
    </row>
    <row r="350" customFormat="false" ht="15" hidden="false" customHeight="false" outlineLevel="0" collapsed="false">
      <c r="A350" s="21" t="s">
        <v>446</v>
      </c>
      <c r="B350" s="21" t="s">
        <v>47</v>
      </c>
      <c r="C350" s="21" t="s">
        <v>55</v>
      </c>
      <c r="D350" s="29" t="n">
        <v>46073</v>
      </c>
      <c r="E350" s="29" t="n">
        <v>46080</v>
      </c>
      <c r="F350" s="29" t="n">
        <v>46079</v>
      </c>
      <c r="G350" s="21" t="n">
        <v>720</v>
      </c>
      <c r="H350" s="21" t="n">
        <v>667</v>
      </c>
      <c r="I350" s="21" t="n">
        <v>349</v>
      </c>
      <c r="J350" s="30" t="n">
        <v>25966</v>
      </c>
      <c r="K350" s="21" t="n">
        <v>32</v>
      </c>
      <c r="L350" s="14" t="n">
        <f aca="false">MAX(0,F350-E350)</f>
        <v>0</v>
      </c>
      <c r="M350" s="14" t="n">
        <f aca="false">IF(L350&lt;=Assumptions!$B$5,1,0)</f>
        <v>1</v>
      </c>
      <c r="N350" s="14" t="n">
        <f aca="false">IF(H350&gt;=G350,1,0)</f>
        <v>0</v>
      </c>
      <c r="O350" s="14" t="n">
        <f aca="false">M350*N350</f>
        <v>0</v>
      </c>
      <c r="P350" s="15" t="n">
        <f aca="false">L350*Assumptions!$B$6</f>
        <v>0</v>
      </c>
      <c r="Q350" s="31" t="n">
        <f aca="false">IF(I350=0,0,J350/I350)</f>
        <v>74.4011461318052</v>
      </c>
      <c r="R350" s="18" t="n">
        <f aca="false">IF(H350=0,0,K350/H350)</f>
        <v>0.047976011994003</v>
      </c>
      <c r="S350" s="14" t="n">
        <f aca="false">MONTH(D350)</f>
        <v>2</v>
      </c>
    </row>
    <row r="351" customFormat="false" ht="15" hidden="false" customHeight="false" outlineLevel="0" collapsed="false">
      <c r="A351" s="21" t="s">
        <v>447</v>
      </c>
      <c r="B351" s="21" t="s">
        <v>46</v>
      </c>
      <c r="C351" s="21" t="s">
        <v>58</v>
      </c>
      <c r="D351" s="29" t="n">
        <v>46272</v>
      </c>
      <c r="E351" s="29" t="n">
        <v>46275</v>
      </c>
      <c r="F351" s="29" t="n">
        <v>46275</v>
      </c>
      <c r="G351" s="21" t="n">
        <v>730</v>
      </c>
      <c r="H351" s="21" t="n">
        <v>730</v>
      </c>
      <c r="I351" s="21" t="n">
        <v>245</v>
      </c>
      <c r="J351" s="30" t="n">
        <v>29040</v>
      </c>
      <c r="K351" s="21" t="n">
        <v>3</v>
      </c>
      <c r="L351" s="14" t="n">
        <f aca="false">MAX(0,F351-E351)</f>
        <v>0</v>
      </c>
      <c r="M351" s="14" t="n">
        <f aca="false">IF(L351&lt;=Assumptions!$B$5,1,0)</f>
        <v>1</v>
      </c>
      <c r="N351" s="14" t="n">
        <f aca="false">IF(H351&gt;=G351,1,0)</f>
        <v>1</v>
      </c>
      <c r="O351" s="14" t="n">
        <f aca="false">M351*N351</f>
        <v>1</v>
      </c>
      <c r="P351" s="15" t="n">
        <f aca="false">L351*Assumptions!$B$6</f>
        <v>0</v>
      </c>
      <c r="Q351" s="31" t="n">
        <f aca="false">IF(I351=0,0,J351/I351)</f>
        <v>118.530612244898</v>
      </c>
      <c r="R351" s="18" t="n">
        <f aca="false">IF(H351=0,0,K351/H351)</f>
        <v>0.00410958904109589</v>
      </c>
      <c r="S351" s="14" t="n">
        <f aca="false">MONTH(D351)</f>
        <v>9</v>
      </c>
    </row>
    <row r="352" customFormat="false" ht="15" hidden="false" customHeight="false" outlineLevel="0" collapsed="false">
      <c r="A352" s="21" t="s">
        <v>448</v>
      </c>
      <c r="B352" s="21" t="s">
        <v>46</v>
      </c>
      <c r="C352" s="21" t="s">
        <v>53</v>
      </c>
      <c r="D352" s="29" t="n">
        <v>46090</v>
      </c>
      <c r="E352" s="29" t="n">
        <v>46099</v>
      </c>
      <c r="F352" s="29" t="n">
        <v>46099</v>
      </c>
      <c r="G352" s="21" t="n">
        <v>900</v>
      </c>
      <c r="H352" s="21" t="n">
        <v>900</v>
      </c>
      <c r="I352" s="21" t="n">
        <v>46</v>
      </c>
      <c r="J352" s="30" t="n">
        <v>7958</v>
      </c>
      <c r="K352" s="21" t="n">
        <v>5</v>
      </c>
      <c r="L352" s="14" t="n">
        <f aca="false">MAX(0,F352-E352)</f>
        <v>0</v>
      </c>
      <c r="M352" s="14" t="n">
        <f aca="false">IF(L352&lt;=Assumptions!$B$5,1,0)</f>
        <v>1</v>
      </c>
      <c r="N352" s="14" t="n">
        <f aca="false">IF(H352&gt;=G352,1,0)</f>
        <v>1</v>
      </c>
      <c r="O352" s="14" t="n">
        <f aca="false">M352*N352</f>
        <v>1</v>
      </c>
      <c r="P352" s="15" t="n">
        <f aca="false">L352*Assumptions!$B$6</f>
        <v>0</v>
      </c>
      <c r="Q352" s="31" t="n">
        <f aca="false">IF(I352=0,0,J352/I352)</f>
        <v>173</v>
      </c>
      <c r="R352" s="18" t="n">
        <f aca="false">IF(H352=0,0,K352/H352)</f>
        <v>0.00555555555555556</v>
      </c>
      <c r="S352" s="14" t="n">
        <f aca="false">MONTH(D352)</f>
        <v>3</v>
      </c>
    </row>
    <row r="353" customFormat="false" ht="15" hidden="false" customHeight="false" outlineLevel="0" collapsed="false">
      <c r="A353" s="21" t="s">
        <v>449</v>
      </c>
      <c r="B353" s="21" t="s">
        <v>46</v>
      </c>
      <c r="C353" s="21" t="s">
        <v>55</v>
      </c>
      <c r="D353" s="29" t="n">
        <v>46098</v>
      </c>
      <c r="E353" s="29" t="n">
        <v>46105</v>
      </c>
      <c r="F353" s="29" t="n">
        <v>46104</v>
      </c>
      <c r="G353" s="21" t="n">
        <v>920</v>
      </c>
      <c r="H353" s="21" t="n">
        <v>920</v>
      </c>
      <c r="I353" s="21" t="n">
        <v>325</v>
      </c>
      <c r="J353" s="30" t="n">
        <v>30600</v>
      </c>
      <c r="K353" s="21" t="n">
        <v>14</v>
      </c>
      <c r="L353" s="14" t="n">
        <f aca="false">MAX(0,F353-E353)</f>
        <v>0</v>
      </c>
      <c r="M353" s="14" t="n">
        <f aca="false">IF(L353&lt;=Assumptions!$B$5,1,0)</f>
        <v>1</v>
      </c>
      <c r="N353" s="14" t="n">
        <f aca="false">IF(H353&gt;=G353,1,0)</f>
        <v>1</v>
      </c>
      <c r="O353" s="14" t="n">
        <f aca="false">M353*N353</f>
        <v>1</v>
      </c>
      <c r="P353" s="15" t="n">
        <f aca="false">L353*Assumptions!$B$6</f>
        <v>0</v>
      </c>
      <c r="Q353" s="31" t="n">
        <f aca="false">IF(I353=0,0,J353/I353)</f>
        <v>94.1538461538462</v>
      </c>
      <c r="R353" s="18" t="n">
        <f aca="false">IF(H353=0,0,K353/H353)</f>
        <v>0.0152173913043478</v>
      </c>
      <c r="S353" s="14" t="n">
        <f aca="false">MONTH(D353)</f>
        <v>3</v>
      </c>
    </row>
    <row r="354" customFormat="false" ht="15" hidden="false" customHeight="false" outlineLevel="0" collapsed="false">
      <c r="A354" s="21" t="s">
        <v>450</v>
      </c>
      <c r="B354" s="21" t="s">
        <v>47</v>
      </c>
      <c r="C354" s="21" t="s">
        <v>55</v>
      </c>
      <c r="D354" s="29" t="n">
        <v>46245</v>
      </c>
      <c r="E354" s="29" t="n">
        <v>46248</v>
      </c>
      <c r="F354" s="29" t="n">
        <v>46254</v>
      </c>
      <c r="G354" s="21" t="n">
        <v>190</v>
      </c>
      <c r="H354" s="21" t="n">
        <v>190</v>
      </c>
      <c r="I354" s="21" t="n">
        <v>326</v>
      </c>
      <c r="J354" s="30" t="n">
        <v>22489</v>
      </c>
      <c r="K354" s="21" t="n">
        <v>8</v>
      </c>
      <c r="L354" s="14" t="n">
        <f aca="false">MAX(0,F354-E354)</f>
        <v>6</v>
      </c>
      <c r="M354" s="14" t="n">
        <f aca="false">IF(L354&lt;=Assumptions!$B$5,1,0)</f>
        <v>0</v>
      </c>
      <c r="N354" s="14" t="n">
        <f aca="false">IF(H354&gt;=G354,1,0)</f>
        <v>1</v>
      </c>
      <c r="O354" s="14" t="n">
        <f aca="false">M354*N354</f>
        <v>0</v>
      </c>
      <c r="P354" s="15" t="n">
        <f aca="false">L354*Assumptions!$B$6</f>
        <v>9000</v>
      </c>
      <c r="Q354" s="31" t="n">
        <f aca="false">IF(I354=0,0,J354/I354)</f>
        <v>68.9846625766871</v>
      </c>
      <c r="R354" s="18" t="n">
        <f aca="false">IF(H354=0,0,K354/H354)</f>
        <v>0.0421052631578947</v>
      </c>
      <c r="S354" s="14" t="n">
        <f aca="false">MONTH(D354)</f>
        <v>8</v>
      </c>
    </row>
    <row r="355" customFormat="false" ht="15" hidden="false" customHeight="false" outlineLevel="0" collapsed="false">
      <c r="A355" s="21" t="s">
        <v>451</v>
      </c>
      <c r="B355" s="21" t="s">
        <v>46</v>
      </c>
      <c r="C355" s="21" t="s">
        <v>56</v>
      </c>
      <c r="D355" s="29" t="n">
        <v>46195</v>
      </c>
      <c r="E355" s="29" t="n">
        <v>46198</v>
      </c>
      <c r="F355" s="29" t="n">
        <v>46198</v>
      </c>
      <c r="G355" s="21" t="n">
        <v>330</v>
      </c>
      <c r="H355" s="21" t="n">
        <v>330</v>
      </c>
      <c r="I355" s="21" t="n">
        <v>175</v>
      </c>
      <c r="J355" s="30" t="n">
        <v>14576</v>
      </c>
      <c r="K355" s="21" t="n">
        <v>6</v>
      </c>
      <c r="L355" s="14" t="n">
        <f aca="false">MAX(0,F355-E355)</f>
        <v>0</v>
      </c>
      <c r="M355" s="14" t="n">
        <f aca="false">IF(L355&lt;=Assumptions!$B$5,1,0)</f>
        <v>1</v>
      </c>
      <c r="N355" s="14" t="n">
        <f aca="false">IF(H355&gt;=G355,1,0)</f>
        <v>1</v>
      </c>
      <c r="O355" s="14" t="n">
        <f aca="false">M355*N355</f>
        <v>1</v>
      </c>
      <c r="P355" s="15" t="n">
        <f aca="false">L355*Assumptions!$B$6</f>
        <v>0</v>
      </c>
      <c r="Q355" s="31" t="n">
        <f aca="false">IF(I355=0,0,J355/I355)</f>
        <v>83.2914285714286</v>
      </c>
      <c r="R355" s="18" t="n">
        <f aca="false">IF(H355=0,0,K355/H355)</f>
        <v>0.0181818181818182</v>
      </c>
      <c r="S355" s="14" t="n">
        <f aca="false">MONTH(D355)</f>
        <v>6</v>
      </c>
    </row>
    <row r="356" customFormat="false" ht="15" hidden="false" customHeight="false" outlineLevel="0" collapsed="false">
      <c r="A356" s="21" t="s">
        <v>452</v>
      </c>
      <c r="B356" s="21" t="s">
        <v>48</v>
      </c>
      <c r="C356" s="21" t="s">
        <v>55</v>
      </c>
      <c r="D356" s="29" t="n">
        <v>46270</v>
      </c>
      <c r="E356" s="29" t="n">
        <v>46280</v>
      </c>
      <c r="F356" s="29" t="n">
        <v>46279</v>
      </c>
      <c r="G356" s="21" t="n">
        <v>960</v>
      </c>
      <c r="H356" s="21" t="n">
        <v>960</v>
      </c>
      <c r="I356" s="21" t="n">
        <v>351</v>
      </c>
      <c r="J356" s="30" t="n">
        <v>40967</v>
      </c>
      <c r="K356" s="21" t="n">
        <v>46</v>
      </c>
      <c r="L356" s="14" t="n">
        <f aca="false">MAX(0,F356-E356)</f>
        <v>0</v>
      </c>
      <c r="M356" s="14" t="n">
        <f aca="false">IF(L356&lt;=Assumptions!$B$5,1,0)</f>
        <v>1</v>
      </c>
      <c r="N356" s="14" t="n">
        <f aca="false">IF(H356&gt;=G356,1,0)</f>
        <v>1</v>
      </c>
      <c r="O356" s="14" t="n">
        <f aca="false">M356*N356</f>
        <v>1</v>
      </c>
      <c r="P356" s="15" t="n">
        <f aca="false">L356*Assumptions!$B$6</f>
        <v>0</v>
      </c>
      <c r="Q356" s="31" t="n">
        <f aca="false">IF(I356=0,0,J356/I356)</f>
        <v>116.7150997151</v>
      </c>
      <c r="R356" s="18" t="n">
        <f aca="false">IF(H356=0,0,K356/H356)</f>
        <v>0.0479166666666667</v>
      </c>
      <c r="S356" s="14" t="n">
        <f aca="false">MONTH(D356)</f>
        <v>9</v>
      </c>
    </row>
    <row r="357" customFormat="false" ht="15" hidden="false" customHeight="false" outlineLevel="0" collapsed="false">
      <c r="A357" s="21" t="s">
        <v>453</v>
      </c>
      <c r="B357" s="21" t="s">
        <v>45</v>
      </c>
      <c r="C357" s="21" t="s">
        <v>55</v>
      </c>
      <c r="D357" s="29" t="n">
        <v>46095</v>
      </c>
      <c r="E357" s="29" t="n">
        <v>46100</v>
      </c>
      <c r="F357" s="29" t="n">
        <v>46100</v>
      </c>
      <c r="G357" s="21" t="n">
        <v>670</v>
      </c>
      <c r="H357" s="21" t="n">
        <v>670</v>
      </c>
      <c r="I357" s="21" t="n">
        <v>296</v>
      </c>
      <c r="J357" s="30" t="n">
        <v>31202</v>
      </c>
      <c r="K357" s="21" t="n">
        <v>6</v>
      </c>
      <c r="L357" s="14" t="n">
        <f aca="false">MAX(0,F357-E357)</f>
        <v>0</v>
      </c>
      <c r="M357" s="14" t="n">
        <f aca="false">IF(L357&lt;=Assumptions!$B$5,1,0)</f>
        <v>1</v>
      </c>
      <c r="N357" s="14" t="n">
        <f aca="false">IF(H357&gt;=G357,1,0)</f>
        <v>1</v>
      </c>
      <c r="O357" s="14" t="n">
        <f aca="false">M357*N357</f>
        <v>1</v>
      </c>
      <c r="P357" s="15" t="n">
        <f aca="false">L357*Assumptions!$B$6</f>
        <v>0</v>
      </c>
      <c r="Q357" s="31" t="n">
        <f aca="false">IF(I357=0,0,J357/I357)</f>
        <v>105.412162162162</v>
      </c>
      <c r="R357" s="18" t="n">
        <f aca="false">IF(H357=0,0,K357/H357)</f>
        <v>0.00895522388059702</v>
      </c>
      <c r="S357" s="14" t="n">
        <f aca="false">MONTH(D357)</f>
        <v>3</v>
      </c>
    </row>
    <row r="358" customFormat="false" ht="15" hidden="false" customHeight="false" outlineLevel="0" collapsed="false">
      <c r="A358" s="21" t="s">
        <v>454</v>
      </c>
      <c r="B358" s="21" t="s">
        <v>48</v>
      </c>
      <c r="C358" s="21" t="s">
        <v>53</v>
      </c>
      <c r="D358" s="29" t="n">
        <v>46252</v>
      </c>
      <c r="E358" s="29" t="n">
        <v>46255</v>
      </c>
      <c r="F358" s="29" t="n">
        <v>46255</v>
      </c>
      <c r="G358" s="21" t="n">
        <v>620</v>
      </c>
      <c r="H358" s="21" t="n">
        <v>620</v>
      </c>
      <c r="I358" s="21" t="n">
        <v>42</v>
      </c>
      <c r="J358" s="30" t="n">
        <v>4667</v>
      </c>
      <c r="K358" s="21" t="n">
        <v>9</v>
      </c>
      <c r="L358" s="14" t="n">
        <f aca="false">MAX(0,F358-E358)</f>
        <v>0</v>
      </c>
      <c r="M358" s="14" t="n">
        <f aca="false">IF(L358&lt;=Assumptions!$B$5,1,0)</f>
        <v>1</v>
      </c>
      <c r="N358" s="14" t="n">
        <f aca="false">IF(H358&gt;=G358,1,0)</f>
        <v>1</v>
      </c>
      <c r="O358" s="14" t="n">
        <f aca="false">M358*N358</f>
        <v>1</v>
      </c>
      <c r="P358" s="15" t="n">
        <f aca="false">L358*Assumptions!$B$6</f>
        <v>0</v>
      </c>
      <c r="Q358" s="31" t="n">
        <f aca="false">IF(I358=0,0,J358/I358)</f>
        <v>111.119047619048</v>
      </c>
      <c r="R358" s="18" t="n">
        <f aca="false">IF(H358=0,0,K358/H358)</f>
        <v>0.0145161290322581</v>
      </c>
      <c r="S358" s="14" t="n">
        <f aca="false">MONTH(D358)</f>
        <v>8</v>
      </c>
    </row>
    <row r="359" customFormat="false" ht="15" hidden="false" customHeight="false" outlineLevel="0" collapsed="false">
      <c r="A359" s="21" t="s">
        <v>455</v>
      </c>
      <c r="B359" s="21" t="s">
        <v>49</v>
      </c>
      <c r="C359" s="21" t="s">
        <v>58</v>
      </c>
      <c r="D359" s="29" t="n">
        <v>46185</v>
      </c>
      <c r="E359" s="29" t="n">
        <v>46192</v>
      </c>
      <c r="F359" s="29" t="n">
        <v>46192</v>
      </c>
      <c r="G359" s="21" t="n">
        <v>950</v>
      </c>
      <c r="H359" s="21" t="n">
        <v>950</v>
      </c>
      <c r="I359" s="21" t="n">
        <v>249</v>
      </c>
      <c r="J359" s="30" t="n">
        <v>19643</v>
      </c>
      <c r="K359" s="21" t="n">
        <v>14</v>
      </c>
      <c r="L359" s="14" t="n">
        <f aca="false">MAX(0,F359-E359)</f>
        <v>0</v>
      </c>
      <c r="M359" s="14" t="n">
        <f aca="false">IF(L359&lt;=Assumptions!$B$5,1,0)</f>
        <v>1</v>
      </c>
      <c r="N359" s="14" t="n">
        <f aca="false">IF(H359&gt;=G359,1,0)</f>
        <v>1</v>
      </c>
      <c r="O359" s="14" t="n">
        <f aca="false">M359*N359</f>
        <v>1</v>
      </c>
      <c r="P359" s="15" t="n">
        <f aca="false">L359*Assumptions!$B$6</f>
        <v>0</v>
      </c>
      <c r="Q359" s="31" t="n">
        <f aca="false">IF(I359=0,0,J359/I359)</f>
        <v>78.8875502008032</v>
      </c>
      <c r="R359" s="18" t="n">
        <f aca="false">IF(H359=0,0,K359/H359)</f>
        <v>0.0147368421052632</v>
      </c>
      <c r="S359" s="14" t="n">
        <f aca="false">MONTH(D359)</f>
        <v>6</v>
      </c>
    </row>
    <row r="360" customFormat="false" ht="15" hidden="false" customHeight="false" outlineLevel="0" collapsed="false">
      <c r="A360" s="21" t="s">
        <v>456</v>
      </c>
      <c r="B360" s="21" t="s">
        <v>46</v>
      </c>
      <c r="C360" s="21" t="s">
        <v>58</v>
      </c>
      <c r="D360" s="29" t="n">
        <v>46147</v>
      </c>
      <c r="E360" s="29" t="n">
        <v>46154</v>
      </c>
      <c r="F360" s="29" t="n">
        <v>46160</v>
      </c>
      <c r="G360" s="21" t="n">
        <v>200</v>
      </c>
      <c r="H360" s="21" t="n">
        <v>200</v>
      </c>
      <c r="I360" s="21" t="n">
        <v>227</v>
      </c>
      <c r="J360" s="30" t="n">
        <v>21680</v>
      </c>
      <c r="K360" s="21" t="n">
        <v>7</v>
      </c>
      <c r="L360" s="14" t="n">
        <f aca="false">MAX(0,F360-E360)</f>
        <v>6</v>
      </c>
      <c r="M360" s="14" t="n">
        <f aca="false">IF(L360&lt;=Assumptions!$B$5,1,0)</f>
        <v>0</v>
      </c>
      <c r="N360" s="14" t="n">
        <f aca="false">IF(H360&gt;=G360,1,0)</f>
        <v>1</v>
      </c>
      <c r="O360" s="14" t="n">
        <f aca="false">M360*N360</f>
        <v>0</v>
      </c>
      <c r="P360" s="15" t="n">
        <f aca="false">L360*Assumptions!$B$6</f>
        <v>9000</v>
      </c>
      <c r="Q360" s="31" t="n">
        <f aca="false">IF(I360=0,0,J360/I360)</f>
        <v>95.5066079295154</v>
      </c>
      <c r="R360" s="18" t="n">
        <f aca="false">IF(H360=0,0,K360/H360)</f>
        <v>0.035</v>
      </c>
      <c r="S360" s="14" t="n">
        <f aca="false">MONTH(D360)</f>
        <v>5</v>
      </c>
    </row>
    <row r="361" customFormat="false" ht="15" hidden="false" customHeight="false" outlineLevel="0" collapsed="false">
      <c r="A361" s="21" t="s">
        <v>457</v>
      </c>
      <c r="B361" s="21" t="s">
        <v>49</v>
      </c>
      <c r="C361" s="21" t="s">
        <v>53</v>
      </c>
      <c r="D361" s="29" t="n">
        <v>46028</v>
      </c>
      <c r="E361" s="29" t="n">
        <v>46036</v>
      </c>
      <c r="F361" s="29" t="n">
        <v>46036</v>
      </c>
      <c r="G361" s="21" t="n">
        <v>680</v>
      </c>
      <c r="H361" s="21" t="n">
        <v>680</v>
      </c>
      <c r="I361" s="21" t="n">
        <v>54</v>
      </c>
      <c r="J361" s="30" t="n">
        <v>7020</v>
      </c>
      <c r="K361" s="21" t="n">
        <v>3</v>
      </c>
      <c r="L361" s="14" t="n">
        <f aca="false">MAX(0,F361-E361)</f>
        <v>0</v>
      </c>
      <c r="M361" s="14" t="n">
        <f aca="false">IF(L361&lt;=Assumptions!$B$5,1,0)</f>
        <v>1</v>
      </c>
      <c r="N361" s="14" t="n">
        <f aca="false">IF(H361&gt;=G361,1,0)</f>
        <v>1</v>
      </c>
      <c r="O361" s="14" t="n">
        <f aca="false">M361*N361</f>
        <v>1</v>
      </c>
      <c r="P361" s="15" t="n">
        <f aca="false">L361*Assumptions!$B$6</f>
        <v>0</v>
      </c>
      <c r="Q361" s="31" t="n">
        <f aca="false">IF(I361=0,0,J361/I361)</f>
        <v>130</v>
      </c>
      <c r="R361" s="18" t="n">
        <f aca="false">IF(H361=0,0,K361/H361)</f>
        <v>0.00441176470588235</v>
      </c>
      <c r="S361" s="14" t="n">
        <f aca="false">MONTH(D361)</f>
        <v>1</v>
      </c>
    </row>
    <row r="362" customFormat="false" ht="15" hidden="false" customHeight="false" outlineLevel="0" collapsed="false">
      <c r="A362" s="21" t="s">
        <v>458</v>
      </c>
      <c r="B362" s="21" t="s">
        <v>49</v>
      </c>
      <c r="C362" s="21" t="s">
        <v>55</v>
      </c>
      <c r="D362" s="29" t="n">
        <v>46267</v>
      </c>
      <c r="E362" s="29" t="n">
        <v>46274</v>
      </c>
      <c r="F362" s="29" t="n">
        <v>46274</v>
      </c>
      <c r="G362" s="21" t="n">
        <v>710</v>
      </c>
      <c r="H362" s="21" t="n">
        <v>710</v>
      </c>
      <c r="I362" s="21" t="n">
        <v>282</v>
      </c>
      <c r="J362" s="30" t="n">
        <v>31644</v>
      </c>
      <c r="K362" s="21" t="n">
        <v>1</v>
      </c>
      <c r="L362" s="14" t="n">
        <f aca="false">MAX(0,F362-E362)</f>
        <v>0</v>
      </c>
      <c r="M362" s="14" t="n">
        <f aca="false">IF(L362&lt;=Assumptions!$B$5,1,0)</f>
        <v>1</v>
      </c>
      <c r="N362" s="14" t="n">
        <f aca="false">IF(H362&gt;=G362,1,0)</f>
        <v>1</v>
      </c>
      <c r="O362" s="14" t="n">
        <f aca="false">M362*N362</f>
        <v>1</v>
      </c>
      <c r="P362" s="15" t="n">
        <f aca="false">L362*Assumptions!$B$6</f>
        <v>0</v>
      </c>
      <c r="Q362" s="31" t="n">
        <f aca="false">IF(I362=0,0,J362/I362)</f>
        <v>112.212765957447</v>
      </c>
      <c r="R362" s="18" t="n">
        <f aca="false">IF(H362=0,0,K362/H362)</f>
        <v>0.00140845070422535</v>
      </c>
      <c r="S362" s="14" t="n">
        <f aca="false">MONTH(D362)</f>
        <v>9</v>
      </c>
    </row>
    <row r="363" customFormat="false" ht="15" hidden="false" customHeight="false" outlineLevel="0" collapsed="false">
      <c r="A363" s="21" t="s">
        <v>459</v>
      </c>
      <c r="B363" s="21" t="s">
        <v>48</v>
      </c>
      <c r="C363" s="21" t="s">
        <v>54</v>
      </c>
      <c r="D363" s="29" t="n">
        <v>46078</v>
      </c>
      <c r="E363" s="29" t="n">
        <v>46084</v>
      </c>
      <c r="F363" s="29" t="n">
        <v>46087</v>
      </c>
      <c r="G363" s="21" t="n">
        <v>760</v>
      </c>
      <c r="H363" s="21" t="n">
        <v>760</v>
      </c>
      <c r="I363" s="21" t="n">
        <v>508</v>
      </c>
      <c r="J363" s="30" t="n">
        <v>57983</v>
      </c>
      <c r="K363" s="21" t="n">
        <v>13</v>
      </c>
      <c r="L363" s="14" t="n">
        <f aca="false">MAX(0,F363-E363)</f>
        <v>3</v>
      </c>
      <c r="M363" s="14" t="n">
        <f aca="false">IF(L363&lt;=Assumptions!$B$5,1,0)</f>
        <v>0</v>
      </c>
      <c r="N363" s="14" t="n">
        <f aca="false">IF(H363&gt;=G363,1,0)</f>
        <v>1</v>
      </c>
      <c r="O363" s="14" t="n">
        <f aca="false">M363*N363</f>
        <v>0</v>
      </c>
      <c r="P363" s="15" t="n">
        <f aca="false">L363*Assumptions!$B$6</f>
        <v>4500</v>
      </c>
      <c r="Q363" s="31" t="n">
        <f aca="false">IF(I363=0,0,J363/I363)</f>
        <v>114.139763779528</v>
      </c>
      <c r="R363" s="18" t="n">
        <f aca="false">IF(H363=0,0,K363/H363)</f>
        <v>0.0171052631578947</v>
      </c>
      <c r="S363" s="14" t="n">
        <f aca="false">MONTH(D363)</f>
        <v>2</v>
      </c>
    </row>
    <row r="364" customFormat="false" ht="15" hidden="false" customHeight="false" outlineLevel="0" collapsed="false">
      <c r="A364" s="21" t="s">
        <v>460</v>
      </c>
      <c r="B364" s="21" t="s">
        <v>49</v>
      </c>
      <c r="C364" s="21" t="s">
        <v>55</v>
      </c>
      <c r="D364" s="29" t="n">
        <v>46086</v>
      </c>
      <c r="E364" s="29" t="n">
        <v>46091</v>
      </c>
      <c r="F364" s="29" t="n">
        <v>46091</v>
      </c>
      <c r="G364" s="21" t="n">
        <v>360</v>
      </c>
      <c r="H364" s="21" t="n">
        <v>360</v>
      </c>
      <c r="I364" s="21" t="n">
        <v>292</v>
      </c>
      <c r="J364" s="30" t="n">
        <v>19464</v>
      </c>
      <c r="K364" s="21" t="n">
        <v>3</v>
      </c>
      <c r="L364" s="14" t="n">
        <f aca="false">MAX(0,F364-E364)</f>
        <v>0</v>
      </c>
      <c r="M364" s="14" t="n">
        <f aca="false">IF(L364&lt;=Assumptions!$B$5,1,0)</f>
        <v>1</v>
      </c>
      <c r="N364" s="14" t="n">
        <f aca="false">IF(H364&gt;=G364,1,0)</f>
        <v>1</v>
      </c>
      <c r="O364" s="14" t="n">
        <f aca="false">M364*N364</f>
        <v>1</v>
      </c>
      <c r="P364" s="15" t="n">
        <f aca="false">L364*Assumptions!$B$6</f>
        <v>0</v>
      </c>
      <c r="Q364" s="31" t="n">
        <f aca="false">IF(I364=0,0,J364/I364)</f>
        <v>66.6575342465753</v>
      </c>
      <c r="R364" s="18" t="n">
        <f aca="false">IF(H364=0,0,K364/H364)</f>
        <v>0.00833333333333333</v>
      </c>
      <c r="S364" s="14" t="n">
        <f aca="false">MONTH(D364)</f>
        <v>3</v>
      </c>
    </row>
    <row r="365" customFormat="false" ht="15" hidden="false" customHeight="false" outlineLevel="0" collapsed="false">
      <c r="A365" s="21" t="s">
        <v>461</v>
      </c>
      <c r="B365" s="21" t="s">
        <v>46</v>
      </c>
      <c r="C365" s="21" t="s">
        <v>57</v>
      </c>
      <c r="D365" s="29" t="n">
        <v>46074</v>
      </c>
      <c r="E365" s="29" t="n">
        <v>46079</v>
      </c>
      <c r="F365" s="29" t="n">
        <v>46079</v>
      </c>
      <c r="G365" s="21" t="n">
        <v>660</v>
      </c>
      <c r="H365" s="21" t="n">
        <v>660</v>
      </c>
      <c r="I365" s="21" t="n">
        <v>260</v>
      </c>
      <c r="J365" s="30" t="n">
        <v>28509</v>
      </c>
      <c r="K365" s="21" t="n">
        <v>6</v>
      </c>
      <c r="L365" s="14" t="n">
        <f aca="false">MAX(0,F365-E365)</f>
        <v>0</v>
      </c>
      <c r="M365" s="14" t="n">
        <f aca="false">IF(L365&lt;=Assumptions!$B$5,1,0)</f>
        <v>1</v>
      </c>
      <c r="N365" s="14" t="n">
        <f aca="false">IF(H365&gt;=G365,1,0)</f>
        <v>1</v>
      </c>
      <c r="O365" s="14" t="n">
        <f aca="false">M365*N365</f>
        <v>1</v>
      </c>
      <c r="P365" s="15" t="n">
        <f aca="false">L365*Assumptions!$B$6</f>
        <v>0</v>
      </c>
      <c r="Q365" s="31" t="n">
        <f aca="false">IF(I365=0,0,J365/I365)</f>
        <v>109.65</v>
      </c>
      <c r="R365" s="18" t="n">
        <f aca="false">IF(H365=0,0,K365/H365)</f>
        <v>0.00909090909090909</v>
      </c>
      <c r="S365" s="14" t="n">
        <f aca="false">MONTH(D365)</f>
        <v>2</v>
      </c>
    </row>
    <row r="366" customFormat="false" ht="15" hidden="false" customHeight="false" outlineLevel="0" collapsed="false">
      <c r="A366" s="21" t="s">
        <v>462</v>
      </c>
      <c r="B366" s="21" t="s">
        <v>49</v>
      </c>
      <c r="C366" s="21" t="s">
        <v>55</v>
      </c>
      <c r="D366" s="29" t="n">
        <v>46197</v>
      </c>
      <c r="E366" s="29" t="n">
        <v>46203</v>
      </c>
      <c r="F366" s="29" t="n">
        <v>46203</v>
      </c>
      <c r="G366" s="21" t="n">
        <v>230</v>
      </c>
      <c r="H366" s="21" t="n">
        <v>230</v>
      </c>
      <c r="I366" s="21" t="n">
        <v>298</v>
      </c>
      <c r="J366" s="30" t="n">
        <v>31674</v>
      </c>
      <c r="K366" s="21" t="n">
        <v>0</v>
      </c>
      <c r="L366" s="14" t="n">
        <f aca="false">MAX(0,F366-E366)</f>
        <v>0</v>
      </c>
      <c r="M366" s="14" t="n">
        <f aca="false">IF(L366&lt;=Assumptions!$B$5,1,0)</f>
        <v>1</v>
      </c>
      <c r="N366" s="14" t="n">
        <f aca="false">IF(H366&gt;=G366,1,0)</f>
        <v>1</v>
      </c>
      <c r="O366" s="14" t="n">
        <f aca="false">M366*N366</f>
        <v>1</v>
      </c>
      <c r="P366" s="15" t="n">
        <f aca="false">L366*Assumptions!$B$6</f>
        <v>0</v>
      </c>
      <c r="Q366" s="31" t="n">
        <f aca="false">IF(I366=0,0,J366/I366)</f>
        <v>106.288590604027</v>
      </c>
      <c r="R366" s="18" t="n">
        <f aca="false">IF(H366=0,0,K366/H366)</f>
        <v>0</v>
      </c>
      <c r="S366" s="14" t="n">
        <f aca="false">MONTH(D366)</f>
        <v>6</v>
      </c>
    </row>
    <row r="367" customFormat="false" ht="15" hidden="false" customHeight="false" outlineLevel="0" collapsed="false">
      <c r="A367" s="21" t="s">
        <v>463</v>
      </c>
      <c r="B367" s="21" t="s">
        <v>49</v>
      </c>
      <c r="C367" s="21" t="s">
        <v>53</v>
      </c>
      <c r="D367" s="29" t="n">
        <v>46066</v>
      </c>
      <c r="E367" s="29" t="n">
        <v>46070</v>
      </c>
      <c r="F367" s="29" t="n">
        <v>46069</v>
      </c>
      <c r="G367" s="21" t="n">
        <v>820</v>
      </c>
      <c r="H367" s="21" t="n">
        <v>820</v>
      </c>
      <c r="I367" s="21" t="n">
        <v>49</v>
      </c>
      <c r="J367" s="30" t="n">
        <v>6410</v>
      </c>
      <c r="K367" s="21" t="n">
        <v>3</v>
      </c>
      <c r="L367" s="14" t="n">
        <f aca="false">MAX(0,F367-E367)</f>
        <v>0</v>
      </c>
      <c r="M367" s="14" t="n">
        <f aca="false">IF(L367&lt;=Assumptions!$B$5,1,0)</f>
        <v>1</v>
      </c>
      <c r="N367" s="14" t="n">
        <f aca="false">IF(H367&gt;=G367,1,0)</f>
        <v>1</v>
      </c>
      <c r="O367" s="14" t="n">
        <f aca="false">M367*N367</f>
        <v>1</v>
      </c>
      <c r="P367" s="15" t="n">
        <f aca="false">L367*Assumptions!$B$6</f>
        <v>0</v>
      </c>
      <c r="Q367" s="31" t="n">
        <f aca="false">IF(I367=0,0,J367/I367)</f>
        <v>130.816326530612</v>
      </c>
      <c r="R367" s="18" t="n">
        <f aca="false">IF(H367=0,0,K367/H367)</f>
        <v>0.00365853658536585</v>
      </c>
      <c r="S367" s="14" t="n">
        <f aca="false">MONTH(D367)</f>
        <v>2</v>
      </c>
    </row>
    <row r="368" customFormat="false" ht="15" hidden="false" customHeight="false" outlineLevel="0" collapsed="false">
      <c r="A368" s="21" t="s">
        <v>464</v>
      </c>
      <c r="B368" s="21" t="s">
        <v>46</v>
      </c>
      <c r="C368" s="21" t="s">
        <v>53</v>
      </c>
      <c r="D368" s="29" t="n">
        <v>46078</v>
      </c>
      <c r="E368" s="29" t="n">
        <v>46086</v>
      </c>
      <c r="F368" s="29" t="n">
        <v>46085</v>
      </c>
      <c r="G368" s="21" t="n">
        <v>890</v>
      </c>
      <c r="H368" s="21" t="n">
        <v>890</v>
      </c>
      <c r="I368" s="21" t="n">
        <v>21</v>
      </c>
      <c r="J368" s="30" t="n">
        <v>5934</v>
      </c>
      <c r="K368" s="21" t="n">
        <v>24</v>
      </c>
      <c r="L368" s="14" t="n">
        <f aca="false">MAX(0,F368-E368)</f>
        <v>0</v>
      </c>
      <c r="M368" s="14" t="n">
        <f aca="false">IF(L368&lt;=Assumptions!$B$5,1,0)</f>
        <v>1</v>
      </c>
      <c r="N368" s="14" t="n">
        <f aca="false">IF(H368&gt;=G368,1,0)</f>
        <v>1</v>
      </c>
      <c r="O368" s="14" t="n">
        <f aca="false">M368*N368</f>
        <v>1</v>
      </c>
      <c r="P368" s="15" t="n">
        <f aca="false">L368*Assumptions!$B$6</f>
        <v>0</v>
      </c>
      <c r="Q368" s="31" t="n">
        <f aca="false">IF(I368=0,0,J368/I368)</f>
        <v>282.571428571429</v>
      </c>
      <c r="R368" s="18" t="n">
        <f aca="false">IF(H368=0,0,K368/H368)</f>
        <v>0.0269662921348315</v>
      </c>
      <c r="S368" s="14" t="n">
        <f aca="false">MONTH(D368)</f>
        <v>2</v>
      </c>
    </row>
    <row r="369" customFormat="false" ht="15" hidden="false" customHeight="false" outlineLevel="0" collapsed="false">
      <c r="A369" s="21" t="s">
        <v>465</v>
      </c>
      <c r="B369" s="21" t="s">
        <v>50</v>
      </c>
      <c r="C369" s="21" t="s">
        <v>55</v>
      </c>
      <c r="D369" s="29" t="n">
        <v>46073</v>
      </c>
      <c r="E369" s="29" t="n">
        <v>46081</v>
      </c>
      <c r="F369" s="29" t="n">
        <v>46080</v>
      </c>
      <c r="G369" s="21" t="n">
        <v>470</v>
      </c>
      <c r="H369" s="21" t="n">
        <v>470</v>
      </c>
      <c r="I369" s="21" t="n">
        <v>328</v>
      </c>
      <c r="J369" s="30" t="n">
        <v>22492</v>
      </c>
      <c r="K369" s="21" t="n">
        <v>12</v>
      </c>
      <c r="L369" s="14" t="n">
        <f aca="false">MAX(0,F369-E369)</f>
        <v>0</v>
      </c>
      <c r="M369" s="14" t="n">
        <f aca="false">IF(L369&lt;=Assumptions!$B$5,1,0)</f>
        <v>1</v>
      </c>
      <c r="N369" s="14" t="n">
        <f aca="false">IF(H369&gt;=G369,1,0)</f>
        <v>1</v>
      </c>
      <c r="O369" s="14" t="n">
        <f aca="false">M369*N369</f>
        <v>1</v>
      </c>
      <c r="P369" s="15" t="n">
        <f aca="false">L369*Assumptions!$B$6</f>
        <v>0</v>
      </c>
      <c r="Q369" s="31" t="n">
        <f aca="false">IF(I369=0,0,J369/I369)</f>
        <v>68.5731707317073</v>
      </c>
      <c r="R369" s="18" t="n">
        <f aca="false">IF(H369=0,0,K369/H369)</f>
        <v>0.025531914893617</v>
      </c>
      <c r="S369" s="14" t="n">
        <f aca="false">MONTH(D369)</f>
        <v>2</v>
      </c>
    </row>
    <row r="370" customFormat="false" ht="15" hidden="false" customHeight="false" outlineLevel="0" collapsed="false">
      <c r="A370" s="21" t="s">
        <v>466</v>
      </c>
      <c r="B370" s="21" t="s">
        <v>49</v>
      </c>
      <c r="C370" s="21" t="s">
        <v>57</v>
      </c>
      <c r="D370" s="29" t="n">
        <v>46054</v>
      </c>
      <c r="E370" s="29" t="n">
        <v>46060</v>
      </c>
      <c r="F370" s="29" t="n">
        <v>46060</v>
      </c>
      <c r="G370" s="21" t="n">
        <v>240</v>
      </c>
      <c r="H370" s="21" t="n">
        <v>240</v>
      </c>
      <c r="I370" s="21" t="n">
        <v>279</v>
      </c>
      <c r="J370" s="30" t="n">
        <v>30526</v>
      </c>
      <c r="K370" s="21" t="n">
        <v>2</v>
      </c>
      <c r="L370" s="14" t="n">
        <f aca="false">MAX(0,F370-E370)</f>
        <v>0</v>
      </c>
      <c r="M370" s="14" t="n">
        <f aca="false">IF(L370&lt;=Assumptions!$B$5,1,0)</f>
        <v>1</v>
      </c>
      <c r="N370" s="14" t="n">
        <f aca="false">IF(H370&gt;=G370,1,0)</f>
        <v>1</v>
      </c>
      <c r="O370" s="14" t="n">
        <f aca="false">M370*N370</f>
        <v>1</v>
      </c>
      <c r="P370" s="15" t="n">
        <f aca="false">L370*Assumptions!$B$6</f>
        <v>0</v>
      </c>
      <c r="Q370" s="31" t="n">
        <f aca="false">IF(I370=0,0,J370/I370)</f>
        <v>109.412186379928</v>
      </c>
      <c r="R370" s="18" t="n">
        <f aca="false">IF(H370=0,0,K370/H370)</f>
        <v>0.00833333333333333</v>
      </c>
      <c r="S370" s="14" t="n">
        <f aca="false">MONTH(D370)</f>
        <v>2</v>
      </c>
    </row>
    <row r="371" customFormat="false" ht="15" hidden="false" customHeight="false" outlineLevel="0" collapsed="false">
      <c r="A371" s="21" t="s">
        <v>467</v>
      </c>
      <c r="B371" s="21" t="s">
        <v>47</v>
      </c>
      <c r="C371" s="21" t="s">
        <v>53</v>
      </c>
      <c r="D371" s="29" t="n">
        <v>46040</v>
      </c>
      <c r="E371" s="29" t="n">
        <v>46048</v>
      </c>
      <c r="F371" s="29" t="n">
        <v>46047</v>
      </c>
      <c r="G371" s="21" t="n">
        <v>490</v>
      </c>
      <c r="H371" s="21" t="n">
        <v>424</v>
      </c>
      <c r="I371" s="21" t="n">
        <v>55</v>
      </c>
      <c r="J371" s="30" t="n">
        <v>7494</v>
      </c>
      <c r="K371" s="21" t="n">
        <v>12</v>
      </c>
      <c r="L371" s="14" t="n">
        <f aca="false">MAX(0,F371-E371)</f>
        <v>0</v>
      </c>
      <c r="M371" s="14" t="n">
        <f aca="false">IF(L371&lt;=Assumptions!$B$5,1,0)</f>
        <v>1</v>
      </c>
      <c r="N371" s="14" t="n">
        <f aca="false">IF(H371&gt;=G371,1,0)</f>
        <v>0</v>
      </c>
      <c r="O371" s="14" t="n">
        <f aca="false">M371*N371</f>
        <v>0</v>
      </c>
      <c r="P371" s="15" t="n">
        <f aca="false">L371*Assumptions!$B$6</f>
        <v>0</v>
      </c>
      <c r="Q371" s="31" t="n">
        <f aca="false">IF(I371=0,0,J371/I371)</f>
        <v>136.254545454545</v>
      </c>
      <c r="R371" s="18" t="n">
        <f aca="false">IF(H371=0,0,K371/H371)</f>
        <v>0.0283018867924528</v>
      </c>
      <c r="S371" s="14" t="n">
        <f aca="false">MONTH(D371)</f>
        <v>1</v>
      </c>
    </row>
    <row r="372" customFormat="false" ht="15" hidden="false" customHeight="false" outlineLevel="0" collapsed="false">
      <c r="A372" s="21" t="s">
        <v>468</v>
      </c>
      <c r="B372" s="21" t="s">
        <v>47</v>
      </c>
      <c r="C372" s="21" t="s">
        <v>53</v>
      </c>
      <c r="D372" s="29" t="n">
        <v>46147</v>
      </c>
      <c r="E372" s="29" t="n">
        <v>46156</v>
      </c>
      <c r="F372" s="29" t="n">
        <v>46156</v>
      </c>
      <c r="G372" s="21" t="n">
        <v>750</v>
      </c>
      <c r="H372" s="21" t="n">
        <v>750</v>
      </c>
      <c r="I372" s="21" t="n">
        <v>46</v>
      </c>
      <c r="J372" s="30" t="n">
        <v>6969</v>
      </c>
      <c r="K372" s="21" t="n">
        <v>35</v>
      </c>
      <c r="L372" s="14" t="n">
        <f aca="false">MAX(0,F372-E372)</f>
        <v>0</v>
      </c>
      <c r="M372" s="14" t="n">
        <f aca="false">IF(L372&lt;=Assumptions!$B$5,1,0)</f>
        <v>1</v>
      </c>
      <c r="N372" s="14" t="n">
        <f aca="false">IF(H372&gt;=G372,1,0)</f>
        <v>1</v>
      </c>
      <c r="O372" s="14" t="n">
        <f aca="false">M372*N372</f>
        <v>1</v>
      </c>
      <c r="P372" s="15" t="n">
        <f aca="false">L372*Assumptions!$B$6</f>
        <v>0</v>
      </c>
      <c r="Q372" s="31" t="n">
        <f aca="false">IF(I372=0,0,J372/I372)</f>
        <v>151.5</v>
      </c>
      <c r="R372" s="18" t="n">
        <f aca="false">IF(H372=0,0,K372/H372)</f>
        <v>0.0466666666666667</v>
      </c>
      <c r="S372" s="14" t="n">
        <f aca="false">MONTH(D372)</f>
        <v>5</v>
      </c>
    </row>
    <row r="373" customFormat="false" ht="15" hidden="false" customHeight="false" outlineLevel="0" collapsed="false">
      <c r="A373" s="21" t="s">
        <v>469</v>
      </c>
      <c r="B373" s="21" t="s">
        <v>45</v>
      </c>
      <c r="C373" s="21" t="s">
        <v>57</v>
      </c>
      <c r="D373" s="29" t="n">
        <v>46103</v>
      </c>
      <c r="E373" s="29" t="n">
        <v>46106</v>
      </c>
      <c r="F373" s="29" t="n">
        <v>46106</v>
      </c>
      <c r="G373" s="21" t="n">
        <v>180</v>
      </c>
      <c r="H373" s="21" t="n">
        <v>180</v>
      </c>
      <c r="I373" s="21" t="n">
        <v>281</v>
      </c>
      <c r="J373" s="30" t="n">
        <v>23797</v>
      </c>
      <c r="K373" s="21" t="n">
        <v>2</v>
      </c>
      <c r="L373" s="14" t="n">
        <f aca="false">MAX(0,F373-E373)</f>
        <v>0</v>
      </c>
      <c r="M373" s="14" t="n">
        <f aca="false">IF(L373&lt;=Assumptions!$B$5,1,0)</f>
        <v>1</v>
      </c>
      <c r="N373" s="14" t="n">
        <f aca="false">IF(H373&gt;=G373,1,0)</f>
        <v>1</v>
      </c>
      <c r="O373" s="14" t="n">
        <f aca="false">M373*N373</f>
        <v>1</v>
      </c>
      <c r="P373" s="15" t="n">
        <f aca="false">L373*Assumptions!$B$6</f>
        <v>0</v>
      </c>
      <c r="Q373" s="31" t="n">
        <f aca="false">IF(I373=0,0,J373/I373)</f>
        <v>84.6868327402135</v>
      </c>
      <c r="R373" s="18" t="n">
        <f aca="false">IF(H373=0,0,K373/H373)</f>
        <v>0.0111111111111111</v>
      </c>
      <c r="S373" s="14" t="n">
        <f aca="false">MONTH(D373)</f>
        <v>3</v>
      </c>
    </row>
    <row r="374" customFormat="false" ht="15" hidden="false" customHeight="false" outlineLevel="0" collapsed="false">
      <c r="A374" s="21" t="s">
        <v>470</v>
      </c>
      <c r="B374" s="21" t="s">
        <v>50</v>
      </c>
      <c r="C374" s="21" t="s">
        <v>53</v>
      </c>
      <c r="D374" s="29" t="n">
        <v>46217</v>
      </c>
      <c r="E374" s="29" t="n">
        <v>46223</v>
      </c>
      <c r="F374" s="29" t="n">
        <v>46223</v>
      </c>
      <c r="G374" s="21" t="n">
        <v>910</v>
      </c>
      <c r="H374" s="21" t="n">
        <v>910</v>
      </c>
      <c r="I374" s="21" t="n">
        <v>30</v>
      </c>
      <c r="J374" s="30" t="n">
        <v>6430</v>
      </c>
      <c r="K374" s="21" t="n">
        <v>8</v>
      </c>
      <c r="L374" s="14" t="n">
        <f aca="false">MAX(0,F374-E374)</f>
        <v>0</v>
      </c>
      <c r="M374" s="14" t="n">
        <f aca="false">IF(L374&lt;=Assumptions!$B$5,1,0)</f>
        <v>1</v>
      </c>
      <c r="N374" s="14" t="n">
        <f aca="false">IF(H374&gt;=G374,1,0)</f>
        <v>1</v>
      </c>
      <c r="O374" s="14" t="n">
        <f aca="false">M374*N374</f>
        <v>1</v>
      </c>
      <c r="P374" s="15" t="n">
        <f aca="false">L374*Assumptions!$B$6</f>
        <v>0</v>
      </c>
      <c r="Q374" s="31" t="n">
        <f aca="false">IF(I374=0,0,J374/I374)</f>
        <v>214.333333333333</v>
      </c>
      <c r="R374" s="18" t="n">
        <f aca="false">IF(H374=0,0,K374/H374)</f>
        <v>0.00879120879120879</v>
      </c>
      <c r="S374" s="14" t="n">
        <f aca="false">MONTH(D374)</f>
        <v>7</v>
      </c>
    </row>
    <row r="375" customFormat="false" ht="15" hidden="false" customHeight="false" outlineLevel="0" collapsed="false">
      <c r="A375" s="21" t="s">
        <v>471</v>
      </c>
      <c r="B375" s="21" t="s">
        <v>50</v>
      </c>
      <c r="C375" s="21" t="s">
        <v>53</v>
      </c>
      <c r="D375" s="29" t="n">
        <v>46202</v>
      </c>
      <c r="E375" s="29" t="n">
        <v>46207</v>
      </c>
      <c r="F375" s="29" t="n">
        <v>46207</v>
      </c>
      <c r="G375" s="21" t="n">
        <v>390</v>
      </c>
      <c r="H375" s="21" t="n">
        <v>390</v>
      </c>
      <c r="I375" s="21" t="n">
        <v>22</v>
      </c>
      <c r="J375" s="30" t="n">
        <v>3497</v>
      </c>
      <c r="K375" s="21" t="n">
        <v>4</v>
      </c>
      <c r="L375" s="14" t="n">
        <f aca="false">MAX(0,F375-E375)</f>
        <v>0</v>
      </c>
      <c r="M375" s="14" t="n">
        <f aca="false">IF(L375&lt;=Assumptions!$B$5,1,0)</f>
        <v>1</v>
      </c>
      <c r="N375" s="14" t="n">
        <f aca="false">IF(H375&gt;=G375,1,0)</f>
        <v>1</v>
      </c>
      <c r="O375" s="14" t="n">
        <f aca="false">M375*N375</f>
        <v>1</v>
      </c>
      <c r="P375" s="15" t="n">
        <f aca="false">L375*Assumptions!$B$6</f>
        <v>0</v>
      </c>
      <c r="Q375" s="31" t="n">
        <f aca="false">IF(I375=0,0,J375/I375)</f>
        <v>158.954545454545</v>
      </c>
      <c r="R375" s="18" t="n">
        <f aca="false">IF(H375=0,0,K375/H375)</f>
        <v>0.0102564102564103</v>
      </c>
      <c r="S375" s="14" t="n">
        <f aca="false">MONTH(D375)</f>
        <v>6</v>
      </c>
    </row>
    <row r="376" customFormat="false" ht="15" hidden="false" customHeight="false" outlineLevel="0" collapsed="false">
      <c r="A376" s="21" t="s">
        <v>472</v>
      </c>
      <c r="B376" s="21" t="s">
        <v>49</v>
      </c>
      <c r="C376" s="21" t="s">
        <v>58</v>
      </c>
      <c r="D376" s="29" t="n">
        <v>46181</v>
      </c>
      <c r="E376" s="29" t="n">
        <v>46185</v>
      </c>
      <c r="F376" s="29" t="n">
        <v>46185</v>
      </c>
      <c r="G376" s="21" t="n">
        <v>970</v>
      </c>
      <c r="H376" s="21" t="n">
        <v>970</v>
      </c>
      <c r="I376" s="21" t="n">
        <v>239</v>
      </c>
      <c r="J376" s="30" t="n">
        <v>24189</v>
      </c>
      <c r="K376" s="21" t="n">
        <v>10</v>
      </c>
      <c r="L376" s="14" t="n">
        <f aca="false">MAX(0,F376-E376)</f>
        <v>0</v>
      </c>
      <c r="M376" s="14" t="n">
        <f aca="false">IF(L376&lt;=Assumptions!$B$5,1,0)</f>
        <v>1</v>
      </c>
      <c r="N376" s="14" t="n">
        <f aca="false">IF(H376&gt;=G376,1,0)</f>
        <v>1</v>
      </c>
      <c r="O376" s="14" t="n">
        <f aca="false">M376*N376</f>
        <v>1</v>
      </c>
      <c r="P376" s="15" t="n">
        <f aca="false">L376*Assumptions!$B$6</f>
        <v>0</v>
      </c>
      <c r="Q376" s="31" t="n">
        <f aca="false">IF(I376=0,0,J376/I376)</f>
        <v>101.209205020921</v>
      </c>
      <c r="R376" s="18" t="n">
        <f aca="false">IF(H376=0,0,K376/H376)</f>
        <v>0.0103092783505155</v>
      </c>
      <c r="S376" s="14" t="n">
        <f aca="false">MONTH(D376)</f>
        <v>6</v>
      </c>
    </row>
    <row r="377" customFormat="false" ht="15" hidden="false" customHeight="false" outlineLevel="0" collapsed="false">
      <c r="A377" s="21" t="s">
        <v>473</v>
      </c>
      <c r="B377" s="21" t="s">
        <v>47</v>
      </c>
      <c r="C377" s="21" t="s">
        <v>55</v>
      </c>
      <c r="D377" s="29" t="n">
        <v>46032</v>
      </c>
      <c r="E377" s="29" t="n">
        <v>46039</v>
      </c>
      <c r="F377" s="29" t="n">
        <v>46039</v>
      </c>
      <c r="G377" s="21" t="n">
        <v>780</v>
      </c>
      <c r="H377" s="21" t="n">
        <v>780</v>
      </c>
      <c r="I377" s="21" t="n">
        <v>296</v>
      </c>
      <c r="J377" s="30" t="n">
        <v>32930</v>
      </c>
      <c r="K377" s="21" t="n">
        <v>3</v>
      </c>
      <c r="L377" s="14" t="n">
        <f aca="false">MAX(0,F377-E377)</f>
        <v>0</v>
      </c>
      <c r="M377" s="14" t="n">
        <f aca="false">IF(L377&lt;=Assumptions!$B$5,1,0)</f>
        <v>1</v>
      </c>
      <c r="N377" s="14" t="n">
        <f aca="false">IF(H377&gt;=G377,1,0)</f>
        <v>1</v>
      </c>
      <c r="O377" s="14" t="n">
        <f aca="false">M377*N377</f>
        <v>1</v>
      </c>
      <c r="P377" s="15" t="n">
        <f aca="false">L377*Assumptions!$B$6</f>
        <v>0</v>
      </c>
      <c r="Q377" s="31" t="n">
        <f aca="false">IF(I377=0,0,J377/I377)</f>
        <v>111.25</v>
      </c>
      <c r="R377" s="18" t="n">
        <f aca="false">IF(H377=0,0,K377/H377)</f>
        <v>0.00384615384615385</v>
      </c>
      <c r="S377" s="14" t="n">
        <f aca="false">MONTH(D377)</f>
        <v>1</v>
      </c>
    </row>
    <row r="378" customFormat="false" ht="15" hidden="false" customHeight="false" outlineLevel="0" collapsed="false">
      <c r="A378" s="21" t="s">
        <v>474</v>
      </c>
      <c r="B378" s="21" t="s">
        <v>47</v>
      </c>
      <c r="C378" s="21" t="s">
        <v>53</v>
      </c>
      <c r="D378" s="29" t="n">
        <v>46226</v>
      </c>
      <c r="E378" s="29" t="n">
        <v>46233</v>
      </c>
      <c r="F378" s="29" t="n">
        <v>46233</v>
      </c>
      <c r="G378" s="21" t="n">
        <v>110</v>
      </c>
      <c r="H378" s="21" t="n">
        <v>92</v>
      </c>
      <c r="I378" s="21" t="n">
        <v>31</v>
      </c>
      <c r="J378" s="30" t="n">
        <v>3273</v>
      </c>
      <c r="K378" s="21" t="n">
        <v>4</v>
      </c>
      <c r="L378" s="14" t="n">
        <f aca="false">MAX(0,F378-E378)</f>
        <v>0</v>
      </c>
      <c r="M378" s="14" t="n">
        <f aca="false">IF(L378&lt;=Assumptions!$B$5,1,0)</f>
        <v>1</v>
      </c>
      <c r="N378" s="14" t="n">
        <f aca="false">IF(H378&gt;=G378,1,0)</f>
        <v>0</v>
      </c>
      <c r="O378" s="14" t="n">
        <f aca="false">M378*N378</f>
        <v>0</v>
      </c>
      <c r="P378" s="15" t="n">
        <f aca="false">L378*Assumptions!$B$6</f>
        <v>0</v>
      </c>
      <c r="Q378" s="31" t="n">
        <f aca="false">IF(I378=0,0,J378/I378)</f>
        <v>105.58064516129</v>
      </c>
      <c r="R378" s="18" t="n">
        <f aca="false">IF(H378=0,0,K378/H378)</f>
        <v>0.0434782608695652</v>
      </c>
      <c r="S378" s="14" t="n">
        <f aca="false">MONTH(D378)</f>
        <v>7</v>
      </c>
    </row>
    <row r="379" customFormat="false" ht="15" hidden="false" customHeight="false" outlineLevel="0" collapsed="false">
      <c r="A379" s="21" t="s">
        <v>475</v>
      </c>
      <c r="B379" s="21" t="s">
        <v>48</v>
      </c>
      <c r="C379" s="21" t="s">
        <v>56</v>
      </c>
      <c r="D379" s="29" t="n">
        <v>46233</v>
      </c>
      <c r="E379" s="29" t="n">
        <v>46236</v>
      </c>
      <c r="F379" s="29" t="n">
        <v>46236</v>
      </c>
      <c r="G379" s="21" t="n">
        <v>580</v>
      </c>
      <c r="H379" s="21" t="n">
        <v>553</v>
      </c>
      <c r="I379" s="21" t="n">
        <v>195</v>
      </c>
      <c r="J379" s="30" t="n">
        <v>17867</v>
      </c>
      <c r="K379" s="21" t="n">
        <v>31</v>
      </c>
      <c r="L379" s="14" t="n">
        <f aca="false">MAX(0,F379-E379)</f>
        <v>0</v>
      </c>
      <c r="M379" s="14" t="n">
        <f aca="false">IF(L379&lt;=Assumptions!$B$5,1,0)</f>
        <v>1</v>
      </c>
      <c r="N379" s="14" t="n">
        <f aca="false">IF(H379&gt;=G379,1,0)</f>
        <v>0</v>
      </c>
      <c r="O379" s="14" t="n">
        <f aca="false">M379*N379</f>
        <v>0</v>
      </c>
      <c r="P379" s="15" t="n">
        <f aca="false">L379*Assumptions!$B$6</f>
        <v>0</v>
      </c>
      <c r="Q379" s="31" t="n">
        <f aca="false">IF(I379=0,0,J379/I379)</f>
        <v>91.625641025641</v>
      </c>
      <c r="R379" s="18" t="n">
        <f aca="false">IF(H379=0,0,K379/H379)</f>
        <v>0.0560578661844485</v>
      </c>
      <c r="S379" s="14" t="n">
        <f aca="false">MONTH(D379)</f>
        <v>7</v>
      </c>
    </row>
    <row r="380" customFormat="false" ht="15" hidden="false" customHeight="false" outlineLevel="0" collapsed="false">
      <c r="A380" s="21" t="s">
        <v>476</v>
      </c>
      <c r="B380" s="21" t="s">
        <v>47</v>
      </c>
      <c r="C380" s="21" t="s">
        <v>55</v>
      </c>
      <c r="D380" s="29" t="n">
        <v>46216</v>
      </c>
      <c r="E380" s="29" t="n">
        <v>46223</v>
      </c>
      <c r="F380" s="29" t="n">
        <v>46223</v>
      </c>
      <c r="G380" s="21" t="n">
        <v>600</v>
      </c>
      <c r="H380" s="21" t="n">
        <v>538</v>
      </c>
      <c r="I380" s="21" t="n">
        <v>290</v>
      </c>
      <c r="J380" s="30" t="n">
        <v>27996</v>
      </c>
      <c r="K380" s="21" t="n">
        <v>38</v>
      </c>
      <c r="L380" s="14" t="n">
        <f aca="false">MAX(0,F380-E380)</f>
        <v>0</v>
      </c>
      <c r="M380" s="14" t="n">
        <f aca="false">IF(L380&lt;=Assumptions!$B$5,1,0)</f>
        <v>1</v>
      </c>
      <c r="N380" s="14" t="n">
        <f aca="false">IF(H380&gt;=G380,1,0)</f>
        <v>0</v>
      </c>
      <c r="O380" s="14" t="n">
        <f aca="false">M380*N380</f>
        <v>0</v>
      </c>
      <c r="P380" s="15" t="n">
        <f aca="false">L380*Assumptions!$B$6</f>
        <v>0</v>
      </c>
      <c r="Q380" s="31" t="n">
        <f aca="false">IF(I380=0,0,J380/I380)</f>
        <v>96.5379310344828</v>
      </c>
      <c r="R380" s="18" t="n">
        <f aca="false">IF(H380=0,0,K380/H380)</f>
        <v>0.0706319702602231</v>
      </c>
      <c r="S380" s="14" t="n">
        <f aca="false">MONTH(D380)</f>
        <v>7</v>
      </c>
    </row>
    <row r="381" customFormat="false" ht="15" hidden="false" customHeight="false" outlineLevel="0" collapsed="false">
      <c r="A381" s="21" t="s">
        <v>477</v>
      </c>
      <c r="B381" s="21" t="s">
        <v>50</v>
      </c>
      <c r="C381" s="21" t="s">
        <v>55</v>
      </c>
      <c r="D381" s="29" t="n">
        <v>46193</v>
      </c>
      <c r="E381" s="29" t="n">
        <v>46198</v>
      </c>
      <c r="F381" s="29" t="n">
        <v>46197</v>
      </c>
      <c r="G381" s="21" t="n">
        <v>780</v>
      </c>
      <c r="H381" s="21" t="n">
        <v>780</v>
      </c>
      <c r="I381" s="21" t="n">
        <v>304</v>
      </c>
      <c r="J381" s="30" t="n">
        <v>31124</v>
      </c>
      <c r="K381" s="21" t="n">
        <v>9</v>
      </c>
      <c r="L381" s="14" t="n">
        <f aca="false">MAX(0,F381-E381)</f>
        <v>0</v>
      </c>
      <c r="M381" s="14" t="n">
        <f aca="false">IF(L381&lt;=Assumptions!$B$5,1,0)</f>
        <v>1</v>
      </c>
      <c r="N381" s="14" t="n">
        <f aca="false">IF(H381&gt;=G381,1,0)</f>
        <v>1</v>
      </c>
      <c r="O381" s="14" t="n">
        <f aca="false">M381*N381</f>
        <v>1</v>
      </c>
      <c r="P381" s="15" t="n">
        <f aca="false">L381*Assumptions!$B$6</f>
        <v>0</v>
      </c>
      <c r="Q381" s="31" t="n">
        <f aca="false">IF(I381=0,0,J381/I381)</f>
        <v>102.381578947368</v>
      </c>
      <c r="R381" s="18" t="n">
        <f aca="false">IF(H381=0,0,K381/H381)</f>
        <v>0.0115384615384615</v>
      </c>
      <c r="S381" s="14" t="n">
        <f aca="false">MONTH(D381)</f>
        <v>6</v>
      </c>
    </row>
    <row r="382" customFormat="false" ht="15" hidden="false" customHeight="false" outlineLevel="0" collapsed="false">
      <c r="A382" s="21" t="s">
        <v>478</v>
      </c>
      <c r="B382" s="21" t="s">
        <v>47</v>
      </c>
      <c r="C382" s="21" t="s">
        <v>55</v>
      </c>
      <c r="D382" s="29" t="n">
        <v>46272</v>
      </c>
      <c r="E382" s="29" t="n">
        <v>46277</v>
      </c>
      <c r="F382" s="29" t="n">
        <v>46276</v>
      </c>
      <c r="G382" s="21" t="n">
        <v>580</v>
      </c>
      <c r="H382" s="21" t="n">
        <v>580</v>
      </c>
      <c r="I382" s="21" t="n">
        <v>327</v>
      </c>
      <c r="J382" s="30" t="n">
        <v>28358</v>
      </c>
      <c r="K382" s="21" t="n">
        <v>3</v>
      </c>
      <c r="L382" s="14" t="n">
        <f aca="false">MAX(0,F382-E382)</f>
        <v>0</v>
      </c>
      <c r="M382" s="14" t="n">
        <f aca="false">IF(L382&lt;=Assumptions!$B$5,1,0)</f>
        <v>1</v>
      </c>
      <c r="N382" s="14" t="n">
        <f aca="false">IF(H382&gt;=G382,1,0)</f>
        <v>1</v>
      </c>
      <c r="O382" s="14" t="n">
        <f aca="false">M382*N382</f>
        <v>1</v>
      </c>
      <c r="P382" s="15" t="n">
        <f aca="false">L382*Assumptions!$B$6</f>
        <v>0</v>
      </c>
      <c r="Q382" s="31" t="n">
        <f aca="false">IF(I382=0,0,J382/I382)</f>
        <v>86.7217125382263</v>
      </c>
      <c r="R382" s="18" t="n">
        <f aca="false">IF(H382=0,0,K382/H382)</f>
        <v>0.00517241379310345</v>
      </c>
      <c r="S382" s="14" t="n">
        <f aca="false">MONTH(D382)</f>
        <v>9</v>
      </c>
    </row>
    <row r="383" customFormat="false" ht="15" hidden="false" customHeight="false" outlineLevel="0" collapsed="false">
      <c r="A383" s="21" t="s">
        <v>479</v>
      </c>
      <c r="B383" s="21" t="s">
        <v>45</v>
      </c>
      <c r="C383" s="21" t="s">
        <v>53</v>
      </c>
      <c r="D383" s="29" t="n">
        <v>46148</v>
      </c>
      <c r="E383" s="29" t="n">
        <v>46156</v>
      </c>
      <c r="F383" s="29" t="n">
        <v>46156</v>
      </c>
      <c r="G383" s="21" t="n">
        <v>760</v>
      </c>
      <c r="H383" s="21" t="n">
        <v>760</v>
      </c>
      <c r="I383" s="21" t="n">
        <v>32</v>
      </c>
      <c r="J383" s="30" t="n">
        <v>6621</v>
      </c>
      <c r="K383" s="21" t="n">
        <v>14</v>
      </c>
      <c r="L383" s="14" t="n">
        <f aca="false">MAX(0,F383-E383)</f>
        <v>0</v>
      </c>
      <c r="M383" s="14" t="n">
        <f aca="false">IF(L383&lt;=Assumptions!$B$5,1,0)</f>
        <v>1</v>
      </c>
      <c r="N383" s="14" t="n">
        <f aca="false">IF(H383&gt;=G383,1,0)</f>
        <v>1</v>
      </c>
      <c r="O383" s="14" t="n">
        <f aca="false">M383*N383</f>
        <v>1</v>
      </c>
      <c r="P383" s="15" t="n">
        <f aca="false">L383*Assumptions!$B$6</f>
        <v>0</v>
      </c>
      <c r="Q383" s="31" t="n">
        <f aca="false">IF(I383=0,0,J383/I383)</f>
        <v>206.90625</v>
      </c>
      <c r="R383" s="18" t="n">
        <f aca="false">IF(H383=0,0,K383/H383)</f>
        <v>0.0184210526315789</v>
      </c>
      <c r="S383" s="14" t="n">
        <f aca="false">MONTH(D383)</f>
        <v>5</v>
      </c>
    </row>
    <row r="384" customFormat="false" ht="15" hidden="false" customHeight="false" outlineLevel="0" collapsed="false">
      <c r="A384" s="21" t="s">
        <v>480</v>
      </c>
      <c r="B384" s="21" t="s">
        <v>49</v>
      </c>
      <c r="C384" s="21" t="s">
        <v>57</v>
      </c>
      <c r="D384" s="29" t="n">
        <v>46184</v>
      </c>
      <c r="E384" s="29" t="n">
        <v>46194</v>
      </c>
      <c r="F384" s="29" t="n">
        <v>46193</v>
      </c>
      <c r="G384" s="21" t="n">
        <v>580</v>
      </c>
      <c r="H384" s="21" t="n">
        <v>580</v>
      </c>
      <c r="I384" s="21" t="n">
        <v>303</v>
      </c>
      <c r="J384" s="30" t="n">
        <v>33679</v>
      </c>
      <c r="K384" s="21" t="n">
        <v>7</v>
      </c>
      <c r="L384" s="14" t="n">
        <f aca="false">MAX(0,F384-E384)</f>
        <v>0</v>
      </c>
      <c r="M384" s="14" t="n">
        <f aca="false">IF(L384&lt;=Assumptions!$B$5,1,0)</f>
        <v>1</v>
      </c>
      <c r="N384" s="14" t="n">
        <f aca="false">IF(H384&gt;=G384,1,0)</f>
        <v>1</v>
      </c>
      <c r="O384" s="14" t="n">
        <f aca="false">M384*N384</f>
        <v>1</v>
      </c>
      <c r="P384" s="15" t="n">
        <f aca="false">L384*Assumptions!$B$6</f>
        <v>0</v>
      </c>
      <c r="Q384" s="31" t="n">
        <f aca="false">IF(I384=0,0,J384/I384)</f>
        <v>111.151815181518</v>
      </c>
      <c r="R384" s="18" t="n">
        <f aca="false">IF(H384=0,0,K384/H384)</f>
        <v>0.0120689655172414</v>
      </c>
      <c r="S384" s="14" t="n">
        <f aca="false">MONTH(D384)</f>
        <v>6</v>
      </c>
    </row>
    <row r="385" customFormat="false" ht="15" hidden="false" customHeight="false" outlineLevel="0" collapsed="false">
      <c r="A385" s="21" t="s">
        <v>481</v>
      </c>
      <c r="B385" s="21" t="s">
        <v>49</v>
      </c>
      <c r="C385" s="21" t="s">
        <v>53</v>
      </c>
      <c r="D385" s="29" t="n">
        <v>46122</v>
      </c>
      <c r="E385" s="29" t="n">
        <v>46125</v>
      </c>
      <c r="F385" s="29" t="n">
        <v>46125</v>
      </c>
      <c r="G385" s="21" t="n">
        <v>90</v>
      </c>
      <c r="H385" s="21" t="n">
        <v>90</v>
      </c>
      <c r="I385" s="21" t="n">
        <v>34</v>
      </c>
      <c r="J385" s="30" t="n">
        <v>3347</v>
      </c>
      <c r="K385" s="21" t="n">
        <v>1</v>
      </c>
      <c r="L385" s="14" t="n">
        <f aca="false">MAX(0,F385-E385)</f>
        <v>0</v>
      </c>
      <c r="M385" s="14" t="n">
        <f aca="false">IF(L385&lt;=Assumptions!$B$5,1,0)</f>
        <v>1</v>
      </c>
      <c r="N385" s="14" t="n">
        <f aca="false">IF(H385&gt;=G385,1,0)</f>
        <v>1</v>
      </c>
      <c r="O385" s="14" t="n">
        <f aca="false">M385*N385</f>
        <v>1</v>
      </c>
      <c r="P385" s="15" t="n">
        <f aca="false">L385*Assumptions!$B$6</f>
        <v>0</v>
      </c>
      <c r="Q385" s="31" t="n">
        <f aca="false">IF(I385=0,0,J385/I385)</f>
        <v>98.4411764705882</v>
      </c>
      <c r="R385" s="18" t="n">
        <f aca="false">IF(H385=0,0,K385/H385)</f>
        <v>0.0111111111111111</v>
      </c>
      <c r="S385" s="14" t="n">
        <f aca="false">MONTH(D385)</f>
        <v>4</v>
      </c>
    </row>
    <row r="386" customFormat="false" ht="15" hidden="false" customHeight="false" outlineLevel="0" collapsed="false">
      <c r="A386" s="21" t="s">
        <v>482</v>
      </c>
      <c r="B386" s="21" t="s">
        <v>47</v>
      </c>
      <c r="C386" s="21" t="s">
        <v>56</v>
      </c>
      <c r="D386" s="29" t="n">
        <v>46040</v>
      </c>
      <c r="E386" s="29" t="n">
        <v>46046</v>
      </c>
      <c r="F386" s="29" t="n">
        <v>46046</v>
      </c>
      <c r="G386" s="21" t="n">
        <v>400</v>
      </c>
      <c r="H386" s="21" t="n">
        <v>400</v>
      </c>
      <c r="I386" s="21" t="n">
        <v>172</v>
      </c>
      <c r="J386" s="30" t="n">
        <v>15191</v>
      </c>
      <c r="K386" s="21" t="n">
        <v>21</v>
      </c>
      <c r="L386" s="14" t="n">
        <f aca="false">MAX(0,F386-E386)</f>
        <v>0</v>
      </c>
      <c r="M386" s="14" t="n">
        <f aca="false">IF(L386&lt;=Assumptions!$B$5,1,0)</f>
        <v>1</v>
      </c>
      <c r="N386" s="14" t="n">
        <f aca="false">IF(H386&gt;=G386,1,0)</f>
        <v>1</v>
      </c>
      <c r="O386" s="14" t="n">
        <f aca="false">M386*N386</f>
        <v>1</v>
      </c>
      <c r="P386" s="15" t="n">
        <f aca="false">L386*Assumptions!$B$6</f>
        <v>0</v>
      </c>
      <c r="Q386" s="31" t="n">
        <f aca="false">IF(I386=0,0,J386/I386)</f>
        <v>88.3197674418605</v>
      </c>
      <c r="R386" s="18" t="n">
        <f aca="false">IF(H386=0,0,K386/H386)</f>
        <v>0.0525</v>
      </c>
      <c r="S386" s="14" t="n">
        <f aca="false">MONTH(D386)</f>
        <v>1</v>
      </c>
    </row>
    <row r="387" customFormat="false" ht="15" hidden="false" customHeight="false" outlineLevel="0" collapsed="false">
      <c r="A387" s="21" t="s">
        <v>483</v>
      </c>
      <c r="B387" s="21" t="s">
        <v>48</v>
      </c>
      <c r="C387" s="21" t="s">
        <v>53</v>
      </c>
      <c r="D387" s="29" t="n">
        <v>46234</v>
      </c>
      <c r="E387" s="29" t="n">
        <v>46237</v>
      </c>
      <c r="F387" s="29" t="n">
        <v>46238</v>
      </c>
      <c r="G387" s="21" t="n">
        <v>480</v>
      </c>
      <c r="H387" s="21" t="n">
        <v>480</v>
      </c>
      <c r="I387" s="21" t="n">
        <v>50</v>
      </c>
      <c r="J387" s="30" t="n">
        <v>6733</v>
      </c>
      <c r="K387" s="21" t="n">
        <v>23</v>
      </c>
      <c r="L387" s="14" t="n">
        <f aca="false">MAX(0,F387-E387)</f>
        <v>1</v>
      </c>
      <c r="M387" s="14" t="n">
        <f aca="false">IF(L387&lt;=Assumptions!$B$5,1,0)</f>
        <v>0</v>
      </c>
      <c r="N387" s="14" t="n">
        <f aca="false">IF(H387&gt;=G387,1,0)</f>
        <v>1</v>
      </c>
      <c r="O387" s="14" t="n">
        <f aca="false">M387*N387</f>
        <v>0</v>
      </c>
      <c r="P387" s="15" t="n">
        <f aca="false">L387*Assumptions!$B$6</f>
        <v>1500</v>
      </c>
      <c r="Q387" s="31" t="n">
        <f aca="false">IF(I387=0,0,J387/I387)</f>
        <v>134.66</v>
      </c>
      <c r="R387" s="18" t="n">
        <f aca="false">IF(H387=0,0,K387/H387)</f>
        <v>0.0479166666666667</v>
      </c>
      <c r="S387" s="14" t="n">
        <f aca="false">MONTH(D387)</f>
        <v>7</v>
      </c>
    </row>
    <row r="388" customFormat="false" ht="15" hidden="false" customHeight="false" outlineLevel="0" collapsed="false">
      <c r="A388" s="21" t="s">
        <v>484</v>
      </c>
      <c r="B388" s="21" t="s">
        <v>48</v>
      </c>
      <c r="C388" s="21" t="s">
        <v>55</v>
      </c>
      <c r="D388" s="29" t="n">
        <v>46237</v>
      </c>
      <c r="E388" s="29" t="n">
        <v>46244</v>
      </c>
      <c r="F388" s="29" t="n">
        <v>46245</v>
      </c>
      <c r="G388" s="21" t="n">
        <v>830</v>
      </c>
      <c r="H388" s="21" t="n">
        <v>830</v>
      </c>
      <c r="I388" s="21" t="n">
        <v>300</v>
      </c>
      <c r="J388" s="30" t="n">
        <v>33910</v>
      </c>
      <c r="K388" s="21" t="n">
        <v>43</v>
      </c>
      <c r="L388" s="14" t="n">
        <f aca="false">MAX(0,F388-E388)</f>
        <v>1</v>
      </c>
      <c r="M388" s="14" t="n">
        <f aca="false">IF(L388&lt;=Assumptions!$B$5,1,0)</f>
        <v>0</v>
      </c>
      <c r="N388" s="14" t="n">
        <f aca="false">IF(H388&gt;=G388,1,0)</f>
        <v>1</v>
      </c>
      <c r="O388" s="14" t="n">
        <f aca="false">M388*N388</f>
        <v>0</v>
      </c>
      <c r="P388" s="15" t="n">
        <f aca="false">L388*Assumptions!$B$6</f>
        <v>1500</v>
      </c>
      <c r="Q388" s="31" t="n">
        <f aca="false">IF(I388=0,0,J388/I388)</f>
        <v>113.033333333333</v>
      </c>
      <c r="R388" s="18" t="n">
        <f aca="false">IF(H388=0,0,K388/H388)</f>
        <v>0.0518072289156627</v>
      </c>
      <c r="S388" s="14" t="n">
        <f aca="false">MONTH(D388)</f>
        <v>8</v>
      </c>
    </row>
    <row r="389" customFormat="false" ht="15" hidden="false" customHeight="false" outlineLevel="0" collapsed="false">
      <c r="A389" s="21" t="s">
        <v>485</v>
      </c>
      <c r="B389" s="21" t="s">
        <v>48</v>
      </c>
      <c r="C389" s="21" t="s">
        <v>57</v>
      </c>
      <c r="D389" s="29" t="n">
        <v>46213</v>
      </c>
      <c r="E389" s="29" t="n">
        <v>46216</v>
      </c>
      <c r="F389" s="29" t="n">
        <v>46215</v>
      </c>
      <c r="G389" s="21" t="n">
        <v>790</v>
      </c>
      <c r="H389" s="21" t="n">
        <v>790</v>
      </c>
      <c r="I389" s="21" t="n">
        <v>267</v>
      </c>
      <c r="J389" s="30" t="n">
        <v>20822</v>
      </c>
      <c r="K389" s="21" t="n">
        <v>45</v>
      </c>
      <c r="L389" s="14" t="n">
        <f aca="false">MAX(0,F389-E389)</f>
        <v>0</v>
      </c>
      <c r="M389" s="14" t="n">
        <f aca="false">IF(L389&lt;=Assumptions!$B$5,1,0)</f>
        <v>1</v>
      </c>
      <c r="N389" s="14" t="n">
        <f aca="false">IF(H389&gt;=G389,1,0)</f>
        <v>1</v>
      </c>
      <c r="O389" s="14" t="n">
        <f aca="false">M389*N389</f>
        <v>1</v>
      </c>
      <c r="P389" s="15" t="n">
        <f aca="false">L389*Assumptions!$B$6</f>
        <v>0</v>
      </c>
      <c r="Q389" s="31" t="n">
        <f aca="false">IF(I389=0,0,J389/I389)</f>
        <v>77.9850187265918</v>
      </c>
      <c r="R389" s="18" t="n">
        <f aca="false">IF(H389=0,0,K389/H389)</f>
        <v>0.0569620253164557</v>
      </c>
      <c r="S389" s="14" t="n">
        <f aca="false">MONTH(D389)</f>
        <v>7</v>
      </c>
    </row>
    <row r="390" customFormat="false" ht="15" hidden="false" customHeight="false" outlineLevel="0" collapsed="false">
      <c r="A390" s="21" t="s">
        <v>486</v>
      </c>
      <c r="B390" s="21" t="s">
        <v>49</v>
      </c>
      <c r="C390" s="21" t="s">
        <v>53</v>
      </c>
      <c r="D390" s="29" t="n">
        <v>46125</v>
      </c>
      <c r="E390" s="29" t="n">
        <v>46134</v>
      </c>
      <c r="F390" s="29" t="n">
        <v>46134</v>
      </c>
      <c r="G390" s="21" t="n">
        <v>880</v>
      </c>
      <c r="H390" s="21" t="n">
        <v>880</v>
      </c>
      <c r="I390" s="21" t="n">
        <v>59</v>
      </c>
      <c r="J390" s="30" t="n">
        <v>5722</v>
      </c>
      <c r="K390" s="21" t="n">
        <v>8</v>
      </c>
      <c r="L390" s="14" t="n">
        <f aca="false">MAX(0,F390-E390)</f>
        <v>0</v>
      </c>
      <c r="M390" s="14" t="n">
        <f aca="false">IF(L390&lt;=Assumptions!$B$5,1,0)</f>
        <v>1</v>
      </c>
      <c r="N390" s="14" t="n">
        <f aca="false">IF(H390&gt;=G390,1,0)</f>
        <v>1</v>
      </c>
      <c r="O390" s="14" t="n">
        <f aca="false">M390*N390</f>
        <v>1</v>
      </c>
      <c r="P390" s="15" t="n">
        <f aca="false">L390*Assumptions!$B$6</f>
        <v>0</v>
      </c>
      <c r="Q390" s="31" t="n">
        <f aca="false">IF(I390=0,0,J390/I390)</f>
        <v>96.9830508474576</v>
      </c>
      <c r="R390" s="18" t="n">
        <f aca="false">IF(H390=0,0,K390/H390)</f>
        <v>0.00909090909090909</v>
      </c>
      <c r="S390" s="14" t="n">
        <f aca="false">MONTH(D390)</f>
        <v>4</v>
      </c>
    </row>
    <row r="391" customFormat="false" ht="15" hidden="false" customHeight="false" outlineLevel="0" collapsed="false">
      <c r="A391" s="21" t="s">
        <v>487</v>
      </c>
      <c r="B391" s="21" t="s">
        <v>50</v>
      </c>
      <c r="C391" s="21" t="s">
        <v>53</v>
      </c>
      <c r="D391" s="29" t="n">
        <v>46059</v>
      </c>
      <c r="E391" s="29" t="n">
        <v>46067</v>
      </c>
      <c r="F391" s="29" t="n">
        <v>46067</v>
      </c>
      <c r="G391" s="21" t="n">
        <v>960</v>
      </c>
      <c r="H391" s="21" t="n">
        <v>960</v>
      </c>
      <c r="I391" s="21" t="n">
        <v>22</v>
      </c>
      <c r="J391" s="30" t="n">
        <v>5354</v>
      </c>
      <c r="K391" s="21" t="n">
        <v>16</v>
      </c>
      <c r="L391" s="14" t="n">
        <f aca="false">MAX(0,F391-E391)</f>
        <v>0</v>
      </c>
      <c r="M391" s="14" t="n">
        <f aca="false">IF(L391&lt;=Assumptions!$B$5,1,0)</f>
        <v>1</v>
      </c>
      <c r="N391" s="14" t="n">
        <f aca="false">IF(H391&gt;=G391,1,0)</f>
        <v>1</v>
      </c>
      <c r="O391" s="14" t="n">
        <f aca="false">M391*N391</f>
        <v>1</v>
      </c>
      <c r="P391" s="15" t="n">
        <f aca="false">L391*Assumptions!$B$6</f>
        <v>0</v>
      </c>
      <c r="Q391" s="31" t="n">
        <f aca="false">IF(I391=0,0,J391/I391)</f>
        <v>243.363636363636</v>
      </c>
      <c r="R391" s="18" t="n">
        <f aca="false">IF(H391=0,0,K391/H391)</f>
        <v>0.0166666666666667</v>
      </c>
      <c r="S391" s="14" t="n">
        <f aca="false">MONTH(D391)</f>
        <v>2</v>
      </c>
    </row>
    <row r="392" customFormat="false" ht="15" hidden="false" customHeight="false" outlineLevel="0" collapsed="false">
      <c r="A392" s="21" t="s">
        <v>488</v>
      </c>
      <c r="B392" s="21" t="s">
        <v>45</v>
      </c>
      <c r="C392" s="21" t="s">
        <v>56</v>
      </c>
      <c r="D392" s="29" t="n">
        <v>46030</v>
      </c>
      <c r="E392" s="29" t="n">
        <v>46039</v>
      </c>
      <c r="F392" s="29" t="n">
        <v>46039</v>
      </c>
      <c r="G392" s="21" t="n">
        <v>430</v>
      </c>
      <c r="H392" s="21" t="n">
        <v>430</v>
      </c>
      <c r="I392" s="21" t="n">
        <v>187</v>
      </c>
      <c r="J392" s="30" t="n">
        <v>21321</v>
      </c>
      <c r="K392" s="21" t="n">
        <v>3</v>
      </c>
      <c r="L392" s="14" t="n">
        <f aca="false">MAX(0,F392-E392)</f>
        <v>0</v>
      </c>
      <c r="M392" s="14" t="n">
        <f aca="false">IF(L392&lt;=Assumptions!$B$5,1,0)</f>
        <v>1</v>
      </c>
      <c r="N392" s="14" t="n">
        <f aca="false">IF(H392&gt;=G392,1,0)</f>
        <v>1</v>
      </c>
      <c r="O392" s="14" t="n">
        <f aca="false">M392*N392</f>
        <v>1</v>
      </c>
      <c r="P392" s="15" t="n">
        <f aca="false">L392*Assumptions!$B$6</f>
        <v>0</v>
      </c>
      <c r="Q392" s="31" t="n">
        <f aca="false">IF(I392=0,0,J392/I392)</f>
        <v>114.016042780749</v>
      </c>
      <c r="R392" s="18" t="n">
        <f aca="false">IF(H392=0,0,K392/H392)</f>
        <v>0.00697674418604651</v>
      </c>
      <c r="S392" s="14" t="n">
        <f aca="false">MONTH(D392)</f>
        <v>1</v>
      </c>
    </row>
    <row r="393" customFormat="false" ht="15" hidden="false" customHeight="false" outlineLevel="0" collapsed="false">
      <c r="A393" s="21" t="s">
        <v>489</v>
      </c>
      <c r="B393" s="21" t="s">
        <v>47</v>
      </c>
      <c r="C393" s="21" t="s">
        <v>57</v>
      </c>
      <c r="D393" s="29" t="n">
        <v>46223</v>
      </c>
      <c r="E393" s="29" t="n">
        <v>46231</v>
      </c>
      <c r="F393" s="29" t="n">
        <v>46232</v>
      </c>
      <c r="G393" s="21" t="n">
        <v>220</v>
      </c>
      <c r="H393" s="21" t="n">
        <v>220</v>
      </c>
      <c r="I393" s="21" t="n">
        <v>322</v>
      </c>
      <c r="J393" s="30" t="n">
        <v>32705</v>
      </c>
      <c r="K393" s="21" t="n">
        <v>11</v>
      </c>
      <c r="L393" s="14" t="n">
        <f aca="false">MAX(0,F393-E393)</f>
        <v>1</v>
      </c>
      <c r="M393" s="14" t="n">
        <f aca="false">IF(L393&lt;=Assumptions!$B$5,1,0)</f>
        <v>0</v>
      </c>
      <c r="N393" s="14" t="n">
        <f aca="false">IF(H393&gt;=G393,1,0)</f>
        <v>1</v>
      </c>
      <c r="O393" s="14" t="n">
        <f aca="false">M393*N393</f>
        <v>0</v>
      </c>
      <c r="P393" s="15" t="n">
        <f aca="false">L393*Assumptions!$B$6</f>
        <v>1500</v>
      </c>
      <c r="Q393" s="31" t="n">
        <f aca="false">IF(I393=0,0,J393/I393)</f>
        <v>101.568322981366</v>
      </c>
      <c r="R393" s="18" t="n">
        <f aca="false">IF(H393=0,0,K393/H393)</f>
        <v>0.05</v>
      </c>
      <c r="S393" s="14" t="n">
        <f aca="false">MONTH(D393)</f>
        <v>7</v>
      </c>
    </row>
    <row r="394" customFormat="false" ht="15" hidden="false" customHeight="false" outlineLevel="0" collapsed="false">
      <c r="A394" s="21" t="s">
        <v>490</v>
      </c>
      <c r="B394" s="21" t="s">
        <v>48</v>
      </c>
      <c r="C394" s="21" t="s">
        <v>57</v>
      </c>
      <c r="D394" s="29" t="n">
        <v>46199</v>
      </c>
      <c r="E394" s="29" t="n">
        <v>46203</v>
      </c>
      <c r="F394" s="29" t="n">
        <v>46203</v>
      </c>
      <c r="G394" s="21" t="n">
        <v>190</v>
      </c>
      <c r="H394" s="21" t="n">
        <v>190</v>
      </c>
      <c r="I394" s="21" t="n">
        <v>271</v>
      </c>
      <c r="J394" s="30" t="n">
        <v>17266</v>
      </c>
      <c r="K394" s="21" t="n">
        <v>8</v>
      </c>
      <c r="L394" s="14" t="n">
        <f aca="false">MAX(0,F394-E394)</f>
        <v>0</v>
      </c>
      <c r="M394" s="14" t="n">
        <f aca="false">IF(L394&lt;=Assumptions!$B$5,1,0)</f>
        <v>1</v>
      </c>
      <c r="N394" s="14" t="n">
        <f aca="false">IF(H394&gt;=G394,1,0)</f>
        <v>1</v>
      </c>
      <c r="O394" s="14" t="n">
        <f aca="false">M394*N394</f>
        <v>1</v>
      </c>
      <c r="P394" s="15" t="n">
        <f aca="false">L394*Assumptions!$B$6</f>
        <v>0</v>
      </c>
      <c r="Q394" s="31" t="n">
        <f aca="false">IF(I394=0,0,J394/I394)</f>
        <v>63.7121771217712</v>
      </c>
      <c r="R394" s="18" t="n">
        <f aca="false">IF(H394=0,0,K394/H394)</f>
        <v>0.0421052631578947</v>
      </c>
      <c r="S394" s="14" t="n">
        <f aca="false">MONTH(D394)</f>
        <v>6</v>
      </c>
    </row>
    <row r="395" customFormat="false" ht="15" hidden="false" customHeight="false" outlineLevel="0" collapsed="false">
      <c r="A395" s="21" t="s">
        <v>491</v>
      </c>
      <c r="B395" s="21" t="s">
        <v>47</v>
      </c>
      <c r="C395" s="21" t="s">
        <v>55</v>
      </c>
      <c r="D395" s="29" t="n">
        <v>46078</v>
      </c>
      <c r="E395" s="29" t="n">
        <v>46084</v>
      </c>
      <c r="F395" s="29" t="n">
        <v>46084</v>
      </c>
      <c r="G395" s="21" t="n">
        <v>940</v>
      </c>
      <c r="H395" s="21" t="n">
        <v>940</v>
      </c>
      <c r="I395" s="21" t="n">
        <v>354</v>
      </c>
      <c r="J395" s="30" t="n">
        <v>40535</v>
      </c>
      <c r="K395" s="21" t="n">
        <v>39</v>
      </c>
      <c r="L395" s="14" t="n">
        <f aca="false">MAX(0,F395-E395)</f>
        <v>0</v>
      </c>
      <c r="M395" s="14" t="n">
        <f aca="false">IF(L395&lt;=Assumptions!$B$5,1,0)</f>
        <v>1</v>
      </c>
      <c r="N395" s="14" t="n">
        <f aca="false">IF(H395&gt;=G395,1,0)</f>
        <v>1</v>
      </c>
      <c r="O395" s="14" t="n">
        <f aca="false">M395*N395</f>
        <v>1</v>
      </c>
      <c r="P395" s="15" t="n">
        <f aca="false">L395*Assumptions!$B$6</f>
        <v>0</v>
      </c>
      <c r="Q395" s="31" t="n">
        <f aca="false">IF(I395=0,0,J395/I395)</f>
        <v>114.505649717514</v>
      </c>
      <c r="R395" s="18" t="n">
        <f aca="false">IF(H395=0,0,K395/H395)</f>
        <v>0.0414893617021277</v>
      </c>
      <c r="S395" s="14" t="n">
        <f aca="false">MONTH(D395)</f>
        <v>2</v>
      </c>
    </row>
    <row r="396" customFormat="false" ht="15" hidden="false" customHeight="false" outlineLevel="0" collapsed="false">
      <c r="A396" s="21" t="s">
        <v>492</v>
      </c>
      <c r="B396" s="21" t="s">
        <v>45</v>
      </c>
      <c r="C396" s="21" t="s">
        <v>53</v>
      </c>
      <c r="D396" s="29" t="n">
        <v>46125</v>
      </c>
      <c r="E396" s="29" t="n">
        <v>46132</v>
      </c>
      <c r="F396" s="29" t="n">
        <v>46132</v>
      </c>
      <c r="G396" s="21" t="n">
        <v>270</v>
      </c>
      <c r="H396" s="21" t="n">
        <v>270</v>
      </c>
      <c r="I396" s="21" t="n">
        <v>32</v>
      </c>
      <c r="J396" s="30" t="n">
        <v>3669</v>
      </c>
      <c r="K396" s="21" t="n">
        <v>0</v>
      </c>
      <c r="L396" s="14" t="n">
        <f aca="false">MAX(0,F396-E396)</f>
        <v>0</v>
      </c>
      <c r="M396" s="14" t="n">
        <f aca="false">IF(L396&lt;=Assumptions!$B$5,1,0)</f>
        <v>1</v>
      </c>
      <c r="N396" s="14" t="n">
        <f aca="false">IF(H396&gt;=G396,1,0)</f>
        <v>1</v>
      </c>
      <c r="O396" s="14" t="n">
        <f aca="false">M396*N396</f>
        <v>1</v>
      </c>
      <c r="P396" s="15" t="n">
        <f aca="false">L396*Assumptions!$B$6</f>
        <v>0</v>
      </c>
      <c r="Q396" s="31" t="n">
        <f aca="false">IF(I396=0,0,J396/I396)</f>
        <v>114.65625</v>
      </c>
      <c r="R396" s="18" t="n">
        <f aca="false">IF(H396=0,0,K396/H396)</f>
        <v>0</v>
      </c>
      <c r="S396" s="14" t="n">
        <f aca="false">MONTH(D396)</f>
        <v>4</v>
      </c>
    </row>
    <row r="397" customFormat="false" ht="15" hidden="false" customHeight="false" outlineLevel="0" collapsed="false">
      <c r="A397" s="21" t="s">
        <v>493</v>
      </c>
      <c r="B397" s="21" t="s">
        <v>46</v>
      </c>
      <c r="C397" s="21" t="s">
        <v>56</v>
      </c>
      <c r="D397" s="29" t="n">
        <v>46126</v>
      </c>
      <c r="E397" s="29" t="n">
        <v>46129</v>
      </c>
      <c r="F397" s="29" t="n">
        <v>46128</v>
      </c>
      <c r="G397" s="21" t="n">
        <v>340</v>
      </c>
      <c r="H397" s="21" t="n">
        <v>340</v>
      </c>
      <c r="I397" s="21" t="n">
        <v>159</v>
      </c>
      <c r="J397" s="30" t="n">
        <v>17702</v>
      </c>
      <c r="K397" s="21" t="n">
        <v>7</v>
      </c>
      <c r="L397" s="14" t="n">
        <f aca="false">MAX(0,F397-E397)</f>
        <v>0</v>
      </c>
      <c r="M397" s="14" t="n">
        <f aca="false">IF(L397&lt;=Assumptions!$B$5,1,0)</f>
        <v>1</v>
      </c>
      <c r="N397" s="14" t="n">
        <f aca="false">IF(H397&gt;=G397,1,0)</f>
        <v>1</v>
      </c>
      <c r="O397" s="14" t="n">
        <f aca="false">M397*N397</f>
        <v>1</v>
      </c>
      <c r="P397" s="15" t="n">
        <f aca="false">L397*Assumptions!$B$6</f>
        <v>0</v>
      </c>
      <c r="Q397" s="31" t="n">
        <f aca="false">IF(I397=0,0,J397/I397)</f>
        <v>111.333333333333</v>
      </c>
      <c r="R397" s="18" t="n">
        <f aca="false">IF(H397=0,0,K397/H397)</f>
        <v>0.0205882352941176</v>
      </c>
      <c r="S397" s="14" t="n">
        <f aca="false">MONTH(D397)</f>
        <v>4</v>
      </c>
    </row>
    <row r="398" customFormat="false" ht="15" hidden="false" customHeight="false" outlineLevel="0" collapsed="false">
      <c r="A398" s="21" t="s">
        <v>494</v>
      </c>
      <c r="B398" s="21" t="s">
        <v>45</v>
      </c>
      <c r="C398" s="21" t="s">
        <v>58</v>
      </c>
      <c r="D398" s="29" t="n">
        <v>46108</v>
      </c>
      <c r="E398" s="29" t="n">
        <v>46116</v>
      </c>
      <c r="F398" s="29" t="n">
        <v>46116</v>
      </c>
      <c r="G398" s="21" t="n">
        <v>340</v>
      </c>
      <c r="H398" s="21" t="n">
        <v>340</v>
      </c>
      <c r="I398" s="21" t="n">
        <v>236</v>
      </c>
      <c r="J398" s="30" t="n">
        <v>16635</v>
      </c>
      <c r="K398" s="21" t="n">
        <v>5</v>
      </c>
      <c r="L398" s="14" t="n">
        <f aca="false">MAX(0,F398-E398)</f>
        <v>0</v>
      </c>
      <c r="M398" s="14" t="n">
        <f aca="false">IF(L398&lt;=Assumptions!$B$5,1,0)</f>
        <v>1</v>
      </c>
      <c r="N398" s="14" t="n">
        <f aca="false">IF(H398&gt;=G398,1,0)</f>
        <v>1</v>
      </c>
      <c r="O398" s="14" t="n">
        <f aca="false">M398*N398</f>
        <v>1</v>
      </c>
      <c r="P398" s="15" t="n">
        <f aca="false">L398*Assumptions!$B$6</f>
        <v>0</v>
      </c>
      <c r="Q398" s="31" t="n">
        <f aca="false">IF(I398=0,0,J398/I398)</f>
        <v>70.4872881355932</v>
      </c>
      <c r="R398" s="18" t="n">
        <f aca="false">IF(H398=0,0,K398/H398)</f>
        <v>0.0147058823529412</v>
      </c>
      <c r="S398" s="14" t="n">
        <f aca="false">MONTH(D398)</f>
        <v>3</v>
      </c>
    </row>
    <row r="399" customFormat="false" ht="15" hidden="false" customHeight="false" outlineLevel="0" collapsed="false">
      <c r="A399" s="21" t="s">
        <v>495</v>
      </c>
      <c r="B399" s="21" t="s">
        <v>48</v>
      </c>
      <c r="C399" s="21" t="s">
        <v>57</v>
      </c>
      <c r="D399" s="29" t="n">
        <v>46243</v>
      </c>
      <c r="E399" s="29" t="n">
        <v>46253</v>
      </c>
      <c r="F399" s="29" t="n">
        <v>46253</v>
      </c>
      <c r="G399" s="21" t="n">
        <v>800</v>
      </c>
      <c r="H399" s="21" t="n">
        <v>800</v>
      </c>
      <c r="I399" s="21" t="n">
        <v>277</v>
      </c>
      <c r="J399" s="30" t="n">
        <v>20211</v>
      </c>
      <c r="K399" s="21" t="n">
        <v>11</v>
      </c>
      <c r="L399" s="14" t="n">
        <f aca="false">MAX(0,F399-E399)</f>
        <v>0</v>
      </c>
      <c r="M399" s="14" t="n">
        <f aca="false">IF(L399&lt;=Assumptions!$B$5,1,0)</f>
        <v>1</v>
      </c>
      <c r="N399" s="14" t="n">
        <f aca="false">IF(H399&gt;=G399,1,0)</f>
        <v>1</v>
      </c>
      <c r="O399" s="14" t="n">
        <f aca="false">M399*N399</f>
        <v>1</v>
      </c>
      <c r="P399" s="15" t="n">
        <f aca="false">L399*Assumptions!$B$6</f>
        <v>0</v>
      </c>
      <c r="Q399" s="31" t="n">
        <f aca="false">IF(I399=0,0,J399/I399)</f>
        <v>72.9638989169675</v>
      </c>
      <c r="R399" s="18" t="n">
        <f aca="false">IF(H399=0,0,K399/H399)</f>
        <v>0.01375</v>
      </c>
      <c r="S399" s="14" t="n">
        <f aca="false">MONTH(D399)</f>
        <v>8</v>
      </c>
    </row>
    <row r="400" customFormat="false" ht="15" hidden="false" customHeight="false" outlineLevel="0" collapsed="false">
      <c r="A400" s="21" t="s">
        <v>496</v>
      </c>
      <c r="B400" s="21" t="s">
        <v>45</v>
      </c>
      <c r="C400" s="21" t="s">
        <v>54</v>
      </c>
      <c r="D400" s="29" t="n">
        <v>46265</v>
      </c>
      <c r="E400" s="29" t="n">
        <v>46270</v>
      </c>
      <c r="F400" s="29" t="n">
        <v>46269</v>
      </c>
      <c r="G400" s="21" t="n">
        <v>900</v>
      </c>
      <c r="H400" s="21" t="n">
        <v>900</v>
      </c>
      <c r="I400" s="21" t="n">
        <v>427</v>
      </c>
      <c r="J400" s="30" t="n">
        <v>49135</v>
      </c>
      <c r="K400" s="21" t="n">
        <v>17</v>
      </c>
      <c r="L400" s="14" t="n">
        <f aca="false">MAX(0,F400-E400)</f>
        <v>0</v>
      </c>
      <c r="M400" s="14" t="n">
        <f aca="false">IF(L400&lt;=Assumptions!$B$5,1,0)</f>
        <v>1</v>
      </c>
      <c r="N400" s="14" t="n">
        <f aca="false">IF(H400&gt;=G400,1,0)</f>
        <v>1</v>
      </c>
      <c r="O400" s="14" t="n">
        <f aca="false">M400*N400</f>
        <v>1</v>
      </c>
      <c r="P400" s="15" t="n">
        <f aca="false">L400*Assumptions!$B$6</f>
        <v>0</v>
      </c>
      <c r="Q400" s="31" t="n">
        <f aca="false">IF(I400=0,0,J400/I400)</f>
        <v>115.070257611241</v>
      </c>
      <c r="R400" s="18" t="n">
        <f aca="false">IF(H400=0,0,K400/H400)</f>
        <v>0.0188888888888889</v>
      </c>
      <c r="S400" s="14" t="n">
        <f aca="false">MONTH(D400)</f>
        <v>8</v>
      </c>
    </row>
    <row r="401" customFormat="false" ht="15" hidden="false" customHeight="false" outlineLevel="0" collapsed="false">
      <c r="A401" s="21" t="s">
        <v>497</v>
      </c>
      <c r="B401" s="21" t="s">
        <v>46</v>
      </c>
      <c r="C401" s="21" t="s">
        <v>53</v>
      </c>
      <c r="D401" s="29" t="n">
        <v>46190</v>
      </c>
      <c r="E401" s="29" t="n">
        <v>46197</v>
      </c>
      <c r="F401" s="29" t="n">
        <v>46197</v>
      </c>
      <c r="G401" s="21" t="n">
        <v>370</v>
      </c>
      <c r="H401" s="21" t="n">
        <v>370</v>
      </c>
      <c r="I401" s="21" t="n">
        <v>58</v>
      </c>
      <c r="J401" s="30" t="n">
        <v>6203</v>
      </c>
      <c r="K401" s="21" t="n">
        <v>7</v>
      </c>
      <c r="L401" s="14" t="n">
        <f aca="false">MAX(0,F401-E401)</f>
        <v>0</v>
      </c>
      <c r="M401" s="14" t="n">
        <f aca="false">IF(L401&lt;=Assumptions!$B$5,1,0)</f>
        <v>1</v>
      </c>
      <c r="N401" s="14" t="n">
        <f aca="false">IF(H401&gt;=G401,1,0)</f>
        <v>1</v>
      </c>
      <c r="O401" s="14" t="n">
        <f aca="false">M401*N401</f>
        <v>1</v>
      </c>
      <c r="P401" s="15" t="n">
        <f aca="false">L401*Assumptions!$B$6</f>
        <v>0</v>
      </c>
      <c r="Q401" s="31" t="n">
        <f aca="false">IF(I401=0,0,J401/I401)</f>
        <v>106.948275862069</v>
      </c>
      <c r="R401" s="18" t="n">
        <f aca="false">IF(H401=0,0,K401/H401)</f>
        <v>0.0189189189189189</v>
      </c>
      <c r="S401" s="14" t="n">
        <f aca="false">MONTH(D401)</f>
        <v>6</v>
      </c>
    </row>
    <row r="402" customFormat="false" ht="15" hidden="false" customHeight="false" outlineLevel="0" collapsed="false">
      <c r="A402" s="21" t="s">
        <v>498</v>
      </c>
      <c r="B402" s="21" t="s">
        <v>45</v>
      </c>
      <c r="C402" s="21" t="s">
        <v>58</v>
      </c>
      <c r="D402" s="29" t="n">
        <v>46256</v>
      </c>
      <c r="E402" s="29" t="n">
        <v>46266</v>
      </c>
      <c r="F402" s="29" t="n">
        <v>46265</v>
      </c>
      <c r="G402" s="21" t="n">
        <v>610</v>
      </c>
      <c r="H402" s="21" t="n">
        <v>610</v>
      </c>
      <c r="I402" s="21" t="n">
        <v>220</v>
      </c>
      <c r="J402" s="30" t="n">
        <v>18258</v>
      </c>
      <c r="K402" s="21" t="n">
        <v>7</v>
      </c>
      <c r="L402" s="14" t="n">
        <f aca="false">MAX(0,F402-E402)</f>
        <v>0</v>
      </c>
      <c r="M402" s="14" t="n">
        <f aca="false">IF(L402&lt;=Assumptions!$B$5,1,0)</f>
        <v>1</v>
      </c>
      <c r="N402" s="14" t="n">
        <f aca="false">IF(H402&gt;=G402,1,0)</f>
        <v>1</v>
      </c>
      <c r="O402" s="14" t="n">
        <f aca="false">M402*N402</f>
        <v>1</v>
      </c>
      <c r="P402" s="15" t="n">
        <f aca="false">L402*Assumptions!$B$6</f>
        <v>0</v>
      </c>
      <c r="Q402" s="31" t="n">
        <f aca="false">IF(I402=0,0,J402/I402)</f>
        <v>82.9909090909091</v>
      </c>
      <c r="R402" s="18" t="n">
        <f aca="false">IF(H402=0,0,K402/H402)</f>
        <v>0.0114754098360656</v>
      </c>
      <c r="S402" s="14" t="n">
        <f aca="false">MONTH(D402)</f>
        <v>8</v>
      </c>
    </row>
    <row r="403" customFormat="false" ht="15" hidden="false" customHeight="false" outlineLevel="0" collapsed="false">
      <c r="A403" s="21" t="s">
        <v>499</v>
      </c>
      <c r="B403" s="21" t="s">
        <v>49</v>
      </c>
      <c r="C403" s="21" t="s">
        <v>56</v>
      </c>
      <c r="D403" s="29" t="n">
        <v>46275</v>
      </c>
      <c r="E403" s="29" t="n">
        <v>46279</v>
      </c>
      <c r="F403" s="29" t="n">
        <v>46279</v>
      </c>
      <c r="G403" s="21" t="n">
        <v>340</v>
      </c>
      <c r="H403" s="21" t="n">
        <v>340</v>
      </c>
      <c r="I403" s="21" t="n">
        <v>159</v>
      </c>
      <c r="J403" s="30" t="n">
        <v>14369</v>
      </c>
      <c r="K403" s="21" t="n">
        <v>1</v>
      </c>
      <c r="L403" s="14" t="n">
        <f aca="false">MAX(0,F403-E403)</f>
        <v>0</v>
      </c>
      <c r="M403" s="14" t="n">
        <f aca="false">IF(L403&lt;=Assumptions!$B$5,1,0)</f>
        <v>1</v>
      </c>
      <c r="N403" s="14" t="n">
        <f aca="false">IF(H403&gt;=G403,1,0)</f>
        <v>1</v>
      </c>
      <c r="O403" s="14" t="n">
        <f aca="false">M403*N403</f>
        <v>1</v>
      </c>
      <c r="P403" s="15" t="n">
        <f aca="false">L403*Assumptions!$B$6</f>
        <v>0</v>
      </c>
      <c r="Q403" s="31" t="n">
        <f aca="false">IF(I403=0,0,J403/I403)</f>
        <v>90.3710691823899</v>
      </c>
      <c r="R403" s="18" t="n">
        <f aca="false">IF(H403=0,0,K403/H403)</f>
        <v>0.00294117647058824</v>
      </c>
      <c r="S403" s="14" t="n">
        <f aca="false">MONTH(D403)</f>
        <v>9</v>
      </c>
    </row>
    <row r="404" customFormat="false" ht="15" hidden="false" customHeight="false" outlineLevel="0" collapsed="false">
      <c r="A404" s="21" t="s">
        <v>500</v>
      </c>
      <c r="B404" s="21" t="s">
        <v>46</v>
      </c>
      <c r="C404" s="21" t="s">
        <v>56</v>
      </c>
      <c r="D404" s="29" t="n">
        <v>46271</v>
      </c>
      <c r="E404" s="29" t="n">
        <v>46276</v>
      </c>
      <c r="F404" s="29" t="n">
        <v>46276</v>
      </c>
      <c r="G404" s="21" t="n">
        <v>590</v>
      </c>
      <c r="H404" s="21" t="n">
        <v>590</v>
      </c>
      <c r="I404" s="21" t="n">
        <v>158</v>
      </c>
      <c r="J404" s="30" t="n">
        <v>18262</v>
      </c>
      <c r="K404" s="21" t="n">
        <v>15</v>
      </c>
      <c r="L404" s="14" t="n">
        <f aca="false">MAX(0,F404-E404)</f>
        <v>0</v>
      </c>
      <c r="M404" s="14" t="n">
        <f aca="false">IF(L404&lt;=Assumptions!$B$5,1,0)</f>
        <v>1</v>
      </c>
      <c r="N404" s="14" t="n">
        <f aca="false">IF(H404&gt;=G404,1,0)</f>
        <v>1</v>
      </c>
      <c r="O404" s="14" t="n">
        <f aca="false">M404*N404</f>
        <v>1</v>
      </c>
      <c r="P404" s="15" t="n">
        <f aca="false">L404*Assumptions!$B$6</f>
        <v>0</v>
      </c>
      <c r="Q404" s="31" t="n">
        <f aca="false">IF(I404=0,0,J404/I404)</f>
        <v>115.582278481013</v>
      </c>
      <c r="R404" s="18" t="n">
        <f aca="false">IF(H404=0,0,K404/H404)</f>
        <v>0.0254237288135593</v>
      </c>
      <c r="S404" s="14" t="n">
        <f aca="false">MONTH(D404)</f>
        <v>9</v>
      </c>
    </row>
    <row r="405" customFormat="false" ht="15" hidden="false" customHeight="false" outlineLevel="0" collapsed="false">
      <c r="A405" s="21" t="s">
        <v>501</v>
      </c>
      <c r="B405" s="21" t="s">
        <v>48</v>
      </c>
      <c r="C405" s="21" t="s">
        <v>57</v>
      </c>
      <c r="D405" s="29" t="n">
        <v>46273</v>
      </c>
      <c r="E405" s="29" t="n">
        <v>46277</v>
      </c>
      <c r="F405" s="29" t="n">
        <v>46277</v>
      </c>
      <c r="G405" s="21" t="n">
        <v>450</v>
      </c>
      <c r="H405" s="21" t="n">
        <v>450</v>
      </c>
      <c r="I405" s="21" t="n">
        <v>268</v>
      </c>
      <c r="J405" s="30" t="n">
        <v>22174</v>
      </c>
      <c r="K405" s="21" t="n">
        <v>23</v>
      </c>
      <c r="L405" s="14" t="n">
        <f aca="false">MAX(0,F405-E405)</f>
        <v>0</v>
      </c>
      <c r="M405" s="14" t="n">
        <f aca="false">IF(L405&lt;=Assumptions!$B$5,1,0)</f>
        <v>1</v>
      </c>
      <c r="N405" s="14" t="n">
        <f aca="false">IF(H405&gt;=G405,1,0)</f>
        <v>1</v>
      </c>
      <c r="O405" s="14" t="n">
        <f aca="false">M405*N405</f>
        <v>1</v>
      </c>
      <c r="P405" s="15" t="n">
        <f aca="false">L405*Assumptions!$B$6</f>
        <v>0</v>
      </c>
      <c r="Q405" s="31" t="n">
        <f aca="false">IF(I405=0,0,J405/I405)</f>
        <v>82.7388059701493</v>
      </c>
      <c r="R405" s="18" t="n">
        <f aca="false">IF(H405=0,0,K405/H405)</f>
        <v>0.0511111111111111</v>
      </c>
      <c r="S405" s="14" t="n">
        <f aca="false">MONTH(D405)</f>
        <v>9</v>
      </c>
    </row>
    <row r="406" customFormat="false" ht="15" hidden="false" customHeight="false" outlineLevel="0" collapsed="false">
      <c r="A406" s="21" t="s">
        <v>502</v>
      </c>
      <c r="B406" s="21" t="s">
        <v>47</v>
      </c>
      <c r="C406" s="21" t="s">
        <v>53</v>
      </c>
      <c r="D406" s="29" t="n">
        <v>46122</v>
      </c>
      <c r="E406" s="29" t="n">
        <v>46129</v>
      </c>
      <c r="F406" s="29" t="n">
        <v>46130</v>
      </c>
      <c r="G406" s="21" t="n">
        <v>800</v>
      </c>
      <c r="H406" s="21" t="n">
        <v>800</v>
      </c>
      <c r="I406" s="21" t="n">
        <v>31</v>
      </c>
      <c r="J406" s="30" t="n">
        <v>4539</v>
      </c>
      <c r="K406" s="21" t="n">
        <v>22</v>
      </c>
      <c r="L406" s="14" t="n">
        <f aca="false">MAX(0,F406-E406)</f>
        <v>1</v>
      </c>
      <c r="M406" s="14" t="n">
        <f aca="false">IF(L406&lt;=Assumptions!$B$5,1,0)</f>
        <v>0</v>
      </c>
      <c r="N406" s="14" t="n">
        <f aca="false">IF(H406&gt;=G406,1,0)</f>
        <v>1</v>
      </c>
      <c r="O406" s="14" t="n">
        <f aca="false">M406*N406</f>
        <v>0</v>
      </c>
      <c r="P406" s="15" t="n">
        <f aca="false">L406*Assumptions!$B$6</f>
        <v>1500</v>
      </c>
      <c r="Q406" s="31" t="n">
        <f aca="false">IF(I406=0,0,J406/I406)</f>
        <v>146.41935483871</v>
      </c>
      <c r="R406" s="18" t="n">
        <f aca="false">IF(H406=0,0,K406/H406)</f>
        <v>0.0275</v>
      </c>
      <c r="S406" s="14" t="n">
        <f aca="false">MONTH(D406)</f>
        <v>4</v>
      </c>
    </row>
    <row r="407" customFormat="false" ht="15" hidden="false" customHeight="false" outlineLevel="0" collapsed="false">
      <c r="A407" s="21" t="s">
        <v>503</v>
      </c>
      <c r="B407" s="21" t="s">
        <v>45</v>
      </c>
      <c r="C407" s="21" t="s">
        <v>55</v>
      </c>
      <c r="D407" s="29" t="n">
        <v>46149</v>
      </c>
      <c r="E407" s="29" t="n">
        <v>46155</v>
      </c>
      <c r="F407" s="29" t="n">
        <v>46155</v>
      </c>
      <c r="G407" s="21" t="n">
        <v>300</v>
      </c>
      <c r="H407" s="21" t="n">
        <v>300</v>
      </c>
      <c r="I407" s="21" t="n">
        <v>292</v>
      </c>
      <c r="J407" s="30" t="n">
        <v>30055</v>
      </c>
      <c r="K407" s="21" t="n">
        <v>3</v>
      </c>
      <c r="L407" s="14" t="n">
        <f aca="false">MAX(0,F407-E407)</f>
        <v>0</v>
      </c>
      <c r="M407" s="14" t="n">
        <f aca="false">IF(L407&lt;=Assumptions!$B$5,1,0)</f>
        <v>1</v>
      </c>
      <c r="N407" s="14" t="n">
        <f aca="false">IF(H407&gt;=G407,1,0)</f>
        <v>1</v>
      </c>
      <c r="O407" s="14" t="n">
        <f aca="false">M407*N407</f>
        <v>1</v>
      </c>
      <c r="P407" s="15" t="n">
        <f aca="false">L407*Assumptions!$B$6</f>
        <v>0</v>
      </c>
      <c r="Q407" s="31" t="n">
        <f aca="false">IF(I407=0,0,J407/I407)</f>
        <v>102.928082191781</v>
      </c>
      <c r="R407" s="18" t="n">
        <f aca="false">IF(H407=0,0,K407/H407)</f>
        <v>0.01</v>
      </c>
      <c r="S407" s="14" t="n">
        <f aca="false">MONTH(D407)</f>
        <v>5</v>
      </c>
    </row>
    <row r="408" customFormat="false" ht="15" hidden="false" customHeight="false" outlineLevel="0" collapsed="false">
      <c r="A408" s="21" t="s">
        <v>504</v>
      </c>
      <c r="B408" s="21" t="s">
        <v>47</v>
      </c>
      <c r="C408" s="21" t="s">
        <v>54</v>
      </c>
      <c r="D408" s="29" t="n">
        <v>46156</v>
      </c>
      <c r="E408" s="29" t="n">
        <v>46159</v>
      </c>
      <c r="F408" s="29" t="n">
        <v>46159</v>
      </c>
      <c r="G408" s="21" t="n">
        <v>610</v>
      </c>
      <c r="H408" s="21" t="n">
        <v>610</v>
      </c>
      <c r="I408" s="21" t="n">
        <v>468</v>
      </c>
      <c r="J408" s="30" t="n">
        <v>38579</v>
      </c>
      <c r="K408" s="21" t="n">
        <v>45</v>
      </c>
      <c r="L408" s="14" t="n">
        <f aca="false">MAX(0,F408-E408)</f>
        <v>0</v>
      </c>
      <c r="M408" s="14" t="n">
        <f aca="false">IF(L408&lt;=Assumptions!$B$5,1,0)</f>
        <v>1</v>
      </c>
      <c r="N408" s="14" t="n">
        <f aca="false">IF(H408&gt;=G408,1,0)</f>
        <v>1</v>
      </c>
      <c r="O408" s="14" t="n">
        <f aca="false">M408*N408</f>
        <v>1</v>
      </c>
      <c r="P408" s="15" t="n">
        <f aca="false">L408*Assumptions!$B$6</f>
        <v>0</v>
      </c>
      <c r="Q408" s="31" t="n">
        <f aca="false">IF(I408=0,0,J408/I408)</f>
        <v>82.4337606837607</v>
      </c>
      <c r="R408" s="18" t="n">
        <f aca="false">IF(H408=0,0,K408/H408)</f>
        <v>0.0737704918032787</v>
      </c>
      <c r="S408" s="14" t="n">
        <f aca="false">MONTH(D408)</f>
        <v>5</v>
      </c>
    </row>
    <row r="409" customFormat="false" ht="15" hidden="false" customHeight="false" outlineLevel="0" collapsed="false">
      <c r="A409" s="21" t="s">
        <v>505</v>
      </c>
      <c r="B409" s="21" t="s">
        <v>50</v>
      </c>
      <c r="C409" s="21" t="s">
        <v>55</v>
      </c>
      <c r="D409" s="29" t="n">
        <v>46077</v>
      </c>
      <c r="E409" s="29" t="n">
        <v>46086</v>
      </c>
      <c r="F409" s="29" t="n">
        <v>46085</v>
      </c>
      <c r="G409" s="21" t="n">
        <v>320</v>
      </c>
      <c r="H409" s="21" t="n">
        <v>320</v>
      </c>
      <c r="I409" s="21" t="n">
        <v>352</v>
      </c>
      <c r="J409" s="30" t="n">
        <v>36566</v>
      </c>
      <c r="K409" s="21" t="n">
        <v>1</v>
      </c>
      <c r="L409" s="14" t="n">
        <f aca="false">MAX(0,F409-E409)</f>
        <v>0</v>
      </c>
      <c r="M409" s="14" t="n">
        <f aca="false">IF(L409&lt;=Assumptions!$B$5,1,0)</f>
        <v>1</v>
      </c>
      <c r="N409" s="14" t="n">
        <f aca="false">IF(H409&gt;=G409,1,0)</f>
        <v>1</v>
      </c>
      <c r="O409" s="14" t="n">
        <f aca="false">M409*N409</f>
        <v>1</v>
      </c>
      <c r="P409" s="15" t="n">
        <f aca="false">L409*Assumptions!$B$6</f>
        <v>0</v>
      </c>
      <c r="Q409" s="31" t="n">
        <f aca="false">IF(I409=0,0,J409/I409)</f>
        <v>103.880681818182</v>
      </c>
      <c r="R409" s="18" t="n">
        <f aca="false">IF(H409=0,0,K409/H409)</f>
        <v>0.003125</v>
      </c>
      <c r="S409" s="14" t="n">
        <f aca="false">MONTH(D409)</f>
        <v>2</v>
      </c>
    </row>
    <row r="410" customFormat="false" ht="15" hidden="false" customHeight="false" outlineLevel="0" collapsed="false">
      <c r="A410" s="21" t="s">
        <v>506</v>
      </c>
      <c r="B410" s="21" t="s">
        <v>45</v>
      </c>
      <c r="C410" s="21" t="s">
        <v>53</v>
      </c>
      <c r="D410" s="29" t="n">
        <v>46271</v>
      </c>
      <c r="E410" s="29" t="n">
        <v>46276</v>
      </c>
      <c r="F410" s="29" t="n">
        <v>46276</v>
      </c>
      <c r="G410" s="21" t="n">
        <v>400</v>
      </c>
      <c r="H410" s="21" t="n">
        <v>400</v>
      </c>
      <c r="I410" s="21" t="n">
        <v>23</v>
      </c>
      <c r="J410" s="30" t="n">
        <v>2659</v>
      </c>
      <c r="K410" s="21" t="n">
        <v>1</v>
      </c>
      <c r="L410" s="14" t="n">
        <f aca="false">MAX(0,F410-E410)</f>
        <v>0</v>
      </c>
      <c r="M410" s="14" t="n">
        <f aca="false">IF(L410&lt;=Assumptions!$B$5,1,0)</f>
        <v>1</v>
      </c>
      <c r="N410" s="14" t="n">
        <f aca="false">IF(H410&gt;=G410,1,0)</f>
        <v>1</v>
      </c>
      <c r="O410" s="14" t="n">
        <f aca="false">M410*N410</f>
        <v>1</v>
      </c>
      <c r="P410" s="15" t="n">
        <f aca="false">L410*Assumptions!$B$6</f>
        <v>0</v>
      </c>
      <c r="Q410" s="31" t="n">
        <f aca="false">IF(I410=0,0,J410/I410)</f>
        <v>115.608695652174</v>
      </c>
      <c r="R410" s="18" t="n">
        <f aca="false">IF(H410=0,0,K410/H410)</f>
        <v>0.0025</v>
      </c>
      <c r="S410" s="14" t="n">
        <f aca="false">MONTH(D410)</f>
        <v>9</v>
      </c>
    </row>
    <row r="411" customFormat="false" ht="15" hidden="false" customHeight="false" outlineLevel="0" collapsed="false">
      <c r="A411" s="21" t="s">
        <v>507</v>
      </c>
      <c r="B411" s="21" t="s">
        <v>45</v>
      </c>
      <c r="C411" s="21" t="s">
        <v>53</v>
      </c>
      <c r="D411" s="29" t="n">
        <v>46152</v>
      </c>
      <c r="E411" s="29" t="n">
        <v>46158</v>
      </c>
      <c r="F411" s="29" t="n">
        <v>46158</v>
      </c>
      <c r="G411" s="21" t="n">
        <v>670</v>
      </c>
      <c r="H411" s="21" t="n">
        <v>670</v>
      </c>
      <c r="I411" s="21" t="n">
        <v>20</v>
      </c>
      <c r="J411" s="30" t="n">
        <v>3769</v>
      </c>
      <c r="K411" s="21" t="n">
        <v>6</v>
      </c>
      <c r="L411" s="14" t="n">
        <f aca="false">MAX(0,F411-E411)</f>
        <v>0</v>
      </c>
      <c r="M411" s="14" t="n">
        <f aca="false">IF(L411&lt;=Assumptions!$B$5,1,0)</f>
        <v>1</v>
      </c>
      <c r="N411" s="14" t="n">
        <f aca="false">IF(H411&gt;=G411,1,0)</f>
        <v>1</v>
      </c>
      <c r="O411" s="14" t="n">
        <f aca="false">M411*N411</f>
        <v>1</v>
      </c>
      <c r="P411" s="15" t="n">
        <f aca="false">L411*Assumptions!$B$6</f>
        <v>0</v>
      </c>
      <c r="Q411" s="31" t="n">
        <f aca="false">IF(I411=0,0,J411/I411)</f>
        <v>188.45</v>
      </c>
      <c r="R411" s="18" t="n">
        <f aca="false">IF(H411=0,0,K411/H411)</f>
        <v>0.00895522388059702</v>
      </c>
      <c r="S411" s="14" t="n">
        <f aca="false">MONTH(D411)</f>
        <v>5</v>
      </c>
    </row>
    <row r="412" customFormat="false" ht="15" hidden="false" customHeight="false" outlineLevel="0" collapsed="false">
      <c r="A412" s="21" t="s">
        <v>508</v>
      </c>
      <c r="B412" s="21" t="s">
        <v>47</v>
      </c>
      <c r="C412" s="21" t="s">
        <v>57</v>
      </c>
      <c r="D412" s="29" t="n">
        <v>46153</v>
      </c>
      <c r="E412" s="29" t="n">
        <v>46161</v>
      </c>
      <c r="F412" s="29" t="n">
        <v>46161</v>
      </c>
      <c r="G412" s="21" t="n">
        <v>850</v>
      </c>
      <c r="H412" s="21" t="n">
        <v>850</v>
      </c>
      <c r="I412" s="21" t="n">
        <v>262</v>
      </c>
      <c r="J412" s="30" t="n">
        <v>24182</v>
      </c>
      <c r="K412" s="21" t="n">
        <v>21</v>
      </c>
      <c r="L412" s="14" t="n">
        <f aca="false">MAX(0,F412-E412)</f>
        <v>0</v>
      </c>
      <c r="M412" s="14" t="n">
        <f aca="false">IF(L412&lt;=Assumptions!$B$5,1,0)</f>
        <v>1</v>
      </c>
      <c r="N412" s="14" t="n">
        <f aca="false">IF(H412&gt;=G412,1,0)</f>
        <v>1</v>
      </c>
      <c r="O412" s="14" t="n">
        <f aca="false">M412*N412</f>
        <v>1</v>
      </c>
      <c r="P412" s="15" t="n">
        <f aca="false">L412*Assumptions!$B$6</f>
        <v>0</v>
      </c>
      <c r="Q412" s="31" t="n">
        <f aca="false">IF(I412=0,0,J412/I412)</f>
        <v>92.2977099236641</v>
      </c>
      <c r="R412" s="18" t="n">
        <f aca="false">IF(H412=0,0,K412/H412)</f>
        <v>0.0247058823529412</v>
      </c>
      <c r="S412" s="14" t="n">
        <f aca="false">MONTH(D412)</f>
        <v>5</v>
      </c>
    </row>
    <row r="413" customFormat="false" ht="15" hidden="false" customHeight="false" outlineLevel="0" collapsed="false">
      <c r="A413" s="21" t="s">
        <v>509</v>
      </c>
      <c r="B413" s="21" t="s">
        <v>47</v>
      </c>
      <c r="C413" s="21" t="s">
        <v>54</v>
      </c>
      <c r="D413" s="29" t="n">
        <v>46148</v>
      </c>
      <c r="E413" s="29" t="n">
        <v>46158</v>
      </c>
      <c r="F413" s="29" t="n">
        <v>46159</v>
      </c>
      <c r="G413" s="21" t="n">
        <v>980</v>
      </c>
      <c r="H413" s="21" t="n">
        <v>980</v>
      </c>
      <c r="I413" s="21" t="n">
        <v>446</v>
      </c>
      <c r="J413" s="30" t="n">
        <v>51290</v>
      </c>
      <c r="K413" s="21" t="n">
        <v>25</v>
      </c>
      <c r="L413" s="14" t="n">
        <f aca="false">MAX(0,F413-E413)</f>
        <v>1</v>
      </c>
      <c r="M413" s="14" t="n">
        <f aca="false">IF(L413&lt;=Assumptions!$B$5,1,0)</f>
        <v>0</v>
      </c>
      <c r="N413" s="14" t="n">
        <f aca="false">IF(H413&gt;=G413,1,0)</f>
        <v>1</v>
      </c>
      <c r="O413" s="14" t="n">
        <f aca="false">M413*N413</f>
        <v>0</v>
      </c>
      <c r="P413" s="15" t="n">
        <f aca="false">L413*Assumptions!$B$6</f>
        <v>1500</v>
      </c>
      <c r="Q413" s="31" t="n">
        <f aca="false">IF(I413=0,0,J413/I413)</f>
        <v>115</v>
      </c>
      <c r="R413" s="18" t="n">
        <f aca="false">IF(H413=0,0,K413/H413)</f>
        <v>0.0255102040816327</v>
      </c>
      <c r="S413" s="14" t="n">
        <f aca="false">MONTH(D413)</f>
        <v>5</v>
      </c>
    </row>
    <row r="414" customFormat="false" ht="15" hidden="false" customHeight="false" outlineLevel="0" collapsed="false">
      <c r="A414" s="21" t="s">
        <v>510</v>
      </c>
      <c r="B414" s="21" t="s">
        <v>48</v>
      </c>
      <c r="C414" s="21" t="s">
        <v>53</v>
      </c>
      <c r="D414" s="29" t="n">
        <v>46141</v>
      </c>
      <c r="E414" s="29" t="n">
        <v>46147</v>
      </c>
      <c r="F414" s="29" t="n">
        <v>46147</v>
      </c>
      <c r="G414" s="21" t="n">
        <v>710</v>
      </c>
      <c r="H414" s="21" t="n">
        <v>710</v>
      </c>
      <c r="I414" s="21" t="n">
        <v>57</v>
      </c>
      <c r="J414" s="30" t="n">
        <v>7512</v>
      </c>
      <c r="K414" s="21" t="n">
        <v>5</v>
      </c>
      <c r="L414" s="14" t="n">
        <f aca="false">MAX(0,F414-E414)</f>
        <v>0</v>
      </c>
      <c r="M414" s="14" t="n">
        <f aca="false">IF(L414&lt;=Assumptions!$B$5,1,0)</f>
        <v>1</v>
      </c>
      <c r="N414" s="14" t="n">
        <f aca="false">IF(H414&gt;=G414,1,0)</f>
        <v>1</v>
      </c>
      <c r="O414" s="14" t="n">
        <f aca="false">M414*N414</f>
        <v>1</v>
      </c>
      <c r="P414" s="15" t="n">
        <f aca="false">L414*Assumptions!$B$6</f>
        <v>0</v>
      </c>
      <c r="Q414" s="31" t="n">
        <f aca="false">IF(I414=0,0,J414/I414)</f>
        <v>131.789473684211</v>
      </c>
      <c r="R414" s="18" t="n">
        <f aca="false">IF(H414=0,0,K414/H414)</f>
        <v>0.00704225352112676</v>
      </c>
      <c r="S414" s="14" t="n">
        <f aca="false">MONTH(D414)</f>
        <v>4</v>
      </c>
    </row>
    <row r="415" customFormat="false" ht="15" hidden="false" customHeight="false" outlineLevel="0" collapsed="false">
      <c r="A415" s="21" t="s">
        <v>511</v>
      </c>
      <c r="B415" s="21" t="s">
        <v>49</v>
      </c>
      <c r="C415" s="21" t="s">
        <v>55</v>
      </c>
      <c r="D415" s="29" t="n">
        <v>46125</v>
      </c>
      <c r="E415" s="29" t="n">
        <v>46130</v>
      </c>
      <c r="F415" s="29" t="n">
        <v>46130</v>
      </c>
      <c r="G415" s="21" t="n">
        <v>80</v>
      </c>
      <c r="H415" s="21" t="n">
        <v>80</v>
      </c>
      <c r="I415" s="21" t="n">
        <v>294</v>
      </c>
      <c r="J415" s="30" t="n">
        <v>18742</v>
      </c>
      <c r="K415" s="21" t="n">
        <v>0</v>
      </c>
      <c r="L415" s="14" t="n">
        <f aca="false">MAX(0,F415-E415)</f>
        <v>0</v>
      </c>
      <c r="M415" s="14" t="n">
        <f aca="false">IF(L415&lt;=Assumptions!$B$5,1,0)</f>
        <v>1</v>
      </c>
      <c r="N415" s="14" t="n">
        <f aca="false">IF(H415&gt;=G415,1,0)</f>
        <v>1</v>
      </c>
      <c r="O415" s="14" t="n">
        <f aca="false">M415*N415</f>
        <v>1</v>
      </c>
      <c r="P415" s="15" t="n">
        <f aca="false">L415*Assumptions!$B$6</f>
        <v>0</v>
      </c>
      <c r="Q415" s="31" t="n">
        <f aca="false">IF(I415=0,0,J415/I415)</f>
        <v>63.7482993197279</v>
      </c>
      <c r="R415" s="18" t="n">
        <f aca="false">IF(H415=0,0,K415/H415)</f>
        <v>0</v>
      </c>
      <c r="S415" s="14" t="n">
        <f aca="false">MONTH(D415)</f>
        <v>4</v>
      </c>
    </row>
    <row r="416" customFormat="false" ht="15" hidden="false" customHeight="false" outlineLevel="0" collapsed="false">
      <c r="A416" s="21" t="s">
        <v>512</v>
      </c>
      <c r="B416" s="21" t="s">
        <v>47</v>
      </c>
      <c r="C416" s="21" t="s">
        <v>53</v>
      </c>
      <c r="D416" s="29" t="n">
        <v>46062</v>
      </c>
      <c r="E416" s="29" t="n">
        <v>46065</v>
      </c>
      <c r="F416" s="29" t="n">
        <v>46065</v>
      </c>
      <c r="G416" s="21" t="n">
        <v>630</v>
      </c>
      <c r="H416" s="21" t="n">
        <v>630</v>
      </c>
      <c r="I416" s="21" t="n">
        <v>58</v>
      </c>
      <c r="J416" s="30" t="n">
        <v>6847</v>
      </c>
      <c r="K416" s="21" t="n">
        <v>21</v>
      </c>
      <c r="L416" s="14" t="n">
        <f aca="false">MAX(0,F416-E416)</f>
        <v>0</v>
      </c>
      <c r="M416" s="14" t="n">
        <f aca="false">IF(L416&lt;=Assumptions!$B$5,1,0)</f>
        <v>1</v>
      </c>
      <c r="N416" s="14" t="n">
        <f aca="false">IF(H416&gt;=G416,1,0)</f>
        <v>1</v>
      </c>
      <c r="O416" s="14" t="n">
        <f aca="false">M416*N416</f>
        <v>1</v>
      </c>
      <c r="P416" s="15" t="n">
        <f aca="false">L416*Assumptions!$B$6</f>
        <v>0</v>
      </c>
      <c r="Q416" s="31" t="n">
        <f aca="false">IF(I416=0,0,J416/I416)</f>
        <v>118.051724137931</v>
      </c>
      <c r="R416" s="18" t="n">
        <f aca="false">IF(H416=0,0,K416/H416)</f>
        <v>0.0333333333333333</v>
      </c>
      <c r="S416" s="14" t="n">
        <f aca="false">MONTH(D416)</f>
        <v>2</v>
      </c>
    </row>
    <row r="417" customFormat="false" ht="15" hidden="false" customHeight="false" outlineLevel="0" collapsed="false">
      <c r="A417" s="21" t="s">
        <v>513</v>
      </c>
      <c r="B417" s="21" t="s">
        <v>49</v>
      </c>
      <c r="C417" s="21" t="s">
        <v>53</v>
      </c>
      <c r="D417" s="29" t="n">
        <v>46254</v>
      </c>
      <c r="E417" s="29" t="n">
        <v>46264</v>
      </c>
      <c r="F417" s="29" t="n">
        <v>46264</v>
      </c>
      <c r="G417" s="21" t="n">
        <v>520</v>
      </c>
      <c r="H417" s="21" t="n">
        <v>520</v>
      </c>
      <c r="I417" s="21" t="n">
        <v>23</v>
      </c>
      <c r="J417" s="30" t="n">
        <v>2858</v>
      </c>
      <c r="K417" s="21" t="n">
        <v>4</v>
      </c>
      <c r="L417" s="14" t="n">
        <f aca="false">MAX(0,F417-E417)</f>
        <v>0</v>
      </c>
      <c r="M417" s="14" t="n">
        <f aca="false">IF(L417&lt;=Assumptions!$B$5,1,0)</f>
        <v>1</v>
      </c>
      <c r="N417" s="14" t="n">
        <f aca="false">IF(H417&gt;=G417,1,0)</f>
        <v>1</v>
      </c>
      <c r="O417" s="14" t="n">
        <f aca="false">M417*N417</f>
        <v>1</v>
      </c>
      <c r="P417" s="15" t="n">
        <f aca="false">L417*Assumptions!$B$6</f>
        <v>0</v>
      </c>
      <c r="Q417" s="31" t="n">
        <f aca="false">IF(I417=0,0,J417/I417)</f>
        <v>124.260869565217</v>
      </c>
      <c r="R417" s="18" t="n">
        <f aca="false">IF(H417=0,0,K417/H417)</f>
        <v>0.00769230769230769</v>
      </c>
      <c r="S417" s="14" t="n">
        <f aca="false">MONTH(D417)</f>
        <v>8</v>
      </c>
    </row>
    <row r="418" customFormat="false" ht="15" hidden="false" customHeight="false" outlineLevel="0" collapsed="false">
      <c r="A418" s="21" t="s">
        <v>514</v>
      </c>
      <c r="B418" s="21" t="s">
        <v>45</v>
      </c>
      <c r="C418" s="21" t="s">
        <v>53</v>
      </c>
      <c r="D418" s="29" t="n">
        <v>46265</v>
      </c>
      <c r="E418" s="29" t="n">
        <v>46272</v>
      </c>
      <c r="F418" s="29" t="n">
        <v>46271</v>
      </c>
      <c r="G418" s="21" t="n">
        <v>740</v>
      </c>
      <c r="H418" s="21" t="n">
        <v>740</v>
      </c>
      <c r="I418" s="21" t="n">
        <v>22</v>
      </c>
      <c r="J418" s="30" t="n">
        <v>3682</v>
      </c>
      <c r="K418" s="21" t="n">
        <v>2</v>
      </c>
      <c r="L418" s="14" t="n">
        <f aca="false">MAX(0,F418-E418)</f>
        <v>0</v>
      </c>
      <c r="M418" s="14" t="n">
        <f aca="false">IF(L418&lt;=Assumptions!$B$5,1,0)</f>
        <v>1</v>
      </c>
      <c r="N418" s="14" t="n">
        <f aca="false">IF(H418&gt;=G418,1,0)</f>
        <v>1</v>
      </c>
      <c r="O418" s="14" t="n">
        <f aca="false">M418*N418</f>
        <v>1</v>
      </c>
      <c r="P418" s="15" t="n">
        <f aca="false">L418*Assumptions!$B$6</f>
        <v>0</v>
      </c>
      <c r="Q418" s="31" t="n">
        <f aca="false">IF(I418=0,0,J418/I418)</f>
        <v>167.363636363636</v>
      </c>
      <c r="R418" s="18" t="n">
        <f aca="false">IF(H418=0,0,K418/H418)</f>
        <v>0.0027027027027027</v>
      </c>
      <c r="S418" s="14" t="n">
        <f aca="false">MONTH(D418)</f>
        <v>8</v>
      </c>
    </row>
    <row r="419" customFormat="false" ht="15" hidden="false" customHeight="false" outlineLevel="0" collapsed="false">
      <c r="A419" s="21" t="s">
        <v>515</v>
      </c>
      <c r="B419" s="21" t="s">
        <v>50</v>
      </c>
      <c r="C419" s="21" t="s">
        <v>53</v>
      </c>
      <c r="D419" s="29" t="n">
        <v>46058</v>
      </c>
      <c r="E419" s="29" t="n">
        <v>46062</v>
      </c>
      <c r="F419" s="29" t="n">
        <v>46062</v>
      </c>
      <c r="G419" s="21" t="n">
        <v>550</v>
      </c>
      <c r="H419" s="21" t="n">
        <v>550</v>
      </c>
      <c r="I419" s="21" t="n">
        <v>31</v>
      </c>
      <c r="J419" s="30" t="n">
        <v>5496</v>
      </c>
      <c r="K419" s="21" t="n">
        <v>0</v>
      </c>
      <c r="L419" s="14" t="n">
        <f aca="false">MAX(0,F419-E419)</f>
        <v>0</v>
      </c>
      <c r="M419" s="14" t="n">
        <f aca="false">IF(L419&lt;=Assumptions!$B$5,1,0)</f>
        <v>1</v>
      </c>
      <c r="N419" s="14" t="n">
        <f aca="false">IF(H419&gt;=G419,1,0)</f>
        <v>1</v>
      </c>
      <c r="O419" s="14" t="n">
        <f aca="false">M419*N419</f>
        <v>1</v>
      </c>
      <c r="P419" s="15" t="n">
        <f aca="false">L419*Assumptions!$B$6</f>
        <v>0</v>
      </c>
      <c r="Q419" s="31" t="n">
        <f aca="false">IF(I419=0,0,J419/I419)</f>
        <v>177.290322580645</v>
      </c>
      <c r="R419" s="18" t="n">
        <f aca="false">IF(H419=0,0,K419/H419)</f>
        <v>0</v>
      </c>
      <c r="S419" s="14" t="n">
        <f aca="false">MONTH(D419)</f>
        <v>2</v>
      </c>
    </row>
    <row r="420" customFormat="false" ht="15" hidden="false" customHeight="false" outlineLevel="0" collapsed="false">
      <c r="A420" s="21" t="s">
        <v>516</v>
      </c>
      <c r="B420" s="21" t="s">
        <v>48</v>
      </c>
      <c r="C420" s="21" t="s">
        <v>56</v>
      </c>
      <c r="D420" s="29" t="n">
        <v>46141</v>
      </c>
      <c r="E420" s="29" t="n">
        <v>46151</v>
      </c>
      <c r="F420" s="29" t="n">
        <v>46151</v>
      </c>
      <c r="G420" s="21" t="n">
        <v>870</v>
      </c>
      <c r="H420" s="21" t="n">
        <v>870</v>
      </c>
      <c r="I420" s="21" t="n">
        <v>197</v>
      </c>
      <c r="J420" s="30" t="n">
        <v>24713</v>
      </c>
      <c r="K420" s="21" t="n">
        <v>30</v>
      </c>
      <c r="L420" s="14" t="n">
        <f aca="false">MAX(0,F420-E420)</f>
        <v>0</v>
      </c>
      <c r="M420" s="14" t="n">
        <f aca="false">IF(L420&lt;=Assumptions!$B$5,1,0)</f>
        <v>1</v>
      </c>
      <c r="N420" s="14" t="n">
        <f aca="false">IF(H420&gt;=G420,1,0)</f>
        <v>1</v>
      </c>
      <c r="O420" s="14" t="n">
        <f aca="false">M420*N420</f>
        <v>1</v>
      </c>
      <c r="P420" s="15" t="n">
        <f aca="false">L420*Assumptions!$B$6</f>
        <v>0</v>
      </c>
      <c r="Q420" s="31" t="n">
        <f aca="false">IF(I420=0,0,J420/I420)</f>
        <v>125.446700507614</v>
      </c>
      <c r="R420" s="18" t="n">
        <f aca="false">IF(H420=0,0,K420/H420)</f>
        <v>0.0344827586206897</v>
      </c>
      <c r="S420" s="14" t="n">
        <f aca="false">MONTH(D420)</f>
        <v>4</v>
      </c>
    </row>
    <row r="421" customFormat="false" ht="15" hidden="false" customHeight="false" outlineLevel="0" collapsed="false">
      <c r="A421" s="21" t="s">
        <v>517</v>
      </c>
      <c r="B421" s="21" t="s">
        <v>50</v>
      </c>
      <c r="C421" s="21" t="s">
        <v>56</v>
      </c>
      <c r="D421" s="29" t="n">
        <v>46133</v>
      </c>
      <c r="E421" s="29" t="n">
        <v>46140</v>
      </c>
      <c r="F421" s="29" t="n">
        <v>46140</v>
      </c>
      <c r="G421" s="21" t="n">
        <v>360</v>
      </c>
      <c r="H421" s="21" t="n">
        <v>360</v>
      </c>
      <c r="I421" s="21" t="n">
        <v>181</v>
      </c>
      <c r="J421" s="30" t="n">
        <v>14697</v>
      </c>
      <c r="K421" s="21" t="n">
        <v>1</v>
      </c>
      <c r="L421" s="14" t="n">
        <f aca="false">MAX(0,F421-E421)</f>
        <v>0</v>
      </c>
      <c r="M421" s="14" t="n">
        <f aca="false">IF(L421&lt;=Assumptions!$B$5,1,0)</f>
        <v>1</v>
      </c>
      <c r="N421" s="14" t="n">
        <f aca="false">IF(H421&gt;=G421,1,0)</f>
        <v>1</v>
      </c>
      <c r="O421" s="14" t="n">
        <f aca="false">M421*N421</f>
        <v>1</v>
      </c>
      <c r="P421" s="15" t="n">
        <f aca="false">L421*Assumptions!$B$6</f>
        <v>0</v>
      </c>
      <c r="Q421" s="31" t="n">
        <f aca="false">IF(I421=0,0,J421/I421)</f>
        <v>81.1988950276243</v>
      </c>
      <c r="R421" s="18" t="n">
        <f aca="false">IF(H421=0,0,K421/H421)</f>
        <v>0.00277777777777778</v>
      </c>
      <c r="S421" s="14" t="n">
        <f aca="false">MONTH(D421)</f>
        <v>4</v>
      </c>
    </row>
    <row r="422" customFormat="false" ht="15" hidden="false" customHeight="false" outlineLevel="0" collapsed="false">
      <c r="A422" s="21" t="s">
        <v>518</v>
      </c>
      <c r="B422" s="21" t="s">
        <v>45</v>
      </c>
      <c r="C422" s="21" t="s">
        <v>53</v>
      </c>
      <c r="D422" s="29" t="n">
        <v>46066</v>
      </c>
      <c r="E422" s="29" t="n">
        <v>46070</v>
      </c>
      <c r="F422" s="29" t="n">
        <v>46070</v>
      </c>
      <c r="G422" s="21" t="n">
        <v>60</v>
      </c>
      <c r="H422" s="21" t="n">
        <v>60</v>
      </c>
      <c r="I422" s="21" t="n">
        <v>55</v>
      </c>
      <c r="J422" s="30" t="n">
        <v>4871</v>
      </c>
      <c r="K422" s="21" t="n">
        <v>0</v>
      </c>
      <c r="L422" s="14" t="n">
        <f aca="false">MAX(0,F422-E422)</f>
        <v>0</v>
      </c>
      <c r="M422" s="14" t="n">
        <f aca="false">IF(L422&lt;=Assumptions!$B$5,1,0)</f>
        <v>1</v>
      </c>
      <c r="N422" s="14" t="n">
        <f aca="false">IF(H422&gt;=G422,1,0)</f>
        <v>1</v>
      </c>
      <c r="O422" s="14" t="n">
        <f aca="false">M422*N422</f>
        <v>1</v>
      </c>
      <c r="P422" s="15" t="n">
        <f aca="false">L422*Assumptions!$B$6</f>
        <v>0</v>
      </c>
      <c r="Q422" s="31" t="n">
        <f aca="false">IF(I422=0,0,J422/I422)</f>
        <v>88.5636363636364</v>
      </c>
      <c r="R422" s="18" t="n">
        <f aca="false">IF(H422=0,0,K422/H422)</f>
        <v>0</v>
      </c>
      <c r="S422" s="14" t="n">
        <f aca="false">MONTH(D422)</f>
        <v>2</v>
      </c>
    </row>
    <row r="423" customFormat="false" ht="15" hidden="false" customHeight="false" outlineLevel="0" collapsed="false">
      <c r="A423" s="21" t="s">
        <v>519</v>
      </c>
      <c r="B423" s="21" t="s">
        <v>48</v>
      </c>
      <c r="C423" s="21" t="s">
        <v>54</v>
      </c>
      <c r="D423" s="29" t="n">
        <v>46047</v>
      </c>
      <c r="E423" s="29" t="n">
        <v>46051</v>
      </c>
      <c r="F423" s="29" t="n">
        <v>46051</v>
      </c>
      <c r="G423" s="21" t="n">
        <v>790</v>
      </c>
      <c r="H423" s="21" t="n">
        <v>790</v>
      </c>
      <c r="I423" s="21" t="n">
        <v>505</v>
      </c>
      <c r="J423" s="30" t="n">
        <v>36033</v>
      </c>
      <c r="K423" s="21" t="n">
        <v>7</v>
      </c>
      <c r="L423" s="14" t="n">
        <f aca="false">MAX(0,F423-E423)</f>
        <v>0</v>
      </c>
      <c r="M423" s="14" t="n">
        <f aca="false">IF(L423&lt;=Assumptions!$B$5,1,0)</f>
        <v>1</v>
      </c>
      <c r="N423" s="14" t="n">
        <f aca="false">IF(H423&gt;=G423,1,0)</f>
        <v>1</v>
      </c>
      <c r="O423" s="14" t="n">
        <f aca="false">M423*N423</f>
        <v>1</v>
      </c>
      <c r="P423" s="15" t="n">
        <f aca="false">L423*Assumptions!$B$6</f>
        <v>0</v>
      </c>
      <c r="Q423" s="31" t="n">
        <f aca="false">IF(I423=0,0,J423/I423)</f>
        <v>71.3524752475248</v>
      </c>
      <c r="R423" s="18" t="n">
        <f aca="false">IF(H423=0,0,K423/H423)</f>
        <v>0.00886075949367089</v>
      </c>
      <c r="S423" s="14" t="n">
        <f aca="false">MONTH(D423)</f>
        <v>1</v>
      </c>
    </row>
    <row r="424" customFormat="false" ht="15" hidden="false" customHeight="false" outlineLevel="0" collapsed="false">
      <c r="A424" s="21" t="s">
        <v>520</v>
      </c>
      <c r="B424" s="21" t="s">
        <v>47</v>
      </c>
      <c r="C424" s="21" t="s">
        <v>54</v>
      </c>
      <c r="D424" s="29" t="n">
        <v>46030</v>
      </c>
      <c r="E424" s="29" t="n">
        <v>46033</v>
      </c>
      <c r="F424" s="29" t="n">
        <v>46033</v>
      </c>
      <c r="G424" s="21" t="n">
        <v>700</v>
      </c>
      <c r="H424" s="21" t="n">
        <v>700</v>
      </c>
      <c r="I424" s="21" t="n">
        <v>443</v>
      </c>
      <c r="J424" s="30" t="n">
        <v>45164</v>
      </c>
      <c r="K424" s="21" t="n">
        <v>27</v>
      </c>
      <c r="L424" s="14" t="n">
        <f aca="false">MAX(0,F424-E424)</f>
        <v>0</v>
      </c>
      <c r="M424" s="14" t="n">
        <f aca="false">IF(L424&lt;=Assumptions!$B$5,1,0)</f>
        <v>1</v>
      </c>
      <c r="N424" s="14" t="n">
        <f aca="false">IF(H424&gt;=G424,1,0)</f>
        <v>1</v>
      </c>
      <c r="O424" s="14" t="n">
        <f aca="false">M424*N424</f>
        <v>1</v>
      </c>
      <c r="P424" s="15" t="n">
        <f aca="false">L424*Assumptions!$B$6</f>
        <v>0</v>
      </c>
      <c r="Q424" s="31" t="n">
        <f aca="false">IF(I424=0,0,J424/I424)</f>
        <v>101.950338600451</v>
      </c>
      <c r="R424" s="18" t="n">
        <f aca="false">IF(H424=0,0,K424/H424)</f>
        <v>0.0385714285714286</v>
      </c>
      <c r="S424" s="14" t="n">
        <f aca="false">MONTH(D424)</f>
        <v>1</v>
      </c>
    </row>
    <row r="425" customFormat="false" ht="15" hidden="false" customHeight="false" outlineLevel="0" collapsed="false">
      <c r="A425" s="21" t="s">
        <v>521</v>
      </c>
      <c r="B425" s="21" t="s">
        <v>47</v>
      </c>
      <c r="C425" s="21" t="s">
        <v>57</v>
      </c>
      <c r="D425" s="29" t="n">
        <v>46268</v>
      </c>
      <c r="E425" s="29" t="n">
        <v>46277</v>
      </c>
      <c r="F425" s="29" t="n">
        <v>46280</v>
      </c>
      <c r="G425" s="21" t="n">
        <v>480</v>
      </c>
      <c r="H425" s="21" t="n">
        <v>480</v>
      </c>
      <c r="I425" s="21" t="n">
        <v>265</v>
      </c>
      <c r="J425" s="30" t="n">
        <v>24656</v>
      </c>
      <c r="K425" s="21" t="n">
        <v>23</v>
      </c>
      <c r="L425" s="14" t="n">
        <f aca="false">MAX(0,F425-E425)</f>
        <v>3</v>
      </c>
      <c r="M425" s="14" t="n">
        <f aca="false">IF(L425&lt;=Assumptions!$B$5,1,0)</f>
        <v>0</v>
      </c>
      <c r="N425" s="14" t="n">
        <f aca="false">IF(H425&gt;=G425,1,0)</f>
        <v>1</v>
      </c>
      <c r="O425" s="14" t="n">
        <f aca="false">M425*N425</f>
        <v>0</v>
      </c>
      <c r="P425" s="15" t="n">
        <f aca="false">L425*Assumptions!$B$6</f>
        <v>4500</v>
      </c>
      <c r="Q425" s="31" t="n">
        <f aca="false">IF(I425=0,0,J425/I425)</f>
        <v>93.0415094339623</v>
      </c>
      <c r="R425" s="18" t="n">
        <f aca="false">IF(H425=0,0,K425/H425)</f>
        <v>0.0479166666666667</v>
      </c>
      <c r="S425" s="14" t="n">
        <f aca="false">MONTH(D425)</f>
        <v>9</v>
      </c>
    </row>
    <row r="426" customFormat="false" ht="15" hidden="false" customHeight="false" outlineLevel="0" collapsed="false">
      <c r="A426" s="21" t="s">
        <v>522</v>
      </c>
      <c r="B426" s="21" t="s">
        <v>48</v>
      </c>
      <c r="C426" s="21" t="s">
        <v>53</v>
      </c>
      <c r="D426" s="29" t="n">
        <v>46097</v>
      </c>
      <c r="E426" s="29" t="n">
        <v>46103</v>
      </c>
      <c r="F426" s="29" t="n">
        <v>46103</v>
      </c>
      <c r="G426" s="21" t="n">
        <v>930</v>
      </c>
      <c r="H426" s="21" t="n">
        <v>808</v>
      </c>
      <c r="I426" s="21" t="n">
        <v>54</v>
      </c>
      <c r="J426" s="30" t="n">
        <v>5939</v>
      </c>
      <c r="K426" s="21" t="n">
        <v>14</v>
      </c>
      <c r="L426" s="14" t="n">
        <f aca="false">MAX(0,F426-E426)</f>
        <v>0</v>
      </c>
      <c r="M426" s="14" t="n">
        <f aca="false">IF(L426&lt;=Assumptions!$B$5,1,0)</f>
        <v>1</v>
      </c>
      <c r="N426" s="14" t="n">
        <f aca="false">IF(H426&gt;=G426,1,0)</f>
        <v>0</v>
      </c>
      <c r="O426" s="14" t="n">
        <f aca="false">M426*N426</f>
        <v>0</v>
      </c>
      <c r="P426" s="15" t="n">
        <f aca="false">L426*Assumptions!$B$6</f>
        <v>0</v>
      </c>
      <c r="Q426" s="31" t="n">
        <f aca="false">IF(I426=0,0,J426/I426)</f>
        <v>109.981481481481</v>
      </c>
      <c r="R426" s="18" t="n">
        <f aca="false">IF(H426=0,0,K426/H426)</f>
        <v>0.0173267326732673</v>
      </c>
      <c r="S426" s="14" t="n">
        <f aca="false">MONTH(D426)</f>
        <v>3</v>
      </c>
    </row>
    <row r="427" customFormat="false" ht="15" hidden="false" customHeight="false" outlineLevel="0" collapsed="false">
      <c r="A427" s="21" t="s">
        <v>523</v>
      </c>
      <c r="B427" s="21" t="s">
        <v>45</v>
      </c>
      <c r="C427" s="21" t="s">
        <v>56</v>
      </c>
      <c r="D427" s="29" t="n">
        <v>46074</v>
      </c>
      <c r="E427" s="29" t="n">
        <v>46077</v>
      </c>
      <c r="F427" s="29" t="n">
        <v>46077</v>
      </c>
      <c r="G427" s="21" t="n">
        <v>330</v>
      </c>
      <c r="H427" s="21" t="n">
        <v>307</v>
      </c>
      <c r="I427" s="21" t="n">
        <v>179</v>
      </c>
      <c r="J427" s="30" t="n">
        <v>17440</v>
      </c>
      <c r="K427" s="21" t="n">
        <v>6</v>
      </c>
      <c r="L427" s="14" t="n">
        <f aca="false">MAX(0,F427-E427)</f>
        <v>0</v>
      </c>
      <c r="M427" s="14" t="n">
        <f aca="false">IF(L427&lt;=Assumptions!$B$5,1,0)</f>
        <v>1</v>
      </c>
      <c r="N427" s="14" t="n">
        <f aca="false">IF(H427&gt;=G427,1,0)</f>
        <v>0</v>
      </c>
      <c r="O427" s="14" t="n">
        <f aca="false">M427*N427</f>
        <v>0</v>
      </c>
      <c r="P427" s="15" t="n">
        <f aca="false">L427*Assumptions!$B$6</f>
        <v>0</v>
      </c>
      <c r="Q427" s="31" t="n">
        <f aca="false">IF(I427=0,0,J427/I427)</f>
        <v>97.4301675977654</v>
      </c>
      <c r="R427" s="18" t="n">
        <f aca="false">IF(H427=0,0,K427/H427)</f>
        <v>0.0195439739413681</v>
      </c>
      <c r="S427" s="14" t="n">
        <f aca="false">MONTH(D427)</f>
        <v>2</v>
      </c>
    </row>
    <row r="428" customFormat="false" ht="15" hidden="false" customHeight="false" outlineLevel="0" collapsed="false">
      <c r="A428" s="21" t="s">
        <v>524</v>
      </c>
      <c r="B428" s="21" t="s">
        <v>46</v>
      </c>
      <c r="C428" s="21" t="s">
        <v>53</v>
      </c>
      <c r="D428" s="29" t="n">
        <v>46131</v>
      </c>
      <c r="E428" s="29" t="n">
        <v>46138</v>
      </c>
      <c r="F428" s="29" t="n">
        <v>46138</v>
      </c>
      <c r="G428" s="21" t="n">
        <v>940</v>
      </c>
      <c r="H428" s="21" t="n">
        <v>940</v>
      </c>
      <c r="I428" s="21" t="n">
        <v>28</v>
      </c>
      <c r="J428" s="30" t="n">
        <v>6990</v>
      </c>
      <c r="K428" s="21" t="n">
        <v>19</v>
      </c>
      <c r="L428" s="14" t="n">
        <f aca="false">MAX(0,F428-E428)</f>
        <v>0</v>
      </c>
      <c r="M428" s="14" t="n">
        <f aca="false">IF(L428&lt;=Assumptions!$B$5,1,0)</f>
        <v>1</v>
      </c>
      <c r="N428" s="14" t="n">
        <f aca="false">IF(H428&gt;=G428,1,0)</f>
        <v>1</v>
      </c>
      <c r="O428" s="14" t="n">
        <f aca="false">M428*N428</f>
        <v>1</v>
      </c>
      <c r="P428" s="15" t="n">
        <f aca="false">L428*Assumptions!$B$6</f>
        <v>0</v>
      </c>
      <c r="Q428" s="31" t="n">
        <f aca="false">IF(I428=0,0,J428/I428)</f>
        <v>249.642857142857</v>
      </c>
      <c r="R428" s="18" t="n">
        <f aca="false">IF(H428=0,0,K428/H428)</f>
        <v>0.0202127659574468</v>
      </c>
      <c r="S428" s="14" t="n">
        <f aca="false">MONTH(D428)</f>
        <v>4</v>
      </c>
    </row>
    <row r="429" customFormat="false" ht="15" hidden="false" customHeight="false" outlineLevel="0" collapsed="false">
      <c r="A429" s="21" t="s">
        <v>525</v>
      </c>
      <c r="B429" s="21" t="s">
        <v>48</v>
      </c>
      <c r="C429" s="21" t="s">
        <v>55</v>
      </c>
      <c r="D429" s="29" t="n">
        <v>46224</v>
      </c>
      <c r="E429" s="29" t="n">
        <v>46229</v>
      </c>
      <c r="F429" s="29" t="n">
        <v>46230</v>
      </c>
      <c r="G429" s="21" t="n">
        <v>810</v>
      </c>
      <c r="H429" s="21" t="n">
        <v>810</v>
      </c>
      <c r="I429" s="21" t="n">
        <v>298</v>
      </c>
      <c r="J429" s="30" t="n">
        <v>26123</v>
      </c>
      <c r="K429" s="21" t="n">
        <v>1</v>
      </c>
      <c r="L429" s="14" t="n">
        <f aca="false">MAX(0,F429-E429)</f>
        <v>1</v>
      </c>
      <c r="M429" s="14" t="n">
        <f aca="false">IF(L429&lt;=Assumptions!$B$5,1,0)</f>
        <v>0</v>
      </c>
      <c r="N429" s="14" t="n">
        <f aca="false">IF(H429&gt;=G429,1,0)</f>
        <v>1</v>
      </c>
      <c r="O429" s="14" t="n">
        <f aca="false">M429*N429</f>
        <v>0</v>
      </c>
      <c r="P429" s="15" t="n">
        <f aca="false">L429*Assumptions!$B$6</f>
        <v>1500</v>
      </c>
      <c r="Q429" s="31" t="n">
        <f aca="false">IF(I429=0,0,J429/I429)</f>
        <v>87.6610738255034</v>
      </c>
      <c r="R429" s="18" t="n">
        <f aca="false">IF(H429=0,0,K429/H429)</f>
        <v>0.00123456790123457</v>
      </c>
      <c r="S429" s="14" t="n">
        <f aca="false">MONTH(D429)</f>
        <v>7</v>
      </c>
    </row>
    <row r="430" customFormat="false" ht="15" hidden="false" customHeight="false" outlineLevel="0" collapsed="false">
      <c r="A430" s="21" t="s">
        <v>526</v>
      </c>
      <c r="B430" s="21" t="s">
        <v>48</v>
      </c>
      <c r="C430" s="21" t="s">
        <v>58</v>
      </c>
      <c r="D430" s="29" t="n">
        <v>46248</v>
      </c>
      <c r="E430" s="29" t="n">
        <v>46256</v>
      </c>
      <c r="F430" s="29" t="n">
        <v>46255</v>
      </c>
      <c r="G430" s="21" t="n">
        <v>80</v>
      </c>
      <c r="H430" s="21" t="n">
        <v>72</v>
      </c>
      <c r="I430" s="21" t="n">
        <v>225</v>
      </c>
      <c r="J430" s="30" t="n">
        <v>15784</v>
      </c>
      <c r="K430" s="21" t="n">
        <v>3</v>
      </c>
      <c r="L430" s="14" t="n">
        <f aca="false">MAX(0,F430-E430)</f>
        <v>0</v>
      </c>
      <c r="M430" s="14" t="n">
        <f aca="false">IF(L430&lt;=Assumptions!$B$5,1,0)</f>
        <v>1</v>
      </c>
      <c r="N430" s="14" t="n">
        <f aca="false">IF(H430&gt;=G430,1,0)</f>
        <v>0</v>
      </c>
      <c r="O430" s="14" t="n">
        <f aca="false">M430*N430</f>
        <v>0</v>
      </c>
      <c r="P430" s="15" t="n">
        <f aca="false">L430*Assumptions!$B$6</f>
        <v>0</v>
      </c>
      <c r="Q430" s="31" t="n">
        <f aca="false">IF(I430=0,0,J430/I430)</f>
        <v>70.1511111111111</v>
      </c>
      <c r="R430" s="18" t="n">
        <f aca="false">IF(H430=0,0,K430/H430)</f>
        <v>0.0416666666666667</v>
      </c>
      <c r="S430" s="14" t="n">
        <f aca="false">MONTH(D430)</f>
        <v>8</v>
      </c>
    </row>
    <row r="431" customFormat="false" ht="15" hidden="false" customHeight="false" outlineLevel="0" collapsed="false">
      <c r="A431" s="21" t="s">
        <v>527</v>
      </c>
      <c r="B431" s="21" t="s">
        <v>49</v>
      </c>
      <c r="C431" s="21" t="s">
        <v>56</v>
      </c>
      <c r="D431" s="29" t="n">
        <v>46122</v>
      </c>
      <c r="E431" s="29" t="n">
        <v>46126</v>
      </c>
      <c r="F431" s="29" t="n">
        <v>46125</v>
      </c>
      <c r="G431" s="21" t="n">
        <v>720</v>
      </c>
      <c r="H431" s="21" t="n">
        <v>720</v>
      </c>
      <c r="I431" s="21" t="n">
        <v>175</v>
      </c>
      <c r="J431" s="30" t="n">
        <v>15022</v>
      </c>
      <c r="K431" s="21" t="n">
        <v>1</v>
      </c>
      <c r="L431" s="14" t="n">
        <f aca="false">MAX(0,F431-E431)</f>
        <v>0</v>
      </c>
      <c r="M431" s="14" t="n">
        <f aca="false">IF(L431&lt;=Assumptions!$B$5,1,0)</f>
        <v>1</v>
      </c>
      <c r="N431" s="14" t="n">
        <f aca="false">IF(H431&gt;=G431,1,0)</f>
        <v>1</v>
      </c>
      <c r="O431" s="14" t="n">
        <f aca="false">M431*N431</f>
        <v>1</v>
      </c>
      <c r="P431" s="15" t="n">
        <f aca="false">L431*Assumptions!$B$6</f>
        <v>0</v>
      </c>
      <c r="Q431" s="31" t="n">
        <f aca="false">IF(I431=0,0,J431/I431)</f>
        <v>85.84</v>
      </c>
      <c r="R431" s="18" t="n">
        <f aca="false">IF(H431=0,0,K431/H431)</f>
        <v>0.00138888888888889</v>
      </c>
      <c r="S431" s="14" t="n">
        <f aca="false">MONTH(D431)</f>
        <v>4</v>
      </c>
    </row>
    <row r="432" customFormat="false" ht="15" hidden="false" customHeight="false" outlineLevel="0" collapsed="false">
      <c r="A432" s="21" t="s">
        <v>528</v>
      </c>
      <c r="B432" s="21" t="s">
        <v>49</v>
      </c>
      <c r="C432" s="21" t="s">
        <v>54</v>
      </c>
      <c r="D432" s="29" t="n">
        <v>46189</v>
      </c>
      <c r="E432" s="29" t="n">
        <v>46192</v>
      </c>
      <c r="F432" s="29" t="n">
        <v>46192</v>
      </c>
      <c r="G432" s="21" t="n">
        <v>130</v>
      </c>
      <c r="H432" s="21" t="n">
        <v>130</v>
      </c>
      <c r="I432" s="21" t="n">
        <v>439</v>
      </c>
      <c r="J432" s="30" t="n">
        <v>26771</v>
      </c>
      <c r="K432" s="21" t="n">
        <v>1</v>
      </c>
      <c r="L432" s="14" t="n">
        <f aca="false">MAX(0,F432-E432)</f>
        <v>0</v>
      </c>
      <c r="M432" s="14" t="n">
        <f aca="false">IF(L432&lt;=Assumptions!$B$5,1,0)</f>
        <v>1</v>
      </c>
      <c r="N432" s="14" t="n">
        <f aca="false">IF(H432&gt;=G432,1,0)</f>
        <v>1</v>
      </c>
      <c r="O432" s="14" t="n">
        <f aca="false">M432*N432</f>
        <v>1</v>
      </c>
      <c r="P432" s="15" t="n">
        <f aca="false">L432*Assumptions!$B$6</f>
        <v>0</v>
      </c>
      <c r="Q432" s="31" t="n">
        <f aca="false">IF(I432=0,0,J432/I432)</f>
        <v>60.9817767653759</v>
      </c>
      <c r="R432" s="18" t="n">
        <f aca="false">IF(H432=0,0,K432/H432)</f>
        <v>0.00769230769230769</v>
      </c>
      <c r="S432" s="14" t="n">
        <f aca="false">MONTH(D432)</f>
        <v>6</v>
      </c>
    </row>
    <row r="433" customFormat="false" ht="15" hidden="false" customHeight="false" outlineLevel="0" collapsed="false">
      <c r="A433" s="21" t="s">
        <v>529</v>
      </c>
      <c r="B433" s="21" t="s">
        <v>50</v>
      </c>
      <c r="C433" s="21" t="s">
        <v>56</v>
      </c>
      <c r="D433" s="29" t="n">
        <v>46036</v>
      </c>
      <c r="E433" s="29" t="n">
        <v>46041</v>
      </c>
      <c r="F433" s="29" t="n">
        <v>46041</v>
      </c>
      <c r="G433" s="21" t="n">
        <v>530</v>
      </c>
      <c r="H433" s="21" t="n">
        <v>530</v>
      </c>
      <c r="I433" s="21" t="n">
        <v>198</v>
      </c>
      <c r="J433" s="30" t="n">
        <v>23820</v>
      </c>
      <c r="K433" s="21" t="n">
        <v>7</v>
      </c>
      <c r="L433" s="14" t="n">
        <f aca="false">MAX(0,F433-E433)</f>
        <v>0</v>
      </c>
      <c r="M433" s="14" t="n">
        <f aca="false">IF(L433&lt;=Assumptions!$B$5,1,0)</f>
        <v>1</v>
      </c>
      <c r="N433" s="14" t="n">
        <f aca="false">IF(H433&gt;=G433,1,0)</f>
        <v>1</v>
      </c>
      <c r="O433" s="14" t="n">
        <f aca="false">M433*N433</f>
        <v>1</v>
      </c>
      <c r="P433" s="15" t="n">
        <f aca="false">L433*Assumptions!$B$6</f>
        <v>0</v>
      </c>
      <c r="Q433" s="31" t="n">
        <f aca="false">IF(I433=0,0,J433/I433)</f>
        <v>120.30303030303</v>
      </c>
      <c r="R433" s="18" t="n">
        <f aca="false">IF(H433=0,0,K433/H433)</f>
        <v>0.0132075471698113</v>
      </c>
      <c r="S433" s="14" t="n">
        <f aca="false">MONTH(D433)</f>
        <v>1</v>
      </c>
    </row>
    <row r="434" customFormat="false" ht="15" hidden="false" customHeight="false" outlineLevel="0" collapsed="false">
      <c r="A434" s="21" t="s">
        <v>530</v>
      </c>
      <c r="B434" s="21" t="s">
        <v>46</v>
      </c>
      <c r="C434" s="21" t="s">
        <v>55</v>
      </c>
      <c r="D434" s="29" t="n">
        <v>46256</v>
      </c>
      <c r="E434" s="29" t="n">
        <v>46264</v>
      </c>
      <c r="F434" s="29" t="n">
        <v>46264</v>
      </c>
      <c r="G434" s="21" t="n">
        <v>90</v>
      </c>
      <c r="H434" s="21" t="n">
        <v>90</v>
      </c>
      <c r="I434" s="21" t="n">
        <v>356</v>
      </c>
      <c r="J434" s="30" t="n">
        <v>30035</v>
      </c>
      <c r="K434" s="21" t="n">
        <v>0</v>
      </c>
      <c r="L434" s="14" t="n">
        <f aca="false">MAX(0,F434-E434)</f>
        <v>0</v>
      </c>
      <c r="M434" s="14" t="n">
        <f aca="false">IF(L434&lt;=Assumptions!$B$5,1,0)</f>
        <v>1</v>
      </c>
      <c r="N434" s="14" t="n">
        <f aca="false">IF(H434&gt;=G434,1,0)</f>
        <v>1</v>
      </c>
      <c r="O434" s="14" t="n">
        <f aca="false">M434*N434</f>
        <v>1</v>
      </c>
      <c r="P434" s="15" t="n">
        <f aca="false">L434*Assumptions!$B$6</f>
        <v>0</v>
      </c>
      <c r="Q434" s="31" t="n">
        <f aca="false">IF(I434=0,0,J434/I434)</f>
        <v>84.3679775280899</v>
      </c>
      <c r="R434" s="18" t="n">
        <f aca="false">IF(H434=0,0,K434/H434)</f>
        <v>0</v>
      </c>
      <c r="S434" s="14" t="n">
        <f aca="false">MONTH(D434)</f>
        <v>8</v>
      </c>
    </row>
    <row r="435" customFormat="false" ht="15" hidden="false" customHeight="false" outlineLevel="0" collapsed="false">
      <c r="A435" s="21" t="s">
        <v>531</v>
      </c>
      <c r="B435" s="21" t="s">
        <v>45</v>
      </c>
      <c r="C435" s="21" t="s">
        <v>53</v>
      </c>
      <c r="D435" s="29" t="n">
        <v>46095</v>
      </c>
      <c r="E435" s="29" t="n">
        <v>46104</v>
      </c>
      <c r="F435" s="29" t="n">
        <v>46106</v>
      </c>
      <c r="G435" s="21" t="n">
        <v>520</v>
      </c>
      <c r="H435" s="21" t="n">
        <v>520</v>
      </c>
      <c r="I435" s="21" t="n">
        <v>27</v>
      </c>
      <c r="J435" s="30" t="n">
        <v>3278</v>
      </c>
      <c r="K435" s="21" t="n">
        <v>9</v>
      </c>
      <c r="L435" s="14" t="n">
        <f aca="false">MAX(0,F435-E435)</f>
        <v>2</v>
      </c>
      <c r="M435" s="14" t="n">
        <f aca="false">IF(L435&lt;=Assumptions!$B$5,1,0)</f>
        <v>0</v>
      </c>
      <c r="N435" s="14" t="n">
        <f aca="false">IF(H435&gt;=G435,1,0)</f>
        <v>1</v>
      </c>
      <c r="O435" s="14" t="n">
        <f aca="false">M435*N435</f>
        <v>0</v>
      </c>
      <c r="P435" s="15" t="n">
        <f aca="false">L435*Assumptions!$B$6</f>
        <v>3000</v>
      </c>
      <c r="Q435" s="31" t="n">
        <f aca="false">IF(I435=0,0,J435/I435)</f>
        <v>121.407407407407</v>
      </c>
      <c r="R435" s="18" t="n">
        <f aca="false">IF(H435=0,0,K435/H435)</f>
        <v>0.0173076923076923</v>
      </c>
      <c r="S435" s="14" t="n">
        <f aca="false">MONTH(D435)</f>
        <v>3</v>
      </c>
    </row>
    <row r="436" customFormat="false" ht="15" hidden="false" customHeight="false" outlineLevel="0" collapsed="false">
      <c r="A436" s="21" t="s">
        <v>532</v>
      </c>
      <c r="B436" s="21" t="s">
        <v>47</v>
      </c>
      <c r="C436" s="21" t="s">
        <v>53</v>
      </c>
      <c r="D436" s="29" t="n">
        <v>46199</v>
      </c>
      <c r="E436" s="29" t="n">
        <v>46209</v>
      </c>
      <c r="F436" s="29" t="n">
        <v>46209</v>
      </c>
      <c r="G436" s="21" t="n">
        <v>560</v>
      </c>
      <c r="H436" s="21" t="n">
        <v>560</v>
      </c>
      <c r="I436" s="21" t="n">
        <v>36</v>
      </c>
      <c r="J436" s="30" t="n">
        <v>4907</v>
      </c>
      <c r="K436" s="21" t="n">
        <v>8</v>
      </c>
      <c r="L436" s="14" t="n">
        <f aca="false">MAX(0,F436-E436)</f>
        <v>0</v>
      </c>
      <c r="M436" s="14" t="n">
        <f aca="false">IF(L436&lt;=Assumptions!$B$5,1,0)</f>
        <v>1</v>
      </c>
      <c r="N436" s="14" t="n">
        <f aca="false">IF(H436&gt;=G436,1,0)</f>
        <v>1</v>
      </c>
      <c r="O436" s="14" t="n">
        <f aca="false">M436*N436</f>
        <v>1</v>
      </c>
      <c r="P436" s="15" t="n">
        <f aca="false">L436*Assumptions!$B$6</f>
        <v>0</v>
      </c>
      <c r="Q436" s="31" t="n">
        <f aca="false">IF(I436=0,0,J436/I436)</f>
        <v>136.305555555556</v>
      </c>
      <c r="R436" s="18" t="n">
        <f aca="false">IF(H436=0,0,K436/H436)</f>
        <v>0.0142857142857143</v>
      </c>
      <c r="S436" s="14" t="n">
        <f aca="false">MONTH(D436)</f>
        <v>6</v>
      </c>
    </row>
    <row r="437" customFormat="false" ht="15" hidden="false" customHeight="false" outlineLevel="0" collapsed="false">
      <c r="A437" s="21" t="s">
        <v>533</v>
      </c>
      <c r="B437" s="21" t="s">
        <v>45</v>
      </c>
      <c r="C437" s="21" t="s">
        <v>55</v>
      </c>
      <c r="D437" s="29" t="n">
        <v>46105</v>
      </c>
      <c r="E437" s="29" t="n">
        <v>46113</v>
      </c>
      <c r="F437" s="29" t="n">
        <v>46113</v>
      </c>
      <c r="G437" s="21" t="n">
        <v>880</v>
      </c>
      <c r="H437" s="21" t="n">
        <v>880</v>
      </c>
      <c r="I437" s="21" t="n">
        <v>312</v>
      </c>
      <c r="J437" s="30" t="n">
        <v>33153</v>
      </c>
      <c r="K437" s="21" t="n">
        <v>13</v>
      </c>
      <c r="L437" s="14" t="n">
        <f aca="false">MAX(0,F437-E437)</f>
        <v>0</v>
      </c>
      <c r="M437" s="14" t="n">
        <f aca="false">IF(L437&lt;=Assumptions!$B$5,1,0)</f>
        <v>1</v>
      </c>
      <c r="N437" s="14" t="n">
        <f aca="false">IF(H437&gt;=G437,1,0)</f>
        <v>1</v>
      </c>
      <c r="O437" s="14" t="n">
        <f aca="false">M437*N437</f>
        <v>1</v>
      </c>
      <c r="P437" s="15" t="n">
        <f aca="false">L437*Assumptions!$B$6</f>
        <v>0</v>
      </c>
      <c r="Q437" s="31" t="n">
        <f aca="false">IF(I437=0,0,J437/I437)</f>
        <v>106.259615384615</v>
      </c>
      <c r="R437" s="18" t="n">
        <f aca="false">IF(H437=0,0,K437/H437)</f>
        <v>0.0147727272727273</v>
      </c>
      <c r="S437" s="14" t="n">
        <f aca="false">MONTH(D437)</f>
        <v>3</v>
      </c>
    </row>
    <row r="438" customFormat="false" ht="15" hidden="false" customHeight="false" outlineLevel="0" collapsed="false">
      <c r="A438" s="21" t="s">
        <v>534</v>
      </c>
      <c r="B438" s="21" t="s">
        <v>50</v>
      </c>
      <c r="C438" s="21" t="s">
        <v>56</v>
      </c>
      <c r="D438" s="29" t="n">
        <v>46054</v>
      </c>
      <c r="E438" s="29" t="n">
        <v>46060</v>
      </c>
      <c r="F438" s="29" t="n">
        <v>46059</v>
      </c>
      <c r="G438" s="21" t="n">
        <v>640</v>
      </c>
      <c r="H438" s="21" t="n">
        <v>640</v>
      </c>
      <c r="I438" s="21" t="n">
        <v>192</v>
      </c>
      <c r="J438" s="30" t="n">
        <v>15483</v>
      </c>
      <c r="K438" s="21" t="n">
        <v>12</v>
      </c>
      <c r="L438" s="14" t="n">
        <f aca="false">MAX(0,F438-E438)</f>
        <v>0</v>
      </c>
      <c r="M438" s="14" t="n">
        <f aca="false">IF(L438&lt;=Assumptions!$B$5,1,0)</f>
        <v>1</v>
      </c>
      <c r="N438" s="14" t="n">
        <f aca="false">IF(H438&gt;=G438,1,0)</f>
        <v>1</v>
      </c>
      <c r="O438" s="14" t="n">
        <f aca="false">M438*N438</f>
        <v>1</v>
      </c>
      <c r="P438" s="15" t="n">
        <f aca="false">L438*Assumptions!$B$6</f>
        <v>0</v>
      </c>
      <c r="Q438" s="31" t="n">
        <f aca="false">IF(I438=0,0,J438/I438)</f>
        <v>80.640625</v>
      </c>
      <c r="R438" s="18" t="n">
        <f aca="false">IF(H438=0,0,K438/H438)</f>
        <v>0.01875</v>
      </c>
      <c r="S438" s="14" t="n">
        <f aca="false">MONTH(D438)</f>
        <v>2</v>
      </c>
    </row>
    <row r="439" customFormat="false" ht="15" hidden="false" customHeight="false" outlineLevel="0" collapsed="false">
      <c r="A439" s="21" t="s">
        <v>535</v>
      </c>
      <c r="B439" s="21" t="s">
        <v>48</v>
      </c>
      <c r="C439" s="21" t="s">
        <v>58</v>
      </c>
      <c r="D439" s="29" t="n">
        <v>46047</v>
      </c>
      <c r="E439" s="29" t="n">
        <v>46056</v>
      </c>
      <c r="F439" s="29" t="n">
        <v>46055</v>
      </c>
      <c r="G439" s="21" t="n">
        <v>950</v>
      </c>
      <c r="H439" s="21" t="n">
        <v>950</v>
      </c>
      <c r="I439" s="21" t="n">
        <v>234</v>
      </c>
      <c r="J439" s="30" t="n">
        <v>25164</v>
      </c>
      <c r="K439" s="21" t="n">
        <v>32</v>
      </c>
      <c r="L439" s="14" t="n">
        <f aca="false">MAX(0,F439-E439)</f>
        <v>0</v>
      </c>
      <c r="M439" s="14" t="n">
        <f aca="false">IF(L439&lt;=Assumptions!$B$5,1,0)</f>
        <v>1</v>
      </c>
      <c r="N439" s="14" t="n">
        <f aca="false">IF(H439&gt;=G439,1,0)</f>
        <v>1</v>
      </c>
      <c r="O439" s="14" t="n">
        <f aca="false">M439*N439</f>
        <v>1</v>
      </c>
      <c r="P439" s="15" t="n">
        <f aca="false">L439*Assumptions!$B$6</f>
        <v>0</v>
      </c>
      <c r="Q439" s="31" t="n">
        <f aca="false">IF(I439=0,0,J439/I439)</f>
        <v>107.538461538462</v>
      </c>
      <c r="R439" s="18" t="n">
        <f aca="false">IF(H439=0,0,K439/H439)</f>
        <v>0.0336842105263158</v>
      </c>
      <c r="S439" s="14" t="n">
        <f aca="false">MONTH(D439)</f>
        <v>1</v>
      </c>
    </row>
    <row r="440" customFormat="false" ht="15" hidden="false" customHeight="false" outlineLevel="0" collapsed="false">
      <c r="A440" s="21" t="s">
        <v>536</v>
      </c>
      <c r="B440" s="21" t="s">
        <v>46</v>
      </c>
      <c r="C440" s="21" t="s">
        <v>56</v>
      </c>
      <c r="D440" s="29" t="n">
        <v>46110</v>
      </c>
      <c r="E440" s="29" t="n">
        <v>46119</v>
      </c>
      <c r="F440" s="29" t="n">
        <v>46119</v>
      </c>
      <c r="G440" s="21" t="n">
        <v>840</v>
      </c>
      <c r="H440" s="21" t="n">
        <v>805</v>
      </c>
      <c r="I440" s="21" t="n">
        <v>178</v>
      </c>
      <c r="J440" s="30" t="n">
        <v>15252</v>
      </c>
      <c r="K440" s="21" t="n">
        <v>15</v>
      </c>
      <c r="L440" s="14" t="n">
        <f aca="false">MAX(0,F440-E440)</f>
        <v>0</v>
      </c>
      <c r="M440" s="14" t="n">
        <f aca="false">IF(L440&lt;=Assumptions!$B$5,1,0)</f>
        <v>1</v>
      </c>
      <c r="N440" s="14" t="n">
        <f aca="false">IF(H440&gt;=G440,1,0)</f>
        <v>0</v>
      </c>
      <c r="O440" s="14" t="n">
        <f aca="false">M440*N440</f>
        <v>0</v>
      </c>
      <c r="P440" s="15" t="n">
        <f aca="false">L440*Assumptions!$B$6</f>
        <v>0</v>
      </c>
      <c r="Q440" s="31" t="n">
        <f aca="false">IF(I440=0,0,J440/I440)</f>
        <v>85.685393258427</v>
      </c>
      <c r="R440" s="18" t="n">
        <f aca="false">IF(H440=0,0,K440/H440)</f>
        <v>0.0186335403726708</v>
      </c>
      <c r="S440" s="14" t="n">
        <f aca="false">MONTH(D440)</f>
        <v>3</v>
      </c>
    </row>
    <row r="441" customFormat="false" ht="15" hidden="false" customHeight="false" outlineLevel="0" collapsed="false">
      <c r="A441" s="21" t="s">
        <v>537</v>
      </c>
      <c r="B441" s="21" t="s">
        <v>45</v>
      </c>
      <c r="C441" s="21" t="s">
        <v>54</v>
      </c>
      <c r="D441" s="29" t="n">
        <v>46109</v>
      </c>
      <c r="E441" s="29" t="n">
        <v>46117</v>
      </c>
      <c r="F441" s="29" t="n">
        <v>46117</v>
      </c>
      <c r="G441" s="21" t="n">
        <v>390</v>
      </c>
      <c r="H441" s="21" t="n">
        <v>390</v>
      </c>
      <c r="I441" s="21" t="n">
        <v>471</v>
      </c>
      <c r="J441" s="30" t="n">
        <v>49515</v>
      </c>
      <c r="K441" s="21" t="n">
        <v>0</v>
      </c>
      <c r="L441" s="14" t="n">
        <f aca="false">MAX(0,F441-E441)</f>
        <v>0</v>
      </c>
      <c r="M441" s="14" t="n">
        <f aca="false">IF(L441&lt;=Assumptions!$B$5,1,0)</f>
        <v>1</v>
      </c>
      <c r="N441" s="14" t="n">
        <f aca="false">IF(H441&gt;=G441,1,0)</f>
        <v>1</v>
      </c>
      <c r="O441" s="14" t="n">
        <f aca="false">M441*N441</f>
        <v>1</v>
      </c>
      <c r="P441" s="15" t="n">
        <f aca="false">L441*Assumptions!$B$6</f>
        <v>0</v>
      </c>
      <c r="Q441" s="31" t="n">
        <f aca="false">IF(I441=0,0,J441/I441)</f>
        <v>105.127388535032</v>
      </c>
      <c r="R441" s="18" t="n">
        <f aca="false">IF(H441=0,0,K441/H441)</f>
        <v>0</v>
      </c>
      <c r="S441" s="14" t="n">
        <f aca="false">MONTH(D441)</f>
        <v>3</v>
      </c>
    </row>
    <row r="442" customFormat="false" ht="15" hidden="false" customHeight="false" outlineLevel="0" collapsed="false">
      <c r="A442" s="21" t="s">
        <v>538</v>
      </c>
      <c r="B442" s="21" t="s">
        <v>47</v>
      </c>
      <c r="C442" s="21" t="s">
        <v>53</v>
      </c>
      <c r="D442" s="29" t="n">
        <v>46174</v>
      </c>
      <c r="E442" s="29" t="n">
        <v>46180</v>
      </c>
      <c r="F442" s="29" t="n">
        <v>46180</v>
      </c>
      <c r="G442" s="21" t="n">
        <v>460</v>
      </c>
      <c r="H442" s="21" t="n">
        <v>383</v>
      </c>
      <c r="I442" s="21" t="n">
        <v>26</v>
      </c>
      <c r="J442" s="30" t="n">
        <v>3174</v>
      </c>
      <c r="K442" s="21" t="n">
        <v>6</v>
      </c>
      <c r="L442" s="14" t="n">
        <f aca="false">MAX(0,F442-E442)</f>
        <v>0</v>
      </c>
      <c r="M442" s="14" t="n">
        <f aca="false">IF(L442&lt;=Assumptions!$B$5,1,0)</f>
        <v>1</v>
      </c>
      <c r="N442" s="14" t="n">
        <f aca="false">IF(H442&gt;=G442,1,0)</f>
        <v>0</v>
      </c>
      <c r="O442" s="14" t="n">
        <f aca="false">M442*N442</f>
        <v>0</v>
      </c>
      <c r="P442" s="15" t="n">
        <f aca="false">L442*Assumptions!$B$6</f>
        <v>0</v>
      </c>
      <c r="Q442" s="31" t="n">
        <f aca="false">IF(I442=0,0,J442/I442)</f>
        <v>122.076923076923</v>
      </c>
      <c r="R442" s="18" t="n">
        <f aca="false">IF(H442=0,0,K442/H442)</f>
        <v>0.0156657963446475</v>
      </c>
      <c r="S442" s="14" t="n">
        <f aca="false">MONTH(D442)</f>
        <v>6</v>
      </c>
    </row>
    <row r="443" customFormat="false" ht="15" hidden="false" customHeight="false" outlineLevel="0" collapsed="false">
      <c r="A443" s="21" t="s">
        <v>539</v>
      </c>
      <c r="B443" s="21" t="s">
        <v>46</v>
      </c>
      <c r="C443" s="21" t="s">
        <v>57</v>
      </c>
      <c r="D443" s="29" t="n">
        <v>46136</v>
      </c>
      <c r="E443" s="29" t="n">
        <v>46145</v>
      </c>
      <c r="F443" s="29" t="n">
        <v>46146</v>
      </c>
      <c r="G443" s="21" t="n">
        <v>990</v>
      </c>
      <c r="H443" s="21" t="n">
        <v>898</v>
      </c>
      <c r="I443" s="21" t="n">
        <v>319</v>
      </c>
      <c r="J443" s="30" t="n">
        <v>36754</v>
      </c>
      <c r="K443" s="21" t="n">
        <v>33</v>
      </c>
      <c r="L443" s="14" t="n">
        <f aca="false">MAX(0,F443-E443)</f>
        <v>1</v>
      </c>
      <c r="M443" s="14" t="n">
        <f aca="false">IF(L443&lt;=Assumptions!$B$5,1,0)</f>
        <v>0</v>
      </c>
      <c r="N443" s="14" t="n">
        <f aca="false">IF(H443&gt;=G443,1,0)</f>
        <v>0</v>
      </c>
      <c r="O443" s="14" t="n">
        <f aca="false">M443*N443</f>
        <v>0</v>
      </c>
      <c r="P443" s="15" t="n">
        <f aca="false">L443*Assumptions!$B$6</f>
        <v>1500</v>
      </c>
      <c r="Q443" s="31" t="n">
        <f aca="false">IF(I443=0,0,J443/I443)</f>
        <v>115.216300940439</v>
      </c>
      <c r="R443" s="18" t="n">
        <f aca="false">IF(H443=0,0,K443/H443)</f>
        <v>0.0367483296213808</v>
      </c>
      <c r="S443" s="14" t="n">
        <f aca="false">MONTH(D443)</f>
        <v>4</v>
      </c>
    </row>
    <row r="444" customFormat="false" ht="15" hidden="false" customHeight="false" outlineLevel="0" collapsed="false">
      <c r="A444" s="21" t="s">
        <v>540</v>
      </c>
      <c r="B444" s="21" t="s">
        <v>50</v>
      </c>
      <c r="C444" s="21" t="s">
        <v>55</v>
      </c>
      <c r="D444" s="29" t="n">
        <v>46217</v>
      </c>
      <c r="E444" s="29" t="n">
        <v>46223</v>
      </c>
      <c r="F444" s="29" t="n">
        <v>46228</v>
      </c>
      <c r="G444" s="21" t="n">
        <v>50</v>
      </c>
      <c r="H444" s="21" t="n">
        <v>50</v>
      </c>
      <c r="I444" s="21" t="n">
        <v>296</v>
      </c>
      <c r="J444" s="30" t="n">
        <v>26523</v>
      </c>
      <c r="K444" s="21" t="n">
        <v>1</v>
      </c>
      <c r="L444" s="14" t="n">
        <f aca="false">MAX(0,F444-E444)</f>
        <v>5</v>
      </c>
      <c r="M444" s="14" t="n">
        <f aca="false">IF(L444&lt;=Assumptions!$B$5,1,0)</f>
        <v>0</v>
      </c>
      <c r="N444" s="14" t="n">
        <f aca="false">IF(H444&gt;=G444,1,0)</f>
        <v>1</v>
      </c>
      <c r="O444" s="14" t="n">
        <f aca="false">M444*N444</f>
        <v>0</v>
      </c>
      <c r="P444" s="15" t="n">
        <f aca="false">L444*Assumptions!$B$6</f>
        <v>7500</v>
      </c>
      <c r="Q444" s="31" t="n">
        <f aca="false">IF(I444=0,0,J444/I444)</f>
        <v>89.6047297297297</v>
      </c>
      <c r="R444" s="18" t="n">
        <f aca="false">IF(H444=0,0,K444/H444)</f>
        <v>0.02</v>
      </c>
      <c r="S444" s="14" t="n">
        <f aca="false">MONTH(D444)</f>
        <v>7</v>
      </c>
    </row>
    <row r="445" customFormat="false" ht="15" hidden="false" customHeight="false" outlineLevel="0" collapsed="false">
      <c r="A445" s="21" t="s">
        <v>541</v>
      </c>
      <c r="B445" s="21" t="s">
        <v>45</v>
      </c>
      <c r="C445" s="21" t="s">
        <v>53</v>
      </c>
      <c r="D445" s="29" t="n">
        <v>46247</v>
      </c>
      <c r="E445" s="29" t="n">
        <v>46256</v>
      </c>
      <c r="F445" s="29" t="n">
        <v>46256</v>
      </c>
      <c r="G445" s="21" t="n">
        <v>380</v>
      </c>
      <c r="H445" s="21" t="n">
        <v>380</v>
      </c>
      <c r="I445" s="21" t="n">
        <v>50</v>
      </c>
      <c r="J445" s="30" t="n">
        <v>6123</v>
      </c>
      <c r="K445" s="21" t="n">
        <v>6</v>
      </c>
      <c r="L445" s="14" t="n">
        <f aca="false">MAX(0,F445-E445)</f>
        <v>0</v>
      </c>
      <c r="M445" s="14" t="n">
        <f aca="false">IF(L445&lt;=Assumptions!$B$5,1,0)</f>
        <v>1</v>
      </c>
      <c r="N445" s="14" t="n">
        <f aca="false">IF(H445&gt;=G445,1,0)</f>
        <v>1</v>
      </c>
      <c r="O445" s="14" t="n">
        <f aca="false">M445*N445</f>
        <v>1</v>
      </c>
      <c r="P445" s="15" t="n">
        <f aca="false">L445*Assumptions!$B$6</f>
        <v>0</v>
      </c>
      <c r="Q445" s="31" t="n">
        <f aca="false">IF(I445=0,0,J445/I445)</f>
        <v>122.46</v>
      </c>
      <c r="R445" s="18" t="n">
        <f aca="false">IF(H445=0,0,K445/H445)</f>
        <v>0.0157894736842105</v>
      </c>
      <c r="S445" s="14" t="n">
        <f aca="false">MONTH(D445)</f>
        <v>8</v>
      </c>
    </row>
    <row r="446" customFormat="false" ht="15" hidden="false" customHeight="false" outlineLevel="0" collapsed="false">
      <c r="A446" s="21" t="s">
        <v>542</v>
      </c>
      <c r="B446" s="21" t="s">
        <v>50</v>
      </c>
      <c r="C446" s="21" t="s">
        <v>53</v>
      </c>
      <c r="D446" s="29" t="n">
        <v>46075</v>
      </c>
      <c r="E446" s="29" t="n">
        <v>46083</v>
      </c>
      <c r="F446" s="29" t="n">
        <v>46083</v>
      </c>
      <c r="G446" s="21" t="n">
        <v>80</v>
      </c>
      <c r="H446" s="21" t="n">
        <v>80</v>
      </c>
      <c r="I446" s="21" t="n">
        <v>51</v>
      </c>
      <c r="J446" s="30" t="n">
        <v>5448</v>
      </c>
      <c r="K446" s="21" t="n">
        <v>0</v>
      </c>
      <c r="L446" s="14" t="n">
        <f aca="false">MAX(0,F446-E446)</f>
        <v>0</v>
      </c>
      <c r="M446" s="14" t="n">
        <f aca="false">IF(L446&lt;=Assumptions!$B$5,1,0)</f>
        <v>1</v>
      </c>
      <c r="N446" s="14" t="n">
        <f aca="false">IF(H446&gt;=G446,1,0)</f>
        <v>1</v>
      </c>
      <c r="O446" s="14" t="n">
        <f aca="false">M446*N446</f>
        <v>1</v>
      </c>
      <c r="P446" s="15" t="n">
        <f aca="false">L446*Assumptions!$B$6</f>
        <v>0</v>
      </c>
      <c r="Q446" s="31" t="n">
        <f aca="false">IF(I446=0,0,J446/I446)</f>
        <v>106.823529411765</v>
      </c>
      <c r="R446" s="18" t="n">
        <f aca="false">IF(H446=0,0,K446/H446)</f>
        <v>0</v>
      </c>
      <c r="S446" s="14" t="n">
        <f aca="false">MONTH(D446)</f>
        <v>2</v>
      </c>
    </row>
    <row r="447" customFormat="false" ht="15" hidden="false" customHeight="false" outlineLevel="0" collapsed="false">
      <c r="A447" s="21" t="s">
        <v>543</v>
      </c>
      <c r="B447" s="21" t="s">
        <v>49</v>
      </c>
      <c r="C447" s="21" t="s">
        <v>56</v>
      </c>
      <c r="D447" s="29" t="n">
        <v>46213</v>
      </c>
      <c r="E447" s="29" t="n">
        <v>46220</v>
      </c>
      <c r="F447" s="29" t="n">
        <v>46219</v>
      </c>
      <c r="G447" s="21" t="n">
        <v>300</v>
      </c>
      <c r="H447" s="21" t="n">
        <v>300</v>
      </c>
      <c r="I447" s="21" t="n">
        <v>194</v>
      </c>
      <c r="J447" s="30" t="n">
        <v>18109</v>
      </c>
      <c r="K447" s="21" t="n">
        <v>4</v>
      </c>
      <c r="L447" s="14" t="n">
        <f aca="false">MAX(0,F447-E447)</f>
        <v>0</v>
      </c>
      <c r="M447" s="14" t="n">
        <f aca="false">IF(L447&lt;=Assumptions!$B$5,1,0)</f>
        <v>1</v>
      </c>
      <c r="N447" s="14" t="n">
        <f aca="false">IF(H447&gt;=G447,1,0)</f>
        <v>1</v>
      </c>
      <c r="O447" s="14" t="n">
        <f aca="false">M447*N447</f>
        <v>1</v>
      </c>
      <c r="P447" s="15" t="n">
        <f aca="false">L447*Assumptions!$B$6</f>
        <v>0</v>
      </c>
      <c r="Q447" s="31" t="n">
        <f aca="false">IF(I447=0,0,J447/I447)</f>
        <v>93.3453608247423</v>
      </c>
      <c r="R447" s="18" t="n">
        <f aca="false">IF(H447=0,0,K447/H447)</f>
        <v>0.0133333333333333</v>
      </c>
      <c r="S447" s="14" t="n">
        <f aca="false">MONTH(D447)</f>
        <v>7</v>
      </c>
    </row>
    <row r="448" customFormat="false" ht="15" hidden="false" customHeight="false" outlineLevel="0" collapsed="false">
      <c r="A448" s="21" t="s">
        <v>544</v>
      </c>
      <c r="B448" s="21" t="s">
        <v>46</v>
      </c>
      <c r="C448" s="21" t="s">
        <v>54</v>
      </c>
      <c r="D448" s="29" t="n">
        <v>46086</v>
      </c>
      <c r="E448" s="29" t="n">
        <v>46092</v>
      </c>
      <c r="F448" s="29" t="n">
        <v>46092</v>
      </c>
      <c r="G448" s="21" t="n">
        <v>550</v>
      </c>
      <c r="H448" s="21" t="n">
        <v>550</v>
      </c>
      <c r="I448" s="21" t="n">
        <v>510</v>
      </c>
      <c r="J448" s="30" t="n">
        <v>34840</v>
      </c>
      <c r="K448" s="21" t="n">
        <v>21</v>
      </c>
      <c r="L448" s="14" t="n">
        <f aca="false">MAX(0,F448-E448)</f>
        <v>0</v>
      </c>
      <c r="M448" s="14" t="n">
        <f aca="false">IF(L448&lt;=Assumptions!$B$5,1,0)</f>
        <v>1</v>
      </c>
      <c r="N448" s="14" t="n">
        <f aca="false">IF(H448&gt;=G448,1,0)</f>
        <v>1</v>
      </c>
      <c r="O448" s="14" t="n">
        <f aca="false">M448*N448</f>
        <v>1</v>
      </c>
      <c r="P448" s="15" t="n">
        <f aca="false">L448*Assumptions!$B$6</f>
        <v>0</v>
      </c>
      <c r="Q448" s="31" t="n">
        <f aca="false">IF(I448=0,0,J448/I448)</f>
        <v>68.3137254901961</v>
      </c>
      <c r="R448" s="18" t="n">
        <f aca="false">IF(H448=0,0,K448/H448)</f>
        <v>0.0381818181818182</v>
      </c>
      <c r="S448" s="14" t="n">
        <f aca="false">MONTH(D448)</f>
        <v>3</v>
      </c>
    </row>
    <row r="449" customFormat="false" ht="15" hidden="false" customHeight="false" outlineLevel="0" collapsed="false">
      <c r="A449" s="21" t="s">
        <v>545</v>
      </c>
      <c r="B449" s="21" t="s">
        <v>48</v>
      </c>
      <c r="C449" s="21" t="s">
        <v>57</v>
      </c>
      <c r="D449" s="29" t="n">
        <v>46206</v>
      </c>
      <c r="E449" s="29" t="n">
        <v>46210</v>
      </c>
      <c r="F449" s="29" t="n">
        <v>46213</v>
      </c>
      <c r="G449" s="21" t="n">
        <v>670</v>
      </c>
      <c r="H449" s="21" t="n">
        <v>631</v>
      </c>
      <c r="I449" s="21" t="n">
        <v>330</v>
      </c>
      <c r="J449" s="30" t="n">
        <v>32771</v>
      </c>
      <c r="K449" s="21" t="n">
        <v>34</v>
      </c>
      <c r="L449" s="14" t="n">
        <f aca="false">MAX(0,F449-E449)</f>
        <v>3</v>
      </c>
      <c r="M449" s="14" t="n">
        <f aca="false">IF(L449&lt;=Assumptions!$B$5,1,0)</f>
        <v>0</v>
      </c>
      <c r="N449" s="14" t="n">
        <f aca="false">IF(H449&gt;=G449,1,0)</f>
        <v>0</v>
      </c>
      <c r="O449" s="14" t="n">
        <f aca="false">M449*N449</f>
        <v>0</v>
      </c>
      <c r="P449" s="15" t="n">
        <f aca="false">L449*Assumptions!$B$6</f>
        <v>4500</v>
      </c>
      <c r="Q449" s="31" t="n">
        <f aca="false">IF(I449=0,0,J449/I449)</f>
        <v>99.3060606060606</v>
      </c>
      <c r="R449" s="18" t="n">
        <f aca="false">IF(H449=0,0,K449/H449)</f>
        <v>0.0538827258320127</v>
      </c>
      <c r="S449" s="14" t="n">
        <f aca="false">MONTH(D449)</f>
        <v>7</v>
      </c>
    </row>
    <row r="450" customFormat="false" ht="15" hidden="false" customHeight="false" outlineLevel="0" collapsed="false">
      <c r="A450" s="21" t="s">
        <v>546</v>
      </c>
      <c r="B450" s="21" t="s">
        <v>47</v>
      </c>
      <c r="C450" s="21" t="s">
        <v>55</v>
      </c>
      <c r="D450" s="29" t="n">
        <v>46206</v>
      </c>
      <c r="E450" s="29" t="n">
        <v>46210</v>
      </c>
      <c r="F450" s="29" t="n">
        <v>46214</v>
      </c>
      <c r="G450" s="21" t="n">
        <v>800</v>
      </c>
      <c r="H450" s="21" t="n">
        <v>800</v>
      </c>
      <c r="I450" s="21" t="n">
        <v>359</v>
      </c>
      <c r="J450" s="30" t="n">
        <v>37668</v>
      </c>
      <c r="K450" s="21" t="n">
        <v>3</v>
      </c>
      <c r="L450" s="14" t="n">
        <f aca="false">MAX(0,F450-E450)</f>
        <v>4</v>
      </c>
      <c r="M450" s="14" t="n">
        <f aca="false">IF(L450&lt;=Assumptions!$B$5,1,0)</f>
        <v>0</v>
      </c>
      <c r="N450" s="14" t="n">
        <f aca="false">IF(H450&gt;=G450,1,0)</f>
        <v>1</v>
      </c>
      <c r="O450" s="14" t="n">
        <f aca="false">M450*N450</f>
        <v>0</v>
      </c>
      <c r="P450" s="15" t="n">
        <f aca="false">L450*Assumptions!$B$6</f>
        <v>6000</v>
      </c>
      <c r="Q450" s="31" t="n">
        <f aca="false">IF(I450=0,0,J450/I450)</f>
        <v>104.924791086351</v>
      </c>
      <c r="R450" s="18" t="n">
        <f aca="false">IF(H450=0,0,K450/H450)</f>
        <v>0.00375</v>
      </c>
      <c r="S450" s="14" t="n">
        <f aca="false">MONTH(D450)</f>
        <v>7</v>
      </c>
    </row>
    <row r="451" customFormat="false" ht="15" hidden="false" customHeight="false" outlineLevel="0" collapsed="false">
      <c r="A451" s="21" t="s">
        <v>547</v>
      </c>
      <c r="B451" s="21" t="s">
        <v>45</v>
      </c>
      <c r="C451" s="21" t="s">
        <v>57</v>
      </c>
      <c r="D451" s="29" t="n">
        <v>46135</v>
      </c>
      <c r="E451" s="29" t="n">
        <v>46145</v>
      </c>
      <c r="F451" s="29" t="n">
        <v>46144</v>
      </c>
      <c r="G451" s="21" t="n">
        <v>300</v>
      </c>
      <c r="H451" s="21" t="n">
        <v>300</v>
      </c>
      <c r="I451" s="21" t="n">
        <v>259</v>
      </c>
      <c r="J451" s="30" t="n">
        <v>26898</v>
      </c>
      <c r="K451" s="21" t="n">
        <v>0</v>
      </c>
      <c r="L451" s="14" t="n">
        <f aca="false">MAX(0,F451-E451)</f>
        <v>0</v>
      </c>
      <c r="M451" s="14" t="n">
        <f aca="false">IF(L451&lt;=Assumptions!$B$5,1,0)</f>
        <v>1</v>
      </c>
      <c r="N451" s="14" t="n">
        <f aca="false">IF(H451&gt;=G451,1,0)</f>
        <v>1</v>
      </c>
      <c r="O451" s="14" t="n">
        <f aca="false">M451*N451</f>
        <v>1</v>
      </c>
      <c r="P451" s="15" t="n">
        <f aca="false">L451*Assumptions!$B$6</f>
        <v>0</v>
      </c>
      <c r="Q451" s="31" t="n">
        <f aca="false">IF(I451=0,0,J451/I451)</f>
        <v>103.853281853282</v>
      </c>
      <c r="R451" s="18" t="n">
        <f aca="false">IF(H451=0,0,K451/H451)</f>
        <v>0</v>
      </c>
      <c r="S451" s="14" t="n">
        <f aca="false">MONTH(D451)</f>
        <v>4</v>
      </c>
    </row>
    <row r="452" customFormat="false" ht="15" hidden="false" customHeight="false" outlineLevel="0" collapsed="false">
      <c r="A452" s="21" t="s">
        <v>548</v>
      </c>
      <c r="B452" s="21" t="s">
        <v>50</v>
      </c>
      <c r="C452" s="21" t="s">
        <v>56</v>
      </c>
      <c r="D452" s="29" t="n">
        <v>46270</v>
      </c>
      <c r="E452" s="29" t="n">
        <v>46274</v>
      </c>
      <c r="F452" s="29" t="n">
        <v>46274</v>
      </c>
      <c r="G452" s="21" t="n">
        <v>710</v>
      </c>
      <c r="H452" s="21" t="n">
        <v>710</v>
      </c>
      <c r="I452" s="21" t="n">
        <v>194</v>
      </c>
      <c r="J452" s="30" t="n">
        <v>20686</v>
      </c>
      <c r="K452" s="21" t="n">
        <v>4</v>
      </c>
      <c r="L452" s="14" t="n">
        <f aca="false">MAX(0,F452-E452)</f>
        <v>0</v>
      </c>
      <c r="M452" s="14" t="n">
        <f aca="false">IF(L452&lt;=Assumptions!$B$5,1,0)</f>
        <v>1</v>
      </c>
      <c r="N452" s="14" t="n">
        <f aca="false">IF(H452&gt;=G452,1,0)</f>
        <v>1</v>
      </c>
      <c r="O452" s="14" t="n">
        <f aca="false">M452*N452</f>
        <v>1</v>
      </c>
      <c r="P452" s="15" t="n">
        <f aca="false">L452*Assumptions!$B$6</f>
        <v>0</v>
      </c>
      <c r="Q452" s="31" t="n">
        <f aca="false">IF(I452=0,0,J452/I452)</f>
        <v>106.628865979381</v>
      </c>
      <c r="R452" s="18" t="n">
        <f aca="false">IF(H452=0,0,K452/H452)</f>
        <v>0.00563380281690141</v>
      </c>
      <c r="S452" s="14" t="n">
        <f aca="false">MONTH(D452)</f>
        <v>9</v>
      </c>
    </row>
    <row r="453" customFormat="false" ht="15" hidden="false" customHeight="false" outlineLevel="0" collapsed="false">
      <c r="A453" s="21" t="s">
        <v>549</v>
      </c>
      <c r="B453" s="21" t="s">
        <v>45</v>
      </c>
      <c r="C453" s="21" t="s">
        <v>55</v>
      </c>
      <c r="D453" s="29" t="n">
        <v>46180</v>
      </c>
      <c r="E453" s="29" t="n">
        <v>46186</v>
      </c>
      <c r="F453" s="29" t="n">
        <v>46186</v>
      </c>
      <c r="G453" s="21" t="n">
        <v>750</v>
      </c>
      <c r="H453" s="21" t="n">
        <v>750</v>
      </c>
      <c r="I453" s="21" t="n">
        <v>326</v>
      </c>
      <c r="J453" s="30" t="n">
        <v>33470</v>
      </c>
      <c r="K453" s="21" t="n">
        <v>0</v>
      </c>
      <c r="L453" s="14" t="n">
        <f aca="false">MAX(0,F453-E453)</f>
        <v>0</v>
      </c>
      <c r="M453" s="14" t="n">
        <f aca="false">IF(L453&lt;=Assumptions!$B$5,1,0)</f>
        <v>1</v>
      </c>
      <c r="N453" s="14" t="n">
        <f aca="false">IF(H453&gt;=G453,1,0)</f>
        <v>1</v>
      </c>
      <c r="O453" s="14" t="n">
        <f aca="false">M453*N453</f>
        <v>1</v>
      </c>
      <c r="P453" s="15" t="n">
        <f aca="false">L453*Assumptions!$B$6</f>
        <v>0</v>
      </c>
      <c r="Q453" s="31" t="n">
        <f aca="false">IF(I453=0,0,J453/I453)</f>
        <v>102.668711656442</v>
      </c>
      <c r="R453" s="18" t="n">
        <f aca="false">IF(H453=0,0,K453/H453)</f>
        <v>0</v>
      </c>
      <c r="S453" s="14" t="n">
        <f aca="false">MONTH(D453)</f>
        <v>6</v>
      </c>
    </row>
    <row r="454" customFormat="false" ht="15" hidden="false" customHeight="false" outlineLevel="0" collapsed="false">
      <c r="A454" s="21" t="s">
        <v>550</v>
      </c>
      <c r="B454" s="21" t="s">
        <v>46</v>
      </c>
      <c r="C454" s="21" t="s">
        <v>54</v>
      </c>
      <c r="D454" s="29" t="n">
        <v>46162</v>
      </c>
      <c r="E454" s="29" t="n">
        <v>46168</v>
      </c>
      <c r="F454" s="29" t="n">
        <v>46167</v>
      </c>
      <c r="G454" s="21" t="n">
        <v>770</v>
      </c>
      <c r="H454" s="21" t="n">
        <v>770</v>
      </c>
      <c r="I454" s="21" t="n">
        <v>415</v>
      </c>
      <c r="J454" s="30" t="n">
        <v>47354</v>
      </c>
      <c r="K454" s="21" t="n">
        <v>25</v>
      </c>
      <c r="L454" s="14" t="n">
        <f aca="false">MAX(0,F454-E454)</f>
        <v>0</v>
      </c>
      <c r="M454" s="14" t="n">
        <f aca="false">IF(L454&lt;=Assumptions!$B$5,1,0)</f>
        <v>1</v>
      </c>
      <c r="N454" s="14" t="n">
        <f aca="false">IF(H454&gt;=G454,1,0)</f>
        <v>1</v>
      </c>
      <c r="O454" s="14" t="n">
        <f aca="false">M454*N454</f>
        <v>1</v>
      </c>
      <c r="P454" s="15" t="n">
        <f aca="false">L454*Assumptions!$B$6</f>
        <v>0</v>
      </c>
      <c r="Q454" s="31" t="n">
        <f aca="false">IF(I454=0,0,J454/I454)</f>
        <v>114.106024096386</v>
      </c>
      <c r="R454" s="18" t="n">
        <f aca="false">IF(H454=0,0,K454/H454)</f>
        <v>0.0324675324675325</v>
      </c>
      <c r="S454" s="14" t="n">
        <f aca="false">MONTH(D454)</f>
        <v>5</v>
      </c>
    </row>
    <row r="455" customFormat="false" ht="15" hidden="false" customHeight="false" outlineLevel="0" collapsed="false">
      <c r="A455" s="21" t="s">
        <v>551</v>
      </c>
      <c r="B455" s="21" t="s">
        <v>45</v>
      </c>
      <c r="C455" s="21" t="s">
        <v>53</v>
      </c>
      <c r="D455" s="29" t="n">
        <v>46183</v>
      </c>
      <c r="E455" s="29" t="n">
        <v>46186</v>
      </c>
      <c r="F455" s="29" t="n">
        <v>46185</v>
      </c>
      <c r="G455" s="21" t="n">
        <v>250</v>
      </c>
      <c r="H455" s="21" t="n">
        <v>250</v>
      </c>
      <c r="I455" s="21" t="n">
        <v>27</v>
      </c>
      <c r="J455" s="30" t="n">
        <v>2969</v>
      </c>
      <c r="K455" s="21" t="n">
        <v>0</v>
      </c>
      <c r="L455" s="14" t="n">
        <f aca="false">MAX(0,F455-E455)</f>
        <v>0</v>
      </c>
      <c r="M455" s="14" t="n">
        <f aca="false">IF(L455&lt;=Assumptions!$B$5,1,0)</f>
        <v>1</v>
      </c>
      <c r="N455" s="14" t="n">
        <f aca="false">IF(H455&gt;=G455,1,0)</f>
        <v>1</v>
      </c>
      <c r="O455" s="14" t="n">
        <f aca="false">M455*N455</f>
        <v>1</v>
      </c>
      <c r="P455" s="15" t="n">
        <f aca="false">L455*Assumptions!$B$6</f>
        <v>0</v>
      </c>
      <c r="Q455" s="31" t="n">
        <f aca="false">IF(I455=0,0,J455/I455)</f>
        <v>109.962962962963</v>
      </c>
      <c r="R455" s="18" t="n">
        <f aca="false">IF(H455=0,0,K455/H455)</f>
        <v>0</v>
      </c>
      <c r="S455" s="14" t="n">
        <f aca="false">MONTH(D455)</f>
        <v>6</v>
      </c>
    </row>
    <row r="456" customFormat="false" ht="15" hidden="false" customHeight="false" outlineLevel="0" collapsed="false">
      <c r="A456" s="21" t="s">
        <v>552</v>
      </c>
      <c r="B456" s="21" t="s">
        <v>48</v>
      </c>
      <c r="C456" s="21" t="s">
        <v>54</v>
      </c>
      <c r="D456" s="29" t="n">
        <v>46177</v>
      </c>
      <c r="E456" s="29" t="n">
        <v>46183</v>
      </c>
      <c r="F456" s="29" t="n">
        <v>46183</v>
      </c>
      <c r="G456" s="21" t="n">
        <v>160</v>
      </c>
      <c r="H456" s="21" t="n">
        <v>160</v>
      </c>
      <c r="I456" s="21" t="n">
        <v>424</v>
      </c>
      <c r="J456" s="30" t="n">
        <v>41699</v>
      </c>
      <c r="K456" s="21" t="n">
        <v>3</v>
      </c>
      <c r="L456" s="14" t="n">
        <f aca="false">MAX(0,F456-E456)</f>
        <v>0</v>
      </c>
      <c r="M456" s="14" t="n">
        <f aca="false">IF(L456&lt;=Assumptions!$B$5,1,0)</f>
        <v>1</v>
      </c>
      <c r="N456" s="14" t="n">
        <f aca="false">IF(H456&gt;=G456,1,0)</f>
        <v>1</v>
      </c>
      <c r="O456" s="14" t="n">
        <f aca="false">M456*N456</f>
        <v>1</v>
      </c>
      <c r="P456" s="15" t="n">
        <f aca="false">L456*Assumptions!$B$6</f>
        <v>0</v>
      </c>
      <c r="Q456" s="31" t="n">
        <f aca="false">IF(I456=0,0,J456/I456)</f>
        <v>98.3466981132076</v>
      </c>
      <c r="R456" s="18" t="n">
        <f aca="false">IF(H456=0,0,K456/H456)</f>
        <v>0.01875</v>
      </c>
      <c r="S456" s="14" t="n">
        <f aca="false">MONTH(D456)</f>
        <v>6</v>
      </c>
    </row>
    <row r="457" customFormat="false" ht="15" hidden="false" customHeight="false" outlineLevel="0" collapsed="false">
      <c r="A457" s="21" t="s">
        <v>553</v>
      </c>
      <c r="B457" s="21" t="s">
        <v>49</v>
      </c>
      <c r="C457" s="21" t="s">
        <v>55</v>
      </c>
      <c r="D457" s="29" t="n">
        <v>46144</v>
      </c>
      <c r="E457" s="29" t="n">
        <v>46148</v>
      </c>
      <c r="F457" s="29" t="n">
        <v>46148</v>
      </c>
      <c r="G457" s="21" t="n">
        <v>100</v>
      </c>
      <c r="H457" s="21" t="n">
        <v>100</v>
      </c>
      <c r="I457" s="21" t="n">
        <v>313</v>
      </c>
      <c r="J457" s="30" t="n">
        <v>22598</v>
      </c>
      <c r="K457" s="21" t="n">
        <v>0</v>
      </c>
      <c r="L457" s="14" t="n">
        <f aca="false">MAX(0,F457-E457)</f>
        <v>0</v>
      </c>
      <c r="M457" s="14" t="n">
        <f aca="false">IF(L457&lt;=Assumptions!$B$5,1,0)</f>
        <v>1</v>
      </c>
      <c r="N457" s="14" t="n">
        <f aca="false">IF(H457&gt;=G457,1,0)</f>
        <v>1</v>
      </c>
      <c r="O457" s="14" t="n">
        <f aca="false">M457*N457</f>
        <v>1</v>
      </c>
      <c r="P457" s="15" t="n">
        <f aca="false">L457*Assumptions!$B$6</f>
        <v>0</v>
      </c>
      <c r="Q457" s="31" t="n">
        <f aca="false">IF(I457=0,0,J457/I457)</f>
        <v>72.1980830670927</v>
      </c>
      <c r="R457" s="18" t="n">
        <f aca="false">IF(H457=0,0,K457/H457)</f>
        <v>0</v>
      </c>
      <c r="S457" s="14" t="n">
        <f aca="false">MONTH(D457)</f>
        <v>5</v>
      </c>
    </row>
    <row r="458" customFormat="false" ht="15" hidden="false" customHeight="false" outlineLevel="0" collapsed="false">
      <c r="A458" s="21" t="s">
        <v>554</v>
      </c>
      <c r="B458" s="21" t="s">
        <v>49</v>
      </c>
      <c r="C458" s="21" t="s">
        <v>58</v>
      </c>
      <c r="D458" s="29" t="n">
        <v>46054</v>
      </c>
      <c r="E458" s="29" t="n">
        <v>46064</v>
      </c>
      <c r="F458" s="29" t="n">
        <v>46063</v>
      </c>
      <c r="G458" s="21" t="n">
        <v>460</v>
      </c>
      <c r="H458" s="21" t="n">
        <v>460</v>
      </c>
      <c r="I458" s="21" t="n">
        <v>253</v>
      </c>
      <c r="J458" s="30" t="n">
        <v>28693</v>
      </c>
      <c r="K458" s="21" t="n">
        <v>4</v>
      </c>
      <c r="L458" s="14" t="n">
        <f aca="false">MAX(0,F458-E458)</f>
        <v>0</v>
      </c>
      <c r="M458" s="14" t="n">
        <f aca="false">IF(L458&lt;=Assumptions!$B$5,1,0)</f>
        <v>1</v>
      </c>
      <c r="N458" s="14" t="n">
        <f aca="false">IF(H458&gt;=G458,1,0)</f>
        <v>1</v>
      </c>
      <c r="O458" s="14" t="n">
        <f aca="false">M458*N458</f>
        <v>1</v>
      </c>
      <c r="P458" s="15" t="n">
        <f aca="false">L458*Assumptions!$B$6</f>
        <v>0</v>
      </c>
      <c r="Q458" s="31" t="n">
        <f aca="false">IF(I458=0,0,J458/I458)</f>
        <v>113.411067193676</v>
      </c>
      <c r="R458" s="18" t="n">
        <f aca="false">IF(H458=0,0,K458/H458)</f>
        <v>0.00869565217391304</v>
      </c>
      <c r="S458" s="14" t="n">
        <f aca="false">MONTH(D458)</f>
        <v>2</v>
      </c>
    </row>
    <row r="459" customFormat="false" ht="15" hidden="false" customHeight="false" outlineLevel="0" collapsed="false">
      <c r="A459" s="21" t="s">
        <v>555</v>
      </c>
      <c r="B459" s="21" t="s">
        <v>47</v>
      </c>
      <c r="C459" s="21" t="s">
        <v>53</v>
      </c>
      <c r="D459" s="29" t="n">
        <v>46177</v>
      </c>
      <c r="E459" s="29" t="n">
        <v>46181</v>
      </c>
      <c r="F459" s="29" t="n">
        <v>46181</v>
      </c>
      <c r="G459" s="21" t="n">
        <v>400</v>
      </c>
      <c r="H459" s="21" t="n">
        <v>400</v>
      </c>
      <c r="I459" s="21" t="n">
        <v>33</v>
      </c>
      <c r="J459" s="30" t="n">
        <v>4383</v>
      </c>
      <c r="K459" s="21" t="n">
        <v>14</v>
      </c>
      <c r="L459" s="14" t="n">
        <f aca="false">MAX(0,F459-E459)</f>
        <v>0</v>
      </c>
      <c r="M459" s="14" t="n">
        <f aca="false">IF(L459&lt;=Assumptions!$B$5,1,0)</f>
        <v>1</v>
      </c>
      <c r="N459" s="14" t="n">
        <f aca="false">IF(H459&gt;=G459,1,0)</f>
        <v>1</v>
      </c>
      <c r="O459" s="14" t="n">
        <f aca="false">M459*N459</f>
        <v>1</v>
      </c>
      <c r="P459" s="15" t="n">
        <f aca="false">L459*Assumptions!$B$6</f>
        <v>0</v>
      </c>
      <c r="Q459" s="31" t="n">
        <f aca="false">IF(I459=0,0,J459/I459)</f>
        <v>132.818181818182</v>
      </c>
      <c r="R459" s="18" t="n">
        <f aca="false">IF(H459=0,0,K459/H459)</f>
        <v>0.035</v>
      </c>
      <c r="S459" s="14" t="n">
        <f aca="false">MONTH(D459)</f>
        <v>6</v>
      </c>
    </row>
    <row r="460" customFormat="false" ht="15" hidden="false" customHeight="false" outlineLevel="0" collapsed="false">
      <c r="A460" s="21" t="s">
        <v>556</v>
      </c>
      <c r="B460" s="21" t="s">
        <v>49</v>
      </c>
      <c r="C460" s="21" t="s">
        <v>54</v>
      </c>
      <c r="D460" s="29" t="n">
        <v>46247</v>
      </c>
      <c r="E460" s="29" t="n">
        <v>46257</v>
      </c>
      <c r="F460" s="29" t="n">
        <v>46257</v>
      </c>
      <c r="G460" s="21" t="n">
        <v>850</v>
      </c>
      <c r="H460" s="21" t="n">
        <v>850</v>
      </c>
      <c r="I460" s="21" t="n">
        <v>422</v>
      </c>
      <c r="J460" s="30" t="n">
        <v>32986</v>
      </c>
      <c r="K460" s="21" t="n">
        <v>13</v>
      </c>
      <c r="L460" s="14" t="n">
        <f aca="false">MAX(0,F460-E460)</f>
        <v>0</v>
      </c>
      <c r="M460" s="14" t="n">
        <f aca="false">IF(L460&lt;=Assumptions!$B$5,1,0)</f>
        <v>1</v>
      </c>
      <c r="N460" s="14" t="n">
        <f aca="false">IF(H460&gt;=G460,1,0)</f>
        <v>1</v>
      </c>
      <c r="O460" s="14" t="n">
        <f aca="false">M460*N460</f>
        <v>1</v>
      </c>
      <c r="P460" s="15" t="n">
        <f aca="false">L460*Assumptions!$B$6</f>
        <v>0</v>
      </c>
      <c r="Q460" s="31" t="n">
        <f aca="false">IF(I460=0,0,J460/I460)</f>
        <v>78.1658767772512</v>
      </c>
      <c r="R460" s="18" t="n">
        <f aca="false">IF(H460=0,0,K460/H460)</f>
        <v>0.0152941176470588</v>
      </c>
      <c r="S460" s="14" t="n">
        <f aca="false">MONTH(D460)</f>
        <v>8</v>
      </c>
    </row>
    <row r="461" customFormat="false" ht="15" hidden="false" customHeight="false" outlineLevel="0" collapsed="false">
      <c r="A461" s="21" t="s">
        <v>557</v>
      </c>
      <c r="B461" s="21" t="s">
        <v>46</v>
      </c>
      <c r="C461" s="21" t="s">
        <v>58</v>
      </c>
      <c r="D461" s="29" t="n">
        <v>46262</v>
      </c>
      <c r="E461" s="29" t="n">
        <v>46265</v>
      </c>
      <c r="F461" s="29" t="n">
        <v>46265</v>
      </c>
      <c r="G461" s="21" t="n">
        <v>420</v>
      </c>
      <c r="H461" s="21" t="n">
        <v>420</v>
      </c>
      <c r="I461" s="21" t="n">
        <v>251</v>
      </c>
      <c r="J461" s="30" t="n">
        <v>27304</v>
      </c>
      <c r="K461" s="21" t="n">
        <v>7</v>
      </c>
      <c r="L461" s="14" t="n">
        <f aca="false">MAX(0,F461-E461)</f>
        <v>0</v>
      </c>
      <c r="M461" s="14" t="n">
        <f aca="false">IF(L461&lt;=Assumptions!$B$5,1,0)</f>
        <v>1</v>
      </c>
      <c r="N461" s="14" t="n">
        <f aca="false">IF(H461&gt;=G461,1,0)</f>
        <v>1</v>
      </c>
      <c r="O461" s="14" t="n">
        <f aca="false">M461*N461</f>
        <v>1</v>
      </c>
      <c r="P461" s="15" t="n">
        <f aca="false">L461*Assumptions!$B$6</f>
        <v>0</v>
      </c>
      <c r="Q461" s="31" t="n">
        <f aca="false">IF(I461=0,0,J461/I461)</f>
        <v>108.780876494024</v>
      </c>
      <c r="R461" s="18" t="n">
        <f aca="false">IF(H461=0,0,K461/H461)</f>
        <v>0.0166666666666667</v>
      </c>
      <c r="S461" s="14" t="n">
        <f aca="false">MONTH(D461)</f>
        <v>8</v>
      </c>
    </row>
    <row r="462" customFormat="false" ht="15" hidden="false" customHeight="false" outlineLevel="0" collapsed="false">
      <c r="A462" s="21" t="s">
        <v>558</v>
      </c>
      <c r="B462" s="21" t="s">
        <v>48</v>
      </c>
      <c r="C462" s="21" t="s">
        <v>53</v>
      </c>
      <c r="D462" s="29" t="n">
        <v>46167</v>
      </c>
      <c r="E462" s="29" t="n">
        <v>46174</v>
      </c>
      <c r="F462" s="29" t="n">
        <v>46174</v>
      </c>
      <c r="G462" s="21" t="n">
        <v>720</v>
      </c>
      <c r="H462" s="21" t="n">
        <v>720</v>
      </c>
      <c r="I462" s="21" t="n">
        <v>31</v>
      </c>
      <c r="J462" s="30" t="n">
        <v>6891</v>
      </c>
      <c r="K462" s="21" t="n">
        <v>35</v>
      </c>
      <c r="L462" s="14" t="n">
        <f aca="false">MAX(0,F462-E462)</f>
        <v>0</v>
      </c>
      <c r="M462" s="14" t="n">
        <f aca="false">IF(L462&lt;=Assumptions!$B$5,1,0)</f>
        <v>1</v>
      </c>
      <c r="N462" s="14" t="n">
        <f aca="false">IF(H462&gt;=G462,1,0)</f>
        <v>1</v>
      </c>
      <c r="O462" s="14" t="n">
        <f aca="false">M462*N462</f>
        <v>1</v>
      </c>
      <c r="P462" s="15" t="n">
        <f aca="false">L462*Assumptions!$B$6</f>
        <v>0</v>
      </c>
      <c r="Q462" s="31" t="n">
        <f aca="false">IF(I462=0,0,J462/I462)</f>
        <v>222.290322580645</v>
      </c>
      <c r="R462" s="18" t="n">
        <f aca="false">IF(H462=0,0,K462/H462)</f>
        <v>0.0486111111111111</v>
      </c>
      <c r="S462" s="14" t="n">
        <f aca="false">MONTH(D462)</f>
        <v>5</v>
      </c>
    </row>
    <row r="463" customFormat="false" ht="15" hidden="false" customHeight="false" outlineLevel="0" collapsed="false">
      <c r="A463" s="21" t="s">
        <v>559</v>
      </c>
      <c r="B463" s="21" t="s">
        <v>47</v>
      </c>
      <c r="C463" s="21" t="s">
        <v>55</v>
      </c>
      <c r="D463" s="29" t="n">
        <v>46089</v>
      </c>
      <c r="E463" s="29" t="n">
        <v>46098</v>
      </c>
      <c r="F463" s="29" t="n">
        <v>46102</v>
      </c>
      <c r="G463" s="21" t="n">
        <v>700</v>
      </c>
      <c r="H463" s="21" t="n">
        <v>700</v>
      </c>
      <c r="I463" s="21" t="n">
        <v>287</v>
      </c>
      <c r="J463" s="30" t="n">
        <v>27670</v>
      </c>
      <c r="K463" s="21" t="n">
        <v>35</v>
      </c>
      <c r="L463" s="14" t="n">
        <f aca="false">MAX(0,F463-E463)</f>
        <v>4</v>
      </c>
      <c r="M463" s="14" t="n">
        <f aca="false">IF(L463&lt;=Assumptions!$B$5,1,0)</f>
        <v>0</v>
      </c>
      <c r="N463" s="14" t="n">
        <f aca="false">IF(H463&gt;=G463,1,0)</f>
        <v>1</v>
      </c>
      <c r="O463" s="14" t="n">
        <f aca="false">M463*N463</f>
        <v>0</v>
      </c>
      <c r="P463" s="15" t="n">
        <f aca="false">L463*Assumptions!$B$6</f>
        <v>6000</v>
      </c>
      <c r="Q463" s="31" t="n">
        <f aca="false">IF(I463=0,0,J463/I463)</f>
        <v>96.411149825784</v>
      </c>
      <c r="R463" s="18" t="n">
        <f aca="false">IF(H463=0,0,K463/H463)</f>
        <v>0.05</v>
      </c>
      <c r="S463" s="14" t="n">
        <f aca="false">MONTH(D463)</f>
        <v>3</v>
      </c>
    </row>
    <row r="464" customFormat="false" ht="15" hidden="false" customHeight="false" outlineLevel="0" collapsed="false">
      <c r="A464" s="21" t="s">
        <v>560</v>
      </c>
      <c r="B464" s="21" t="s">
        <v>49</v>
      </c>
      <c r="C464" s="21" t="s">
        <v>57</v>
      </c>
      <c r="D464" s="29" t="n">
        <v>46098</v>
      </c>
      <c r="E464" s="29" t="n">
        <v>46107</v>
      </c>
      <c r="F464" s="29" t="n">
        <v>46106</v>
      </c>
      <c r="G464" s="21" t="n">
        <v>460</v>
      </c>
      <c r="H464" s="21" t="n">
        <v>460</v>
      </c>
      <c r="I464" s="21" t="n">
        <v>259</v>
      </c>
      <c r="J464" s="30" t="n">
        <v>24813</v>
      </c>
      <c r="K464" s="21" t="n">
        <v>6</v>
      </c>
      <c r="L464" s="14" t="n">
        <f aca="false">MAX(0,F464-E464)</f>
        <v>0</v>
      </c>
      <c r="M464" s="14" t="n">
        <f aca="false">IF(L464&lt;=Assumptions!$B$5,1,0)</f>
        <v>1</v>
      </c>
      <c r="N464" s="14" t="n">
        <f aca="false">IF(H464&gt;=G464,1,0)</f>
        <v>1</v>
      </c>
      <c r="O464" s="14" t="n">
        <f aca="false">M464*N464</f>
        <v>1</v>
      </c>
      <c r="P464" s="15" t="n">
        <f aca="false">L464*Assumptions!$B$6</f>
        <v>0</v>
      </c>
      <c r="Q464" s="31" t="n">
        <f aca="false">IF(I464=0,0,J464/I464)</f>
        <v>95.8030888030888</v>
      </c>
      <c r="R464" s="18" t="n">
        <f aca="false">IF(H464=0,0,K464/H464)</f>
        <v>0.0130434782608696</v>
      </c>
      <c r="S464" s="14" t="n">
        <f aca="false">MONTH(D464)</f>
        <v>3</v>
      </c>
    </row>
    <row r="465" customFormat="false" ht="15" hidden="false" customHeight="false" outlineLevel="0" collapsed="false">
      <c r="A465" s="21" t="s">
        <v>561</v>
      </c>
      <c r="B465" s="21" t="s">
        <v>48</v>
      </c>
      <c r="C465" s="21" t="s">
        <v>58</v>
      </c>
      <c r="D465" s="29" t="n">
        <v>46199</v>
      </c>
      <c r="E465" s="29" t="n">
        <v>46204</v>
      </c>
      <c r="F465" s="29" t="n">
        <v>46209</v>
      </c>
      <c r="G465" s="21" t="n">
        <v>840</v>
      </c>
      <c r="H465" s="21" t="n">
        <v>840</v>
      </c>
      <c r="I465" s="21" t="n">
        <v>251</v>
      </c>
      <c r="J465" s="30" t="n">
        <v>27267</v>
      </c>
      <c r="K465" s="21" t="n">
        <v>42</v>
      </c>
      <c r="L465" s="14" t="n">
        <f aca="false">MAX(0,F465-E465)</f>
        <v>5</v>
      </c>
      <c r="M465" s="14" t="n">
        <f aca="false">IF(L465&lt;=Assumptions!$B$5,1,0)</f>
        <v>0</v>
      </c>
      <c r="N465" s="14" t="n">
        <f aca="false">IF(H465&gt;=G465,1,0)</f>
        <v>1</v>
      </c>
      <c r="O465" s="14" t="n">
        <f aca="false">M465*N465</f>
        <v>0</v>
      </c>
      <c r="P465" s="15" t="n">
        <f aca="false">L465*Assumptions!$B$6</f>
        <v>7500</v>
      </c>
      <c r="Q465" s="31" t="n">
        <f aca="false">IF(I465=0,0,J465/I465)</f>
        <v>108.633466135458</v>
      </c>
      <c r="R465" s="18" t="n">
        <f aca="false">IF(H465=0,0,K465/H465)</f>
        <v>0.05</v>
      </c>
      <c r="S465" s="14" t="n">
        <f aca="false">MONTH(D465)</f>
        <v>6</v>
      </c>
    </row>
    <row r="466" customFormat="false" ht="15" hidden="false" customHeight="false" outlineLevel="0" collapsed="false">
      <c r="A466" s="21" t="s">
        <v>562</v>
      </c>
      <c r="B466" s="21" t="s">
        <v>46</v>
      </c>
      <c r="C466" s="21" t="s">
        <v>54</v>
      </c>
      <c r="D466" s="29" t="n">
        <v>46246</v>
      </c>
      <c r="E466" s="29" t="n">
        <v>46249</v>
      </c>
      <c r="F466" s="29" t="n">
        <v>46249</v>
      </c>
      <c r="G466" s="21" t="n">
        <v>350</v>
      </c>
      <c r="H466" s="21" t="n">
        <v>323</v>
      </c>
      <c r="I466" s="21" t="n">
        <v>495</v>
      </c>
      <c r="J466" s="30" t="n">
        <v>45020</v>
      </c>
      <c r="K466" s="21" t="n">
        <v>2</v>
      </c>
      <c r="L466" s="14" t="n">
        <f aca="false">MAX(0,F466-E466)</f>
        <v>0</v>
      </c>
      <c r="M466" s="14" t="n">
        <f aca="false">IF(L466&lt;=Assumptions!$B$5,1,0)</f>
        <v>1</v>
      </c>
      <c r="N466" s="14" t="n">
        <f aca="false">IF(H466&gt;=G466,1,0)</f>
        <v>0</v>
      </c>
      <c r="O466" s="14" t="n">
        <f aca="false">M466*N466</f>
        <v>0</v>
      </c>
      <c r="P466" s="15" t="n">
        <f aca="false">L466*Assumptions!$B$6</f>
        <v>0</v>
      </c>
      <c r="Q466" s="31" t="n">
        <f aca="false">IF(I466=0,0,J466/I466)</f>
        <v>90.949494949495</v>
      </c>
      <c r="R466" s="18" t="n">
        <f aca="false">IF(H466=0,0,K466/H466)</f>
        <v>0.00619195046439629</v>
      </c>
      <c r="S466" s="14" t="n">
        <f aca="false">MONTH(D466)</f>
        <v>8</v>
      </c>
    </row>
    <row r="467" customFormat="false" ht="15" hidden="false" customHeight="false" outlineLevel="0" collapsed="false">
      <c r="A467" s="21" t="s">
        <v>563</v>
      </c>
      <c r="B467" s="21" t="s">
        <v>47</v>
      </c>
      <c r="C467" s="21" t="s">
        <v>57</v>
      </c>
      <c r="D467" s="29" t="n">
        <v>46217</v>
      </c>
      <c r="E467" s="29" t="n">
        <v>46225</v>
      </c>
      <c r="F467" s="29" t="n">
        <v>46231</v>
      </c>
      <c r="G467" s="21" t="n">
        <v>70</v>
      </c>
      <c r="H467" s="21" t="n">
        <v>70</v>
      </c>
      <c r="I467" s="21" t="n">
        <v>308</v>
      </c>
      <c r="J467" s="30" t="n">
        <v>31826</v>
      </c>
      <c r="K467" s="21" t="n">
        <v>3</v>
      </c>
      <c r="L467" s="14" t="n">
        <f aca="false">MAX(0,F467-E467)</f>
        <v>6</v>
      </c>
      <c r="M467" s="14" t="n">
        <f aca="false">IF(L467&lt;=Assumptions!$B$5,1,0)</f>
        <v>0</v>
      </c>
      <c r="N467" s="14" t="n">
        <f aca="false">IF(H467&gt;=G467,1,0)</f>
        <v>1</v>
      </c>
      <c r="O467" s="14" t="n">
        <f aca="false">M467*N467</f>
        <v>0</v>
      </c>
      <c r="P467" s="15" t="n">
        <f aca="false">L467*Assumptions!$B$6</f>
        <v>9000</v>
      </c>
      <c r="Q467" s="31" t="n">
        <f aca="false">IF(I467=0,0,J467/I467)</f>
        <v>103.331168831169</v>
      </c>
      <c r="R467" s="18" t="n">
        <f aca="false">IF(H467=0,0,K467/H467)</f>
        <v>0.0428571428571429</v>
      </c>
      <c r="S467" s="14" t="n">
        <f aca="false">MONTH(D467)</f>
        <v>7</v>
      </c>
    </row>
    <row r="468" customFormat="false" ht="15" hidden="false" customHeight="false" outlineLevel="0" collapsed="false">
      <c r="A468" s="21" t="s">
        <v>564</v>
      </c>
      <c r="B468" s="21" t="s">
        <v>49</v>
      </c>
      <c r="C468" s="21" t="s">
        <v>58</v>
      </c>
      <c r="D468" s="29" t="n">
        <v>46164</v>
      </c>
      <c r="E468" s="29" t="n">
        <v>46171</v>
      </c>
      <c r="F468" s="29" t="n">
        <v>46171</v>
      </c>
      <c r="G468" s="21" t="n">
        <v>330</v>
      </c>
      <c r="H468" s="21" t="n">
        <v>330</v>
      </c>
      <c r="I468" s="21" t="n">
        <v>238</v>
      </c>
      <c r="J468" s="30" t="n">
        <v>16802</v>
      </c>
      <c r="K468" s="21" t="n">
        <v>4</v>
      </c>
      <c r="L468" s="14" t="n">
        <f aca="false">MAX(0,F468-E468)</f>
        <v>0</v>
      </c>
      <c r="M468" s="14" t="n">
        <f aca="false">IF(L468&lt;=Assumptions!$B$5,1,0)</f>
        <v>1</v>
      </c>
      <c r="N468" s="14" t="n">
        <f aca="false">IF(H468&gt;=G468,1,0)</f>
        <v>1</v>
      </c>
      <c r="O468" s="14" t="n">
        <f aca="false">M468*N468</f>
        <v>1</v>
      </c>
      <c r="P468" s="15" t="n">
        <f aca="false">L468*Assumptions!$B$6</f>
        <v>0</v>
      </c>
      <c r="Q468" s="31" t="n">
        <f aca="false">IF(I468=0,0,J468/I468)</f>
        <v>70.5966386554622</v>
      </c>
      <c r="R468" s="18" t="n">
        <f aca="false">IF(H468=0,0,K468/H468)</f>
        <v>0.0121212121212121</v>
      </c>
      <c r="S468" s="14" t="n">
        <f aca="false">MONTH(D468)</f>
        <v>5</v>
      </c>
    </row>
    <row r="469" customFormat="false" ht="15" hidden="false" customHeight="false" outlineLevel="0" collapsed="false">
      <c r="A469" s="21" t="s">
        <v>565</v>
      </c>
      <c r="B469" s="21" t="s">
        <v>49</v>
      </c>
      <c r="C469" s="21" t="s">
        <v>57</v>
      </c>
      <c r="D469" s="29" t="n">
        <v>46254</v>
      </c>
      <c r="E469" s="29" t="n">
        <v>46262</v>
      </c>
      <c r="F469" s="29" t="n">
        <v>46262</v>
      </c>
      <c r="G469" s="21" t="n">
        <v>90</v>
      </c>
      <c r="H469" s="21" t="n">
        <v>90</v>
      </c>
      <c r="I469" s="21" t="n">
        <v>268</v>
      </c>
      <c r="J469" s="30" t="n">
        <v>22617</v>
      </c>
      <c r="K469" s="21" t="n">
        <v>0</v>
      </c>
      <c r="L469" s="14" t="n">
        <f aca="false">MAX(0,F469-E469)</f>
        <v>0</v>
      </c>
      <c r="M469" s="14" t="n">
        <f aca="false">IF(L469&lt;=Assumptions!$B$5,1,0)</f>
        <v>1</v>
      </c>
      <c r="N469" s="14" t="n">
        <f aca="false">IF(H469&gt;=G469,1,0)</f>
        <v>1</v>
      </c>
      <c r="O469" s="14" t="n">
        <f aca="false">M469*N469</f>
        <v>1</v>
      </c>
      <c r="P469" s="15" t="n">
        <f aca="false">L469*Assumptions!$B$6</f>
        <v>0</v>
      </c>
      <c r="Q469" s="31" t="n">
        <f aca="false">IF(I469=0,0,J469/I469)</f>
        <v>84.3917910447761</v>
      </c>
      <c r="R469" s="18" t="n">
        <f aca="false">IF(H469=0,0,K469/H469)</f>
        <v>0</v>
      </c>
      <c r="S469" s="14" t="n">
        <f aca="false">MONTH(D469)</f>
        <v>8</v>
      </c>
    </row>
    <row r="470" customFormat="false" ht="15" hidden="false" customHeight="false" outlineLevel="0" collapsed="false">
      <c r="A470" s="21" t="s">
        <v>566</v>
      </c>
      <c r="B470" s="21" t="s">
        <v>48</v>
      </c>
      <c r="C470" s="21" t="s">
        <v>54</v>
      </c>
      <c r="D470" s="29" t="n">
        <v>46173</v>
      </c>
      <c r="E470" s="29" t="n">
        <v>46181</v>
      </c>
      <c r="F470" s="29" t="n">
        <v>46181</v>
      </c>
      <c r="G470" s="21" t="n">
        <v>460</v>
      </c>
      <c r="H470" s="21" t="n">
        <v>460</v>
      </c>
      <c r="I470" s="21" t="n">
        <v>436</v>
      </c>
      <c r="J470" s="30" t="n">
        <v>28127</v>
      </c>
      <c r="K470" s="21" t="n">
        <v>17</v>
      </c>
      <c r="L470" s="14" t="n">
        <f aca="false">MAX(0,F470-E470)</f>
        <v>0</v>
      </c>
      <c r="M470" s="14" t="n">
        <f aca="false">IF(L470&lt;=Assumptions!$B$5,1,0)</f>
        <v>1</v>
      </c>
      <c r="N470" s="14" t="n">
        <f aca="false">IF(H470&gt;=G470,1,0)</f>
        <v>1</v>
      </c>
      <c r="O470" s="14" t="n">
        <f aca="false">M470*N470</f>
        <v>1</v>
      </c>
      <c r="P470" s="15" t="n">
        <f aca="false">L470*Assumptions!$B$6</f>
        <v>0</v>
      </c>
      <c r="Q470" s="31" t="n">
        <f aca="false">IF(I470=0,0,J470/I470)</f>
        <v>64.5114678899083</v>
      </c>
      <c r="R470" s="18" t="n">
        <f aca="false">IF(H470=0,0,K470/H470)</f>
        <v>0.0369565217391304</v>
      </c>
      <c r="S470" s="14" t="n">
        <f aca="false">MONTH(D470)</f>
        <v>5</v>
      </c>
    </row>
    <row r="471" customFormat="false" ht="15" hidden="false" customHeight="false" outlineLevel="0" collapsed="false">
      <c r="A471" s="21" t="s">
        <v>567</v>
      </c>
      <c r="B471" s="21" t="s">
        <v>49</v>
      </c>
      <c r="C471" s="21" t="s">
        <v>58</v>
      </c>
      <c r="D471" s="29" t="n">
        <v>46047</v>
      </c>
      <c r="E471" s="29" t="n">
        <v>46050</v>
      </c>
      <c r="F471" s="29" t="n">
        <v>46049</v>
      </c>
      <c r="G471" s="21" t="n">
        <v>220</v>
      </c>
      <c r="H471" s="21" t="n">
        <v>220</v>
      </c>
      <c r="I471" s="21" t="n">
        <v>220</v>
      </c>
      <c r="J471" s="30" t="n">
        <v>18806</v>
      </c>
      <c r="K471" s="21" t="n">
        <v>0</v>
      </c>
      <c r="L471" s="14" t="n">
        <f aca="false">MAX(0,F471-E471)</f>
        <v>0</v>
      </c>
      <c r="M471" s="14" t="n">
        <f aca="false">IF(L471&lt;=Assumptions!$B$5,1,0)</f>
        <v>1</v>
      </c>
      <c r="N471" s="14" t="n">
        <f aca="false">IF(H471&gt;=G471,1,0)</f>
        <v>1</v>
      </c>
      <c r="O471" s="14" t="n">
        <f aca="false">M471*N471</f>
        <v>1</v>
      </c>
      <c r="P471" s="15" t="n">
        <f aca="false">L471*Assumptions!$B$6</f>
        <v>0</v>
      </c>
      <c r="Q471" s="31" t="n">
        <f aca="false">IF(I471=0,0,J471/I471)</f>
        <v>85.4818181818182</v>
      </c>
      <c r="R471" s="18" t="n">
        <f aca="false">IF(H471=0,0,K471/H471)</f>
        <v>0</v>
      </c>
      <c r="S471" s="14" t="n">
        <f aca="false">MONTH(D471)</f>
        <v>1</v>
      </c>
    </row>
    <row r="472" customFormat="false" ht="15" hidden="false" customHeight="false" outlineLevel="0" collapsed="false">
      <c r="A472" s="21" t="s">
        <v>568</v>
      </c>
      <c r="B472" s="21" t="s">
        <v>48</v>
      </c>
      <c r="C472" s="21" t="s">
        <v>55</v>
      </c>
      <c r="D472" s="29" t="n">
        <v>46185</v>
      </c>
      <c r="E472" s="29" t="n">
        <v>46188</v>
      </c>
      <c r="F472" s="29" t="n">
        <v>46188</v>
      </c>
      <c r="G472" s="21" t="n">
        <v>710</v>
      </c>
      <c r="H472" s="21" t="n">
        <v>710</v>
      </c>
      <c r="I472" s="21" t="n">
        <v>308</v>
      </c>
      <c r="J472" s="30" t="n">
        <v>33801</v>
      </c>
      <c r="K472" s="21" t="n">
        <v>29</v>
      </c>
      <c r="L472" s="14" t="n">
        <f aca="false">MAX(0,F472-E472)</f>
        <v>0</v>
      </c>
      <c r="M472" s="14" t="n">
        <f aca="false">IF(L472&lt;=Assumptions!$B$5,1,0)</f>
        <v>1</v>
      </c>
      <c r="N472" s="14" t="n">
        <f aca="false">IF(H472&gt;=G472,1,0)</f>
        <v>1</v>
      </c>
      <c r="O472" s="14" t="n">
        <f aca="false">M472*N472</f>
        <v>1</v>
      </c>
      <c r="P472" s="15" t="n">
        <f aca="false">L472*Assumptions!$B$6</f>
        <v>0</v>
      </c>
      <c r="Q472" s="31" t="n">
        <f aca="false">IF(I472=0,0,J472/I472)</f>
        <v>109.743506493506</v>
      </c>
      <c r="R472" s="18" t="n">
        <f aca="false">IF(H472=0,0,K472/H472)</f>
        <v>0.0408450704225352</v>
      </c>
      <c r="S472" s="14" t="n">
        <f aca="false">MONTH(D472)</f>
        <v>6</v>
      </c>
    </row>
    <row r="473" customFormat="false" ht="15" hidden="false" customHeight="false" outlineLevel="0" collapsed="false">
      <c r="A473" s="21" t="s">
        <v>569</v>
      </c>
      <c r="B473" s="21" t="s">
        <v>48</v>
      </c>
      <c r="C473" s="21" t="s">
        <v>55</v>
      </c>
      <c r="D473" s="29" t="n">
        <v>46229</v>
      </c>
      <c r="E473" s="29" t="n">
        <v>46236</v>
      </c>
      <c r="F473" s="29" t="n">
        <v>46236</v>
      </c>
      <c r="G473" s="21" t="n">
        <v>100</v>
      </c>
      <c r="H473" s="21" t="n">
        <v>100</v>
      </c>
      <c r="I473" s="21" t="n">
        <v>358</v>
      </c>
      <c r="J473" s="30" t="n">
        <v>39700</v>
      </c>
      <c r="K473" s="21" t="n">
        <v>0</v>
      </c>
      <c r="L473" s="14" t="n">
        <f aca="false">MAX(0,F473-E473)</f>
        <v>0</v>
      </c>
      <c r="M473" s="14" t="n">
        <f aca="false">IF(L473&lt;=Assumptions!$B$5,1,0)</f>
        <v>1</v>
      </c>
      <c r="N473" s="14" t="n">
        <f aca="false">IF(H473&gt;=G473,1,0)</f>
        <v>1</v>
      </c>
      <c r="O473" s="14" t="n">
        <f aca="false">M473*N473</f>
        <v>1</v>
      </c>
      <c r="P473" s="15" t="n">
        <f aca="false">L473*Assumptions!$B$6</f>
        <v>0</v>
      </c>
      <c r="Q473" s="31" t="n">
        <f aca="false">IF(I473=0,0,J473/I473)</f>
        <v>110.893854748603</v>
      </c>
      <c r="R473" s="18" t="n">
        <f aca="false">IF(H473=0,0,K473/H473)</f>
        <v>0</v>
      </c>
      <c r="S473" s="14" t="n">
        <f aca="false">MONTH(D473)</f>
        <v>7</v>
      </c>
    </row>
    <row r="474" customFormat="false" ht="15" hidden="false" customHeight="false" outlineLevel="0" collapsed="false">
      <c r="A474" s="21" t="s">
        <v>570</v>
      </c>
      <c r="B474" s="21" t="s">
        <v>50</v>
      </c>
      <c r="C474" s="21" t="s">
        <v>53</v>
      </c>
      <c r="D474" s="29" t="n">
        <v>46172</v>
      </c>
      <c r="E474" s="29" t="n">
        <v>46179</v>
      </c>
      <c r="F474" s="29" t="n">
        <v>46179</v>
      </c>
      <c r="G474" s="21" t="n">
        <v>420</v>
      </c>
      <c r="H474" s="21" t="n">
        <v>366</v>
      </c>
      <c r="I474" s="21" t="n">
        <v>35</v>
      </c>
      <c r="J474" s="30" t="n">
        <v>5780</v>
      </c>
      <c r="K474" s="21" t="n">
        <v>4</v>
      </c>
      <c r="L474" s="14" t="n">
        <f aca="false">MAX(0,F474-E474)</f>
        <v>0</v>
      </c>
      <c r="M474" s="14" t="n">
        <f aca="false">IF(L474&lt;=Assumptions!$B$5,1,0)</f>
        <v>1</v>
      </c>
      <c r="N474" s="14" t="n">
        <f aca="false">IF(H474&gt;=G474,1,0)</f>
        <v>0</v>
      </c>
      <c r="O474" s="14" t="n">
        <f aca="false">M474*N474</f>
        <v>0</v>
      </c>
      <c r="P474" s="15" t="n">
        <f aca="false">L474*Assumptions!$B$6</f>
        <v>0</v>
      </c>
      <c r="Q474" s="31" t="n">
        <f aca="false">IF(I474=0,0,J474/I474)</f>
        <v>165.142857142857</v>
      </c>
      <c r="R474" s="18" t="n">
        <f aca="false">IF(H474=0,0,K474/H474)</f>
        <v>0.0109289617486339</v>
      </c>
      <c r="S474" s="14" t="n">
        <f aca="false">MONTH(D474)</f>
        <v>5</v>
      </c>
    </row>
    <row r="475" customFormat="false" ht="15" hidden="false" customHeight="false" outlineLevel="0" collapsed="false">
      <c r="A475" s="21" t="s">
        <v>571</v>
      </c>
      <c r="B475" s="21" t="s">
        <v>47</v>
      </c>
      <c r="C475" s="21" t="s">
        <v>56</v>
      </c>
      <c r="D475" s="29" t="n">
        <v>46146</v>
      </c>
      <c r="E475" s="29" t="n">
        <v>46149</v>
      </c>
      <c r="F475" s="29" t="n">
        <v>46148</v>
      </c>
      <c r="G475" s="21" t="n">
        <v>860</v>
      </c>
      <c r="H475" s="21" t="n">
        <v>860</v>
      </c>
      <c r="I475" s="21" t="n">
        <v>173</v>
      </c>
      <c r="J475" s="30" t="n">
        <v>18559</v>
      </c>
      <c r="K475" s="21" t="n">
        <v>8</v>
      </c>
      <c r="L475" s="14" t="n">
        <f aca="false">MAX(0,F475-E475)</f>
        <v>0</v>
      </c>
      <c r="M475" s="14" t="n">
        <f aca="false">IF(L475&lt;=Assumptions!$B$5,1,0)</f>
        <v>1</v>
      </c>
      <c r="N475" s="14" t="n">
        <f aca="false">IF(H475&gt;=G475,1,0)</f>
        <v>1</v>
      </c>
      <c r="O475" s="14" t="n">
        <f aca="false">M475*N475</f>
        <v>1</v>
      </c>
      <c r="P475" s="15" t="n">
        <f aca="false">L475*Assumptions!$B$6</f>
        <v>0</v>
      </c>
      <c r="Q475" s="31" t="n">
        <f aca="false">IF(I475=0,0,J475/I475)</f>
        <v>107.277456647399</v>
      </c>
      <c r="R475" s="18" t="n">
        <f aca="false">IF(H475=0,0,K475/H475)</f>
        <v>0.00930232558139535</v>
      </c>
      <c r="S475" s="14" t="n">
        <f aca="false">MONTH(D475)</f>
        <v>5</v>
      </c>
    </row>
    <row r="476" customFormat="false" ht="15" hidden="false" customHeight="false" outlineLevel="0" collapsed="false">
      <c r="A476" s="21" t="s">
        <v>572</v>
      </c>
      <c r="B476" s="21" t="s">
        <v>47</v>
      </c>
      <c r="C476" s="21" t="s">
        <v>57</v>
      </c>
      <c r="D476" s="29" t="n">
        <v>46135</v>
      </c>
      <c r="E476" s="29" t="n">
        <v>46145</v>
      </c>
      <c r="F476" s="29" t="n">
        <v>46145</v>
      </c>
      <c r="G476" s="21" t="n">
        <v>960</v>
      </c>
      <c r="H476" s="21" t="n">
        <v>914</v>
      </c>
      <c r="I476" s="21" t="n">
        <v>270</v>
      </c>
      <c r="J476" s="30" t="n">
        <v>24082</v>
      </c>
      <c r="K476" s="21" t="n">
        <v>25</v>
      </c>
      <c r="L476" s="14" t="n">
        <f aca="false">MAX(0,F476-E476)</f>
        <v>0</v>
      </c>
      <c r="M476" s="14" t="n">
        <f aca="false">IF(L476&lt;=Assumptions!$B$5,1,0)</f>
        <v>1</v>
      </c>
      <c r="N476" s="14" t="n">
        <f aca="false">IF(H476&gt;=G476,1,0)</f>
        <v>0</v>
      </c>
      <c r="O476" s="14" t="n">
        <f aca="false">M476*N476</f>
        <v>0</v>
      </c>
      <c r="P476" s="15" t="n">
        <f aca="false">L476*Assumptions!$B$6</f>
        <v>0</v>
      </c>
      <c r="Q476" s="31" t="n">
        <f aca="false">IF(I476=0,0,J476/I476)</f>
        <v>89.1925925925926</v>
      </c>
      <c r="R476" s="18" t="n">
        <f aca="false">IF(H476=0,0,K476/H476)</f>
        <v>0.0273522975929978</v>
      </c>
      <c r="S476" s="14" t="n">
        <f aca="false">MONTH(D476)</f>
        <v>4</v>
      </c>
    </row>
    <row r="477" customFormat="false" ht="15" hidden="false" customHeight="false" outlineLevel="0" collapsed="false">
      <c r="A477" s="21" t="s">
        <v>573</v>
      </c>
      <c r="B477" s="21" t="s">
        <v>48</v>
      </c>
      <c r="C477" s="21" t="s">
        <v>57</v>
      </c>
      <c r="D477" s="29" t="n">
        <v>46048</v>
      </c>
      <c r="E477" s="29" t="n">
        <v>46054</v>
      </c>
      <c r="F477" s="29" t="n">
        <v>46054</v>
      </c>
      <c r="G477" s="21" t="n">
        <v>960</v>
      </c>
      <c r="H477" s="21" t="n">
        <v>960</v>
      </c>
      <c r="I477" s="21" t="n">
        <v>322</v>
      </c>
      <c r="J477" s="30" t="n">
        <v>37790</v>
      </c>
      <c r="K477" s="21" t="n">
        <v>2</v>
      </c>
      <c r="L477" s="14" t="n">
        <f aca="false">MAX(0,F477-E477)</f>
        <v>0</v>
      </c>
      <c r="M477" s="14" t="n">
        <f aca="false">IF(L477&lt;=Assumptions!$B$5,1,0)</f>
        <v>1</v>
      </c>
      <c r="N477" s="14" t="n">
        <f aca="false">IF(H477&gt;=G477,1,0)</f>
        <v>1</v>
      </c>
      <c r="O477" s="14" t="n">
        <f aca="false">M477*N477</f>
        <v>1</v>
      </c>
      <c r="P477" s="15" t="n">
        <f aca="false">L477*Assumptions!$B$6</f>
        <v>0</v>
      </c>
      <c r="Q477" s="31" t="n">
        <f aca="false">IF(I477=0,0,J477/I477)</f>
        <v>117.360248447205</v>
      </c>
      <c r="R477" s="18" t="n">
        <f aca="false">IF(H477=0,0,K477/H477)</f>
        <v>0.00208333333333333</v>
      </c>
      <c r="S477" s="14" t="n">
        <f aca="false">MONTH(D477)</f>
        <v>1</v>
      </c>
    </row>
    <row r="478" customFormat="false" ht="15" hidden="false" customHeight="false" outlineLevel="0" collapsed="false">
      <c r="A478" s="21" t="s">
        <v>574</v>
      </c>
      <c r="B478" s="21" t="s">
        <v>46</v>
      </c>
      <c r="C478" s="21" t="s">
        <v>53</v>
      </c>
      <c r="D478" s="29" t="n">
        <v>46263</v>
      </c>
      <c r="E478" s="29" t="n">
        <v>46271</v>
      </c>
      <c r="F478" s="29" t="n">
        <v>46270</v>
      </c>
      <c r="G478" s="21" t="n">
        <v>960</v>
      </c>
      <c r="H478" s="21" t="n">
        <v>960</v>
      </c>
      <c r="I478" s="21" t="n">
        <v>43</v>
      </c>
      <c r="J478" s="30" t="n">
        <v>6570</v>
      </c>
      <c r="K478" s="21" t="n">
        <v>14</v>
      </c>
      <c r="L478" s="14" t="n">
        <f aca="false">MAX(0,F478-E478)</f>
        <v>0</v>
      </c>
      <c r="M478" s="14" t="n">
        <f aca="false">IF(L478&lt;=Assumptions!$B$5,1,0)</f>
        <v>1</v>
      </c>
      <c r="N478" s="14" t="n">
        <f aca="false">IF(H478&gt;=G478,1,0)</f>
        <v>1</v>
      </c>
      <c r="O478" s="14" t="n">
        <f aca="false">M478*N478</f>
        <v>1</v>
      </c>
      <c r="P478" s="15" t="n">
        <f aca="false">L478*Assumptions!$B$6</f>
        <v>0</v>
      </c>
      <c r="Q478" s="31" t="n">
        <f aca="false">IF(I478=0,0,J478/I478)</f>
        <v>152.790697674419</v>
      </c>
      <c r="R478" s="18" t="n">
        <f aca="false">IF(H478=0,0,K478/H478)</f>
        <v>0.0145833333333333</v>
      </c>
      <c r="S478" s="14" t="n">
        <f aca="false">MONTH(D478)</f>
        <v>8</v>
      </c>
    </row>
    <row r="479" customFormat="false" ht="15" hidden="false" customHeight="false" outlineLevel="0" collapsed="false">
      <c r="A479" s="21" t="s">
        <v>575</v>
      </c>
      <c r="B479" s="21" t="s">
        <v>50</v>
      </c>
      <c r="C479" s="21" t="s">
        <v>53</v>
      </c>
      <c r="D479" s="29" t="n">
        <v>46052</v>
      </c>
      <c r="E479" s="29" t="n">
        <v>46057</v>
      </c>
      <c r="F479" s="29" t="n">
        <v>46057</v>
      </c>
      <c r="G479" s="21" t="n">
        <v>460</v>
      </c>
      <c r="H479" s="21" t="n">
        <v>460</v>
      </c>
      <c r="I479" s="21" t="n">
        <v>55</v>
      </c>
      <c r="J479" s="30" t="n">
        <v>5200</v>
      </c>
      <c r="K479" s="21" t="n">
        <v>10</v>
      </c>
      <c r="L479" s="14" t="n">
        <f aca="false">MAX(0,F479-E479)</f>
        <v>0</v>
      </c>
      <c r="M479" s="14" t="n">
        <f aca="false">IF(L479&lt;=Assumptions!$B$5,1,0)</f>
        <v>1</v>
      </c>
      <c r="N479" s="14" t="n">
        <f aca="false">IF(H479&gt;=G479,1,0)</f>
        <v>1</v>
      </c>
      <c r="O479" s="14" t="n">
        <f aca="false">M479*N479</f>
        <v>1</v>
      </c>
      <c r="P479" s="15" t="n">
        <f aca="false">L479*Assumptions!$B$6</f>
        <v>0</v>
      </c>
      <c r="Q479" s="31" t="n">
        <f aca="false">IF(I479=0,0,J479/I479)</f>
        <v>94.5454545454546</v>
      </c>
      <c r="R479" s="18" t="n">
        <f aca="false">IF(H479=0,0,K479/H479)</f>
        <v>0.0217391304347826</v>
      </c>
      <c r="S479" s="14" t="n">
        <f aca="false">MONTH(D479)</f>
        <v>1</v>
      </c>
    </row>
    <row r="480" customFormat="false" ht="15" hidden="false" customHeight="false" outlineLevel="0" collapsed="false">
      <c r="A480" s="21" t="s">
        <v>576</v>
      </c>
      <c r="B480" s="21" t="s">
        <v>49</v>
      </c>
      <c r="C480" s="21" t="s">
        <v>55</v>
      </c>
      <c r="D480" s="29" t="n">
        <v>46055</v>
      </c>
      <c r="E480" s="29" t="n">
        <v>46060</v>
      </c>
      <c r="F480" s="29" t="n">
        <v>46060</v>
      </c>
      <c r="G480" s="21" t="n">
        <v>470</v>
      </c>
      <c r="H480" s="21" t="n">
        <v>470</v>
      </c>
      <c r="I480" s="21" t="n">
        <v>287</v>
      </c>
      <c r="J480" s="30" t="n">
        <v>23491</v>
      </c>
      <c r="K480" s="21" t="n">
        <v>4</v>
      </c>
      <c r="L480" s="14" t="n">
        <f aca="false">MAX(0,F480-E480)</f>
        <v>0</v>
      </c>
      <c r="M480" s="14" t="n">
        <f aca="false">IF(L480&lt;=Assumptions!$B$5,1,0)</f>
        <v>1</v>
      </c>
      <c r="N480" s="14" t="n">
        <f aca="false">IF(H480&gt;=G480,1,0)</f>
        <v>1</v>
      </c>
      <c r="O480" s="14" t="n">
        <f aca="false">M480*N480</f>
        <v>1</v>
      </c>
      <c r="P480" s="15" t="n">
        <f aca="false">L480*Assumptions!$B$6</f>
        <v>0</v>
      </c>
      <c r="Q480" s="31" t="n">
        <f aca="false">IF(I480=0,0,J480/I480)</f>
        <v>81.8501742160279</v>
      </c>
      <c r="R480" s="18" t="n">
        <f aca="false">IF(H480=0,0,K480/H480)</f>
        <v>0.00851063829787234</v>
      </c>
      <c r="S480" s="14" t="n">
        <f aca="false">MONTH(D480)</f>
        <v>2</v>
      </c>
    </row>
    <row r="481" customFormat="false" ht="15" hidden="false" customHeight="false" outlineLevel="0" collapsed="false">
      <c r="A481" s="21" t="s">
        <v>577</v>
      </c>
      <c r="B481" s="21" t="s">
        <v>46</v>
      </c>
      <c r="C481" s="21" t="s">
        <v>56</v>
      </c>
      <c r="D481" s="29" t="n">
        <v>46199</v>
      </c>
      <c r="E481" s="29" t="n">
        <v>46208</v>
      </c>
      <c r="F481" s="29" t="n">
        <v>46208</v>
      </c>
      <c r="G481" s="21" t="n">
        <v>620</v>
      </c>
      <c r="H481" s="21" t="n">
        <v>620</v>
      </c>
      <c r="I481" s="21" t="n">
        <v>165</v>
      </c>
      <c r="J481" s="30" t="n">
        <v>17523</v>
      </c>
      <c r="K481" s="21" t="n">
        <v>8</v>
      </c>
      <c r="L481" s="14" t="n">
        <f aca="false">MAX(0,F481-E481)</f>
        <v>0</v>
      </c>
      <c r="M481" s="14" t="n">
        <f aca="false">IF(L481&lt;=Assumptions!$B$5,1,0)</f>
        <v>1</v>
      </c>
      <c r="N481" s="14" t="n">
        <f aca="false">IF(H481&gt;=G481,1,0)</f>
        <v>1</v>
      </c>
      <c r="O481" s="14" t="n">
        <f aca="false">M481*N481</f>
        <v>1</v>
      </c>
      <c r="P481" s="15" t="n">
        <f aca="false">L481*Assumptions!$B$6</f>
        <v>0</v>
      </c>
      <c r="Q481" s="31" t="n">
        <f aca="false">IF(I481=0,0,J481/I481)</f>
        <v>106.2</v>
      </c>
      <c r="R481" s="18" t="n">
        <f aca="false">IF(H481=0,0,K481/H481)</f>
        <v>0.0129032258064516</v>
      </c>
      <c r="S481" s="14" t="n">
        <f aca="false">MONTH(D481)</f>
        <v>6</v>
      </c>
    </row>
    <row r="482" customFormat="false" ht="15" hidden="false" customHeight="false" outlineLevel="0" collapsed="false">
      <c r="A482" s="21" t="s">
        <v>578</v>
      </c>
      <c r="B482" s="21" t="s">
        <v>46</v>
      </c>
      <c r="C482" s="21" t="s">
        <v>55</v>
      </c>
      <c r="D482" s="29" t="n">
        <v>46271</v>
      </c>
      <c r="E482" s="29" t="n">
        <v>46274</v>
      </c>
      <c r="F482" s="29" t="n">
        <v>46274</v>
      </c>
      <c r="G482" s="21" t="n">
        <v>190</v>
      </c>
      <c r="H482" s="21" t="n">
        <v>190</v>
      </c>
      <c r="I482" s="21" t="n">
        <v>335</v>
      </c>
      <c r="J482" s="30" t="n">
        <v>21943</v>
      </c>
      <c r="K482" s="21" t="n">
        <v>4</v>
      </c>
      <c r="L482" s="14" t="n">
        <f aca="false">MAX(0,F482-E482)</f>
        <v>0</v>
      </c>
      <c r="M482" s="14" t="n">
        <f aca="false">IF(L482&lt;=Assumptions!$B$5,1,0)</f>
        <v>1</v>
      </c>
      <c r="N482" s="14" t="n">
        <f aca="false">IF(H482&gt;=G482,1,0)</f>
        <v>1</v>
      </c>
      <c r="O482" s="14" t="n">
        <f aca="false">M482*N482</f>
        <v>1</v>
      </c>
      <c r="P482" s="15" t="n">
        <f aca="false">L482*Assumptions!$B$6</f>
        <v>0</v>
      </c>
      <c r="Q482" s="31" t="n">
        <f aca="false">IF(I482=0,0,J482/I482)</f>
        <v>65.5014925373134</v>
      </c>
      <c r="R482" s="18" t="n">
        <f aca="false">IF(H482=0,0,K482/H482)</f>
        <v>0.0210526315789474</v>
      </c>
      <c r="S482" s="14" t="n">
        <f aca="false">MONTH(D482)</f>
        <v>9</v>
      </c>
    </row>
    <row r="483" customFormat="false" ht="15" hidden="false" customHeight="false" outlineLevel="0" collapsed="false">
      <c r="A483" s="21" t="s">
        <v>579</v>
      </c>
      <c r="B483" s="21" t="s">
        <v>46</v>
      </c>
      <c r="C483" s="21" t="s">
        <v>53</v>
      </c>
      <c r="D483" s="29" t="n">
        <v>46089</v>
      </c>
      <c r="E483" s="29" t="n">
        <v>46094</v>
      </c>
      <c r="F483" s="29" t="n">
        <v>46095</v>
      </c>
      <c r="G483" s="21" t="n">
        <v>490</v>
      </c>
      <c r="H483" s="21" t="n">
        <v>490</v>
      </c>
      <c r="I483" s="21" t="n">
        <v>51</v>
      </c>
      <c r="J483" s="30" t="n">
        <v>7705</v>
      </c>
      <c r="K483" s="21" t="n">
        <v>7</v>
      </c>
      <c r="L483" s="14" t="n">
        <f aca="false">MAX(0,F483-E483)</f>
        <v>1</v>
      </c>
      <c r="M483" s="14" t="n">
        <f aca="false">IF(L483&lt;=Assumptions!$B$5,1,0)</f>
        <v>0</v>
      </c>
      <c r="N483" s="14" t="n">
        <f aca="false">IF(H483&gt;=G483,1,0)</f>
        <v>1</v>
      </c>
      <c r="O483" s="14" t="n">
        <f aca="false">M483*N483</f>
        <v>0</v>
      </c>
      <c r="P483" s="15" t="n">
        <f aca="false">L483*Assumptions!$B$6</f>
        <v>1500</v>
      </c>
      <c r="Q483" s="31" t="n">
        <f aca="false">IF(I483=0,0,J483/I483)</f>
        <v>151.078431372549</v>
      </c>
      <c r="R483" s="18" t="n">
        <f aca="false">IF(H483=0,0,K483/H483)</f>
        <v>0.0142857142857143</v>
      </c>
      <c r="S483" s="14" t="n">
        <f aca="false">MONTH(D483)</f>
        <v>3</v>
      </c>
    </row>
    <row r="484" customFormat="false" ht="15" hidden="false" customHeight="false" outlineLevel="0" collapsed="false">
      <c r="A484" s="21" t="s">
        <v>580</v>
      </c>
      <c r="B484" s="21" t="s">
        <v>46</v>
      </c>
      <c r="C484" s="21" t="s">
        <v>57</v>
      </c>
      <c r="D484" s="29" t="n">
        <v>46106</v>
      </c>
      <c r="E484" s="29" t="n">
        <v>46110</v>
      </c>
      <c r="F484" s="29" t="n">
        <v>46110</v>
      </c>
      <c r="G484" s="21" t="n">
        <v>960</v>
      </c>
      <c r="H484" s="21" t="n">
        <v>960</v>
      </c>
      <c r="I484" s="21" t="n">
        <v>278</v>
      </c>
      <c r="J484" s="30" t="n">
        <v>33315</v>
      </c>
      <c r="K484" s="21" t="n">
        <v>18</v>
      </c>
      <c r="L484" s="14" t="n">
        <f aca="false">MAX(0,F484-E484)</f>
        <v>0</v>
      </c>
      <c r="M484" s="14" t="n">
        <f aca="false">IF(L484&lt;=Assumptions!$B$5,1,0)</f>
        <v>1</v>
      </c>
      <c r="N484" s="14" t="n">
        <f aca="false">IF(H484&gt;=G484,1,0)</f>
        <v>1</v>
      </c>
      <c r="O484" s="14" t="n">
        <f aca="false">M484*N484</f>
        <v>1</v>
      </c>
      <c r="P484" s="15" t="n">
        <f aca="false">L484*Assumptions!$B$6</f>
        <v>0</v>
      </c>
      <c r="Q484" s="31" t="n">
        <f aca="false">IF(I484=0,0,J484/I484)</f>
        <v>119.838129496403</v>
      </c>
      <c r="R484" s="18" t="n">
        <f aca="false">IF(H484=0,0,K484/H484)</f>
        <v>0.01875</v>
      </c>
      <c r="S484" s="14" t="n">
        <f aca="false">MONTH(D484)</f>
        <v>3</v>
      </c>
    </row>
    <row r="485" customFormat="false" ht="15" hidden="false" customHeight="false" outlineLevel="0" collapsed="false">
      <c r="A485" s="21" t="s">
        <v>581</v>
      </c>
      <c r="B485" s="21" t="s">
        <v>50</v>
      </c>
      <c r="C485" s="21" t="s">
        <v>58</v>
      </c>
      <c r="D485" s="29" t="n">
        <v>46209</v>
      </c>
      <c r="E485" s="29" t="n">
        <v>46214</v>
      </c>
      <c r="F485" s="29" t="n">
        <v>46217</v>
      </c>
      <c r="G485" s="21" t="n">
        <v>70</v>
      </c>
      <c r="H485" s="21" t="n">
        <v>70</v>
      </c>
      <c r="I485" s="21" t="n">
        <v>233</v>
      </c>
      <c r="J485" s="30" t="n">
        <v>15281</v>
      </c>
      <c r="K485" s="21" t="n">
        <v>0</v>
      </c>
      <c r="L485" s="14" t="n">
        <f aca="false">MAX(0,F485-E485)</f>
        <v>3</v>
      </c>
      <c r="M485" s="14" t="n">
        <f aca="false">IF(L485&lt;=Assumptions!$B$5,1,0)</f>
        <v>0</v>
      </c>
      <c r="N485" s="14" t="n">
        <f aca="false">IF(H485&gt;=G485,1,0)</f>
        <v>1</v>
      </c>
      <c r="O485" s="14" t="n">
        <f aca="false">M485*N485</f>
        <v>0</v>
      </c>
      <c r="P485" s="15" t="n">
        <f aca="false">L485*Assumptions!$B$6</f>
        <v>4500</v>
      </c>
      <c r="Q485" s="31" t="n">
        <f aca="false">IF(I485=0,0,J485/I485)</f>
        <v>65.5836909871245</v>
      </c>
      <c r="R485" s="18" t="n">
        <f aca="false">IF(H485=0,0,K485/H485)</f>
        <v>0</v>
      </c>
      <c r="S485" s="14" t="n">
        <f aca="false">MONTH(D485)</f>
        <v>7</v>
      </c>
    </row>
    <row r="486" customFormat="false" ht="15" hidden="false" customHeight="false" outlineLevel="0" collapsed="false">
      <c r="A486" s="21" t="s">
        <v>582</v>
      </c>
      <c r="B486" s="21" t="s">
        <v>49</v>
      </c>
      <c r="C486" s="21" t="s">
        <v>54</v>
      </c>
      <c r="D486" s="29" t="n">
        <v>46215</v>
      </c>
      <c r="E486" s="29" t="n">
        <v>46220</v>
      </c>
      <c r="F486" s="29" t="n">
        <v>46220</v>
      </c>
      <c r="G486" s="21" t="n">
        <v>590</v>
      </c>
      <c r="H486" s="21" t="n">
        <v>590</v>
      </c>
      <c r="I486" s="21" t="n">
        <v>455</v>
      </c>
      <c r="J486" s="30" t="n">
        <v>32068</v>
      </c>
      <c r="K486" s="21" t="n">
        <v>2</v>
      </c>
      <c r="L486" s="14" t="n">
        <f aca="false">MAX(0,F486-E486)</f>
        <v>0</v>
      </c>
      <c r="M486" s="14" t="n">
        <f aca="false">IF(L486&lt;=Assumptions!$B$5,1,0)</f>
        <v>1</v>
      </c>
      <c r="N486" s="14" t="n">
        <f aca="false">IF(H486&gt;=G486,1,0)</f>
        <v>1</v>
      </c>
      <c r="O486" s="14" t="n">
        <f aca="false">M486*N486</f>
        <v>1</v>
      </c>
      <c r="P486" s="15" t="n">
        <f aca="false">L486*Assumptions!$B$6</f>
        <v>0</v>
      </c>
      <c r="Q486" s="31" t="n">
        <f aca="false">IF(I486=0,0,J486/I486)</f>
        <v>70.4791208791209</v>
      </c>
      <c r="R486" s="18" t="n">
        <f aca="false">IF(H486=0,0,K486/H486)</f>
        <v>0.00338983050847458</v>
      </c>
      <c r="S486" s="14" t="n">
        <f aca="false">MONTH(D486)</f>
        <v>7</v>
      </c>
    </row>
    <row r="487" customFormat="false" ht="15" hidden="false" customHeight="false" outlineLevel="0" collapsed="false">
      <c r="A487" s="21" t="s">
        <v>583</v>
      </c>
      <c r="B487" s="21" t="s">
        <v>48</v>
      </c>
      <c r="C487" s="21" t="s">
        <v>53</v>
      </c>
      <c r="D487" s="29" t="n">
        <v>46051</v>
      </c>
      <c r="E487" s="29" t="n">
        <v>46059</v>
      </c>
      <c r="F487" s="29" t="n">
        <v>46059</v>
      </c>
      <c r="G487" s="21" t="n">
        <v>930</v>
      </c>
      <c r="H487" s="21" t="n">
        <v>930</v>
      </c>
      <c r="I487" s="21" t="n">
        <v>27</v>
      </c>
      <c r="J487" s="30" t="n">
        <v>7410</v>
      </c>
      <c r="K487" s="21" t="n">
        <v>35</v>
      </c>
      <c r="L487" s="14" t="n">
        <f aca="false">MAX(0,F487-E487)</f>
        <v>0</v>
      </c>
      <c r="M487" s="14" t="n">
        <f aca="false">IF(L487&lt;=Assumptions!$B$5,1,0)</f>
        <v>1</v>
      </c>
      <c r="N487" s="14" t="n">
        <f aca="false">IF(H487&gt;=G487,1,0)</f>
        <v>1</v>
      </c>
      <c r="O487" s="14" t="n">
        <f aca="false">M487*N487</f>
        <v>1</v>
      </c>
      <c r="P487" s="15" t="n">
        <f aca="false">L487*Assumptions!$B$6</f>
        <v>0</v>
      </c>
      <c r="Q487" s="31" t="n">
        <f aca="false">IF(I487=0,0,J487/I487)</f>
        <v>274.444444444444</v>
      </c>
      <c r="R487" s="18" t="n">
        <f aca="false">IF(H487=0,0,K487/H487)</f>
        <v>0.0376344086021505</v>
      </c>
      <c r="S487" s="14" t="n">
        <f aca="false">MONTH(D487)</f>
        <v>1</v>
      </c>
    </row>
    <row r="488" customFormat="false" ht="15" hidden="false" customHeight="false" outlineLevel="0" collapsed="false">
      <c r="A488" s="21" t="s">
        <v>584</v>
      </c>
      <c r="B488" s="21" t="s">
        <v>48</v>
      </c>
      <c r="C488" s="21" t="s">
        <v>58</v>
      </c>
      <c r="D488" s="29" t="n">
        <v>46137</v>
      </c>
      <c r="E488" s="29" t="n">
        <v>46147</v>
      </c>
      <c r="F488" s="29" t="n">
        <v>46147</v>
      </c>
      <c r="G488" s="21" t="n">
        <v>750</v>
      </c>
      <c r="H488" s="21" t="n">
        <v>721</v>
      </c>
      <c r="I488" s="21" t="n">
        <v>234</v>
      </c>
      <c r="J488" s="30" t="n">
        <v>17494</v>
      </c>
      <c r="K488" s="21" t="n">
        <v>15</v>
      </c>
      <c r="L488" s="14" t="n">
        <f aca="false">MAX(0,F488-E488)</f>
        <v>0</v>
      </c>
      <c r="M488" s="14" t="n">
        <f aca="false">IF(L488&lt;=Assumptions!$B$5,1,0)</f>
        <v>1</v>
      </c>
      <c r="N488" s="14" t="n">
        <f aca="false">IF(H488&gt;=G488,1,0)</f>
        <v>0</v>
      </c>
      <c r="O488" s="14" t="n">
        <f aca="false">M488*N488</f>
        <v>0</v>
      </c>
      <c r="P488" s="15" t="n">
        <f aca="false">L488*Assumptions!$B$6</f>
        <v>0</v>
      </c>
      <c r="Q488" s="31" t="n">
        <f aca="false">IF(I488=0,0,J488/I488)</f>
        <v>74.7606837606838</v>
      </c>
      <c r="R488" s="18" t="n">
        <f aca="false">IF(H488=0,0,K488/H488)</f>
        <v>0.0208044382801664</v>
      </c>
      <c r="S488" s="14" t="n">
        <f aca="false">MONTH(D488)</f>
        <v>4</v>
      </c>
    </row>
    <row r="489" customFormat="false" ht="15" hidden="false" customHeight="false" outlineLevel="0" collapsed="false">
      <c r="A489" s="21" t="s">
        <v>585</v>
      </c>
      <c r="B489" s="21" t="s">
        <v>49</v>
      </c>
      <c r="C489" s="21" t="s">
        <v>57</v>
      </c>
      <c r="D489" s="29" t="n">
        <v>46211</v>
      </c>
      <c r="E489" s="29" t="n">
        <v>46221</v>
      </c>
      <c r="F489" s="29" t="n">
        <v>46220</v>
      </c>
      <c r="G489" s="21" t="n">
        <v>990</v>
      </c>
      <c r="H489" s="21" t="n">
        <v>990</v>
      </c>
      <c r="I489" s="21" t="n">
        <v>300</v>
      </c>
      <c r="J489" s="30" t="n">
        <v>33333</v>
      </c>
      <c r="K489" s="21" t="n">
        <v>8</v>
      </c>
      <c r="L489" s="14" t="n">
        <f aca="false">MAX(0,F489-E489)</f>
        <v>0</v>
      </c>
      <c r="M489" s="14" t="n">
        <f aca="false">IF(L489&lt;=Assumptions!$B$5,1,0)</f>
        <v>1</v>
      </c>
      <c r="N489" s="14" t="n">
        <f aca="false">IF(H489&gt;=G489,1,0)</f>
        <v>1</v>
      </c>
      <c r="O489" s="14" t="n">
        <f aca="false">M489*N489</f>
        <v>1</v>
      </c>
      <c r="P489" s="15" t="n">
        <f aca="false">L489*Assumptions!$B$6</f>
        <v>0</v>
      </c>
      <c r="Q489" s="31" t="n">
        <f aca="false">IF(I489=0,0,J489/I489)</f>
        <v>111.11</v>
      </c>
      <c r="R489" s="18" t="n">
        <f aca="false">IF(H489=0,0,K489/H489)</f>
        <v>0.00808080808080808</v>
      </c>
      <c r="S489" s="14" t="n">
        <f aca="false">MONTH(D489)</f>
        <v>7</v>
      </c>
    </row>
    <row r="490" customFormat="false" ht="15" hidden="false" customHeight="false" outlineLevel="0" collapsed="false">
      <c r="A490" s="21" t="s">
        <v>586</v>
      </c>
      <c r="B490" s="21" t="s">
        <v>49</v>
      </c>
      <c r="C490" s="21" t="s">
        <v>53</v>
      </c>
      <c r="D490" s="29" t="n">
        <v>46186</v>
      </c>
      <c r="E490" s="29" t="n">
        <v>46196</v>
      </c>
      <c r="F490" s="29" t="n">
        <v>46196</v>
      </c>
      <c r="G490" s="21" t="n">
        <v>390</v>
      </c>
      <c r="H490" s="21" t="n">
        <v>390</v>
      </c>
      <c r="I490" s="21" t="n">
        <v>22</v>
      </c>
      <c r="J490" s="30" t="n">
        <v>3810</v>
      </c>
      <c r="K490" s="21" t="n">
        <v>6</v>
      </c>
      <c r="L490" s="14" t="n">
        <f aca="false">MAX(0,F490-E490)</f>
        <v>0</v>
      </c>
      <c r="M490" s="14" t="n">
        <f aca="false">IF(L490&lt;=Assumptions!$B$5,1,0)</f>
        <v>1</v>
      </c>
      <c r="N490" s="14" t="n">
        <f aca="false">IF(H490&gt;=G490,1,0)</f>
        <v>1</v>
      </c>
      <c r="O490" s="14" t="n">
        <f aca="false">M490*N490</f>
        <v>1</v>
      </c>
      <c r="P490" s="15" t="n">
        <f aca="false">L490*Assumptions!$B$6</f>
        <v>0</v>
      </c>
      <c r="Q490" s="31" t="n">
        <f aca="false">IF(I490=0,0,J490/I490)</f>
        <v>173.181818181818</v>
      </c>
      <c r="R490" s="18" t="n">
        <f aca="false">IF(H490=0,0,K490/H490)</f>
        <v>0.0153846153846154</v>
      </c>
      <c r="S490" s="14" t="n">
        <f aca="false">MONTH(D490)</f>
        <v>6</v>
      </c>
    </row>
    <row r="491" customFormat="false" ht="15" hidden="false" customHeight="false" outlineLevel="0" collapsed="false">
      <c r="A491" s="21" t="s">
        <v>587</v>
      </c>
      <c r="B491" s="21" t="s">
        <v>49</v>
      </c>
      <c r="C491" s="21" t="s">
        <v>57</v>
      </c>
      <c r="D491" s="29" t="n">
        <v>46106</v>
      </c>
      <c r="E491" s="29" t="n">
        <v>46116</v>
      </c>
      <c r="F491" s="29" t="n">
        <v>46116</v>
      </c>
      <c r="G491" s="21" t="n">
        <v>830</v>
      </c>
      <c r="H491" s="21" t="n">
        <v>830</v>
      </c>
      <c r="I491" s="21" t="n">
        <v>306</v>
      </c>
      <c r="J491" s="30" t="n">
        <v>30842</v>
      </c>
      <c r="K491" s="21" t="n">
        <v>0</v>
      </c>
      <c r="L491" s="14" t="n">
        <f aca="false">MAX(0,F491-E491)</f>
        <v>0</v>
      </c>
      <c r="M491" s="14" t="n">
        <f aca="false">IF(L491&lt;=Assumptions!$B$5,1,0)</f>
        <v>1</v>
      </c>
      <c r="N491" s="14" t="n">
        <f aca="false">IF(H491&gt;=G491,1,0)</f>
        <v>1</v>
      </c>
      <c r="O491" s="14" t="n">
        <f aca="false">M491*N491</f>
        <v>1</v>
      </c>
      <c r="P491" s="15" t="n">
        <f aca="false">L491*Assumptions!$B$6</f>
        <v>0</v>
      </c>
      <c r="Q491" s="31" t="n">
        <f aca="false">IF(I491=0,0,J491/I491)</f>
        <v>100.790849673203</v>
      </c>
      <c r="R491" s="18" t="n">
        <f aca="false">IF(H491=0,0,K491/H491)</f>
        <v>0</v>
      </c>
      <c r="S491" s="14" t="n">
        <f aca="false">MONTH(D491)</f>
        <v>3</v>
      </c>
    </row>
    <row r="492" customFormat="false" ht="15" hidden="false" customHeight="false" outlineLevel="0" collapsed="false">
      <c r="A492" s="21" t="s">
        <v>588</v>
      </c>
      <c r="B492" s="21" t="s">
        <v>50</v>
      </c>
      <c r="C492" s="21" t="s">
        <v>56</v>
      </c>
      <c r="D492" s="29" t="n">
        <v>46177</v>
      </c>
      <c r="E492" s="29" t="n">
        <v>46184</v>
      </c>
      <c r="F492" s="29" t="n">
        <v>46184</v>
      </c>
      <c r="G492" s="21" t="n">
        <v>620</v>
      </c>
      <c r="H492" s="21" t="n">
        <v>620</v>
      </c>
      <c r="I492" s="21" t="n">
        <v>185</v>
      </c>
      <c r="J492" s="30" t="n">
        <v>17244</v>
      </c>
      <c r="K492" s="21" t="n">
        <v>2</v>
      </c>
      <c r="L492" s="14" t="n">
        <f aca="false">MAX(0,F492-E492)</f>
        <v>0</v>
      </c>
      <c r="M492" s="14" t="n">
        <f aca="false">IF(L492&lt;=Assumptions!$B$5,1,0)</f>
        <v>1</v>
      </c>
      <c r="N492" s="14" t="n">
        <f aca="false">IF(H492&gt;=G492,1,0)</f>
        <v>1</v>
      </c>
      <c r="O492" s="14" t="n">
        <f aca="false">M492*N492</f>
        <v>1</v>
      </c>
      <c r="P492" s="15" t="n">
        <f aca="false">L492*Assumptions!$B$6</f>
        <v>0</v>
      </c>
      <c r="Q492" s="31" t="n">
        <f aca="false">IF(I492=0,0,J492/I492)</f>
        <v>93.2108108108108</v>
      </c>
      <c r="R492" s="18" t="n">
        <f aca="false">IF(H492=0,0,K492/H492)</f>
        <v>0.0032258064516129</v>
      </c>
      <c r="S492" s="14" t="n">
        <f aca="false">MONTH(D492)</f>
        <v>6</v>
      </c>
    </row>
    <row r="493" customFormat="false" ht="15" hidden="false" customHeight="false" outlineLevel="0" collapsed="false">
      <c r="A493" s="21" t="s">
        <v>589</v>
      </c>
      <c r="B493" s="21" t="s">
        <v>47</v>
      </c>
      <c r="C493" s="21" t="s">
        <v>53</v>
      </c>
      <c r="D493" s="29" t="n">
        <v>46155</v>
      </c>
      <c r="E493" s="29" t="n">
        <v>46158</v>
      </c>
      <c r="F493" s="29" t="n">
        <v>46158</v>
      </c>
      <c r="G493" s="21" t="n">
        <v>550</v>
      </c>
      <c r="H493" s="21" t="n">
        <v>550</v>
      </c>
      <c r="I493" s="21" t="n">
        <v>33</v>
      </c>
      <c r="J493" s="30" t="n">
        <v>5783</v>
      </c>
      <c r="K493" s="21" t="n">
        <v>29</v>
      </c>
      <c r="L493" s="14" t="n">
        <f aca="false">MAX(0,F493-E493)</f>
        <v>0</v>
      </c>
      <c r="M493" s="14" t="n">
        <f aca="false">IF(L493&lt;=Assumptions!$B$5,1,0)</f>
        <v>1</v>
      </c>
      <c r="N493" s="14" t="n">
        <f aca="false">IF(H493&gt;=G493,1,0)</f>
        <v>1</v>
      </c>
      <c r="O493" s="14" t="n">
        <f aca="false">M493*N493</f>
        <v>1</v>
      </c>
      <c r="P493" s="15" t="n">
        <f aca="false">L493*Assumptions!$B$6</f>
        <v>0</v>
      </c>
      <c r="Q493" s="31" t="n">
        <f aca="false">IF(I493=0,0,J493/I493)</f>
        <v>175.242424242424</v>
      </c>
      <c r="R493" s="18" t="n">
        <f aca="false">IF(H493=0,0,K493/H493)</f>
        <v>0.0527272727272727</v>
      </c>
      <c r="S493" s="14" t="n">
        <f aca="false">MONTH(D493)</f>
        <v>5</v>
      </c>
    </row>
    <row r="494" customFormat="false" ht="15" hidden="false" customHeight="false" outlineLevel="0" collapsed="false">
      <c r="A494" s="21" t="s">
        <v>590</v>
      </c>
      <c r="B494" s="21" t="s">
        <v>47</v>
      </c>
      <c r="C494" s="21" t="s">
        <v>57</v>
      </c>
      <c r="D494" s="29" t="n">
        <v>46043</v>
      </c>
      <c r="E494" s="29" t="n">
        <v>46050</v>
      </c>
      <c r="F494" s="29" t="n">
        <v>46056</v>
      </c>
      <c r="G494" s="21" t="n">
        <v>980</v>
      </c>
      <c r="H494" s="21" t="n">
        <v>928</v>
      </c>
      <c r="I494" s="21" t="n">
        <v>288</v>
      </c>
      <c r="J494" s="30" t="n">
        <v>22947</v>
      </c>
      <c r="K494" s="21" t="n">
        <v>27</v>
      </c>
      <c r="L494" s="14" t="n">
        <f aca="false">MAX(0,F494-E494)</f>
        <v>6</v>
      </c>
      <c r="M494" s="14" t="n">
        <f aca="false">IF(L494&lt;=Assumptions!$B$5,1,0)</f>
        <v>0</v>
      </c>
      <c r="N494" s="14" t="n">
        <f aca="false">IF(H494&gt;=G494,1,0)</f>
        <v>0</v>
      </c>
      <c r="O494" s="14" t="n">
        <f aca="false">M494*N494</f>
        <v>0</v>
      </c>
      <c r="P494" s="15" t="n">
        <f aca="false">L494*Assumptions!$B$6</f>
        <v>9000</v>
      </c>
      <c r="Q494" s="31" t="n">
        <f aca="false">IF(I494=0,0,J494/I494)</f>
        <v>79.6770833333333</v>
      </c>
      <c r="R494" s="18" t="n">
        <f aca="false">IF(H494=0,0,K494/H494)</f>
        <v>0.0290948275862069</v>
      </c>
      <c r="S494" s="14" t="n">
        <f aca="false">MONTH(D494)</f>
        <v>1</v>
      </c>
    </row>
    <row r="495" customFormat="false" ht="15" hidden="false" customHeight="false" outlineLevel="0" collapsed="false">
      <c r="A495" s="21" t="s">
        <v>591</v>
      </c>
      <c r="B495" s="21" t="s">
        <v>47</v>
      </c>
      <c r="C495" s="21" t="s">
        <v>53</v>
      </c>
      <c r="D495" s="29" t="n">
        <v>46155</v>
      </c>
      <c r="E495" s="29" t="n">
        <v>46159</v>
      </c>
      <c r="F495" s="29" t="n">
        <v>46163</v>
      </c>
      <c r="G495" s="21" t="n">
        <v>350</v>
      </c>
      <c r="H495" s="21" t="n">
        <v>318</v>
      </c>
      <c r="I495" s="21" t="n">
        <v>59</v>
      </c>
      <c r="J495" s="30" t="n">
        <v>5814</v>
      </c>
      <c r="K495" s="21" t="n">
        <v>10</v>
      </c>
      <c r="L495" s="14" t="n">
        <f aca="false">MAX(0,F495-E495)</f>
        <v>4</v>
      </c>
      <c r="M495" s="14" t="n">
        <f aca="false">IF(L495&lt;=Assumptions!$B$5,1,0)</f>
        <v>0</v>
      </c>
      <c r="N495" s="14" t="n">
        <f aca="false">IF(H495&gt;=G495,1,0)</f>
        <v>0</v>
      </c>
      <c r="O495" s="14" t="n">
        <f aca="false">M495*N495</f>
        <v>0</v>
      </c>
      <c r="P495" s="15" t="n">
        <f aca="false">L495*Assumptions!$B$6</f>
        <v>6000</v>
      </c>
      <c r="Q495" s="31" t="n">
        <f aca="false">IF(I495=0,0,J495/I495)</f>
        <v>98.5423728813559</v>
      </c>
      <c r="R495" s="18" t="n">
        <f aca="false">IF(H495=0,0,K495/H495)</f>
        <v>0.0314465408805031</v>
      </c>
      <c r="S495" s="14" t="n">
        <f aca="false">MONTH(D495)</f>
        <v>5</v>
      </c>
    </row>
    <row r="496" customFormat="false" ht="15" hidden="false" customHeight="false" outlineLevel="0" collapsed="false">
      <c r="A496" s="21" t="s">
        <v>592</v>
      </c>
      <c r="B496" s="21" t="s">
        <v>47</v>
      </c>
      <c r="C496" s="21" t="s">
        <v>57</v>
      </c>
      <c r="D496" s="29" t="n">
        <v>46164</v>
      </c>
      <c r="E496" s="29" t="n">
        <v>46172</v>
      </c>
      <c r="F496" s="29" t="n">
        <v>46176</v>
      </c>
      <c r="G496" s="21" t="n">
        <v>220</v>
      </c>
      <c r="H496" s="21" t="n">
        <v>220</v>
      </c>
      <c r="I496" s="21" t="n">
        <v>279</v>
      </c>
      <c r="J496" s="30" t="n">
        <v>27020</v>
      </c>
      <c r="K496" s="21" t="n">
        <v>0</v>
      </c>
      <c r="L496" s="14" t="n">
        <f aca="false">MAX(0,F496-E496)</f>
        <v>4</v>
      </c>
      <c r="M496" s="14" t="n">
        <f aca="false">IF(L496&lt;=Assumptions!$B$5,1,0)</f>
        <v>0</v>
      </c>
      <c r="N496" s="14" t="n">
        <f aca="false">IF(H496&gt;=G496,1,0)</f>
        <v>1</v>
      </c>
      <c r="O496" s="14" t="n">
        <f aca="false">M496*N496</f>
        <v>0</v>
      </c>
      <c r="P496" s="15" t="n">
        <f aca="false">L496*Assumptions!$B$6</f>
        <v>6000</v>
      </c>
      <c r="Q496" s="31" t="n">
        <f aca="false">IF(I496=0,0,J496/I496)</f>
        <v>96.8458781362007</v>
      </c>
      <c r="R496" s="18" t="n">
        <f aca="false">IF(H496=0,0,K496/H496)</f>
        <v>0</v>
      </c>
      <c r="S496" s="14" t="n">
        <f aca="false">MONTH(D496)</f>
        <v>5</v>
      </c>
    </row>
    <row r="497" customFormat="false" ht="15" hidden="false" customHeight="false" outlineLevel="0" collapsed="false">
      <c r="A497" s="21" t="s">
        <v>593</v>
      </c>
      <c r="B497" s="21" t="s">
        <v>50</v>
      </c>
      <c r="C497" s="21" t="s">
        <v>54</v>
      </c>
      <c r="D497" s="29" t="n">
        <v>46262</v>
      </c>
      <c r="E497" s="29" t="n">
        <v>46268</v>
      </c>
      <c r="F497" s="29" t="n">
        <v>46267</v>
      </c>
      <c r="G497" s="21" t="n">
        <v>540</v>
      </c>
      <c r="H497" s="21" t="n">
        <v>540</v>
      </c>
      <c r="I497" s="21" t="n">
        <v>412</v>
      </c>
      <c r="J497" s="30" t="n">
        <v>28504</v>
      </c>
      <c r="K497" s="21" t="n">
        <v>12</v>
      </c>
      <c r="L497" s="14" t="n">
        <f aca="false">MAX(0,F497-E497)</f>
        <v>0</v>
      </c>
      <c r="M497" s="14" t="n">
        <f aca="false">IF(L497&lt;=Assumptions!$B$5,1,0)</f>
        <v>1</v>
      </c>
      <c r="N497" s="14" t="n">
        <f aca="false">IF(H497&gt;=G497,1,0)</f>
        <v>1</v>
      </c>
      <c r="O497" s="14" t="n">
        <f aca="false">M497*N497</f>
        <v>1</v>
      </c>
      <c r="P497" s="15" t="n">
        <f aca="false">L497*Assumptions!$B$6</f>
        <v>0</v>
      </c>
      <c r="Q497" s="31" t="n">
        <f aca="false">IF(I497=0,0,J497/I497)</f>
        <v>69.1844660194175</v>
      </c>
      <c r="R497" s="18" t="n">
        <f aca="false">IF(H497=0,0,K497/H497)</f>
        <v>0.0222222222222222</v>
      </c>
      <c r="S497" s="14" t="n">
        <f aca="false">MONTH(D497)</f>
        <v>8</v>
      </c>
    </row>
    <row r="498" customFormat="false" ht="15" hidden="false" customHeight="false" outlineLevel="0" collapsed="false">
      <c r="A498" s="21" t="s">
        <v>594</v>
      </c>
      <c r="B498" s="21" t="s">
        <v>47</v>
      </c>
      <c r="C498" s="21" t="s">
        <v>54</v>
      </c>
      <c r="D498" s="29" t="n">
        <v>46088</v>
      </c>
      <c r="E498" s="29" t="n">
        <v>46098</v>
      </c>
      <c r="F498" s="29" t="n">
        <v>46098</v>
      </c>
      <c r="G498" s="21" t="n">
        <v>150</v>
      </c>
      <c r="H498" s="21" t="n">
        <v>150</v>
      </c>
      <c r="I498" s="21" t="n">
        <v>507</v>
      </c>
      <c r="J498" s="30" t="n">
        <v>47845</v>
      </c>
      <c r="K498" s="21" t="n">
        <v>10</v>
      </c>
      <c r="L498" s="14" t="n">
        <f aca="false">MAX(0,F498-E498)</f>
        <v>0</v>
      </c>
      <c r="M498" s="14" t="n">
        <f aca="false">IF(L498&lt;=Assumptions!$B$5,1,0)</f>
        <v>1</v>
      </c>
      <c r="N498" s="14" t="n">
        <f aca="false">IF(H498&gt;=G498,1,0)</f>
        <v>1</v>
      </c>
      <c r="O498" s="14" t="n">
        <f aca="false">M498*N498</f>
        <v>1</v>
      </c>
      <c r="P498" s="15" t="n">
        <f aca="false">L498*Assumptions!$B$6</f>
        <v>0</v>
      </c>
      <c r="Q498" s="31" t="n">
        <f aca="false">IF(I498=0,0,J498/I498)</f>
        <v>94.3688362919132</v>
      </c>
      <c r="R498" s="18" t="n">
        <f aca="false">IF(H498=0,0,K498/H498)</f>
        <v>0.0666666666666667</v>
      </c>
      <c r="S498" s="14" t="n">
        <f aca="false">MONTH(D498)</f>
        <v>3</v>
      </c>
    </row>
    <row r="499" customFormat="false" ht="15" hidden="false" customHeight="false" outlineLevel="0" collapsed="false">
      <c r="A499" s="21" t="s">
        <v>595</v>
      </c>
      <c r="B499" s="21" t="s">
        <v>49</v>
      </c>
      <c r="C499" s="21" t="s">
        <v>58</v>
      </c>
      <c r="D499" s="29" t="n">
        <v>46038</v>
      </c>
      <c r="E499" s="29" t="n">
        <v>46044</v>
      </c>
      <c r="F499" s="29" t="n">
        <v>46044</v>
      </c>
      <c r="G499" s="21" t="n">
        <v>230</v>
      </c>
      <c r="H499" s="21" t="n">
        <v>230</v>
      </c>
      <c r="I499" s="21" t="n">
        <v>264</v>
      </c>
      <c r="J499" s="30" t="n">
        <v>20603</v>
      </c>
      <c r="K499" s="21" t="n">
        <v>2</v>
      </c>
      <c r="L499" s="14" t="n">
        <f aca="false">MAX(0,F499-E499)</f>
        <v>0</v>
      </c>
      <c r="M499" s="14" t="n">
        <f aca="false">IF(L499&lt;=Assumptions!$B$5,1,0)</f>
        <v>1</v>
      </c>
      <c r="N499" s="14" t="n">
        <f aca="false">IF(H499&gt;=G499,1,0)</f>
        <v>1</v>
      </c>
      <c r="O499" s="14" t="n">
        <f aca="false">M499*N499</f>
        <v>1</v>
      </c>
      <c r="P499" s="15" t="n">
        <f aca="false">L499*Assumptions!$B$6</f>
        <v>0</v>
      </c>
      <c r="Q499" s="31" t="n">
        <f aca="false">IF(I499=0,0,J499/I499)</f>
        <v>78.0416666666667</v>
      </c>
      <c r="R499" s="18" t="n">
        <f aca="false">IF(H499=0,0,K499/H499)</f>
        <v>0.00869565217391304</v>
      </c>
      <c r="S499" s="14" t="n">
        <f aca="false">MONTH(D499)</f>
        <v>1</v>
      </c>
    </row>
    <row r="500" customFormat="false" ht="15" hidden="false" customHeight="false" outlineLevel="0" collapsed="false">
      <c r="A500" s="21" t="s">
        <v>596</v>
      </c>
      <c r="B500" s="21" t="s">
        <v>47</v>
      </c>
      <c r="C500" s="21" t="s">
        <v>58</v>
      </c>
      <c r="D500" s="29" t="n">
        <v>46158</v>
      </c>
      <c r="E500" s="29" t="n">
        <v>46162</v>
      </c>
      <c r="F500" s="29" t="n">
        <v>46162</v>
      </c>
      <c r="G500" s="21" t="n">
        <v>280</v>
      </c>
      <c r="H500" s="21" t="n">
        <v>269</v>
      </c>
      <c r="I500" s="21" t="n">
        <v>245</v>
      </c>
      <c r="J500" s="30" t="n">
        <v>24551</v>
      </c>
      <c r="K500" s="21" t="n">
        <v>9</v>
      </c>
      <c r="L500" s="14" t="n">
        <f aca="false">MAX(0,F500-E500)</f>
        <v>0</v>
      </c>
      <c r="M500" s="14" t="n">
        <f aca="false">IF(L500&lt;=Assumptions!$B$5,1,0)</f>
        <v>1</v>
      </c>
      <c r="N500" s="14" t="n">
        <f aca="false">IF(H500&gt;=G500,1,0)</f>
        <v>0</v>
      </c>
      <c r="O500" s="14" t="n">
        <f aca="false">M500*N500</f>
        <v>0</v>
      </c>
      <c r="P500" s="15" t="n">
        <f aca="false">L500*Assumptions!$B$6</f>
        <v>0</v>
      </c>
      <c r="Q500" s="31" t="n">
        <f aca="false">IF(I500=0,0,J500/I500)</f>
        <v>100.208163265306</v>
      </c>
      <c r="R500" s="18" t="n">
        <f aca="false">IF(H500=0,0,K500/H500)</f>
        <v>0.033457249070632</v>
      </c>
      <c r="S500" s="14" t="n">
        <f aca="false">MONTH(D500)</f>
        <v>5</v>
      </c>
    </row>
    <row r="501" customFormat="false" ht="15" hidden="false" customHeight="false" outlineLevel="0" collapsed="false">
      <c r="A501" s="21" t="s">
        <v>597</v>
      </c>
      <c r="B501" s="21" t="s">
        <v>46</v>
      </c>
      <c r="C501" s="21" t="s">
        <v>58</v>
      </c>
      <c r="D501" s="29" t="n">
        <v>46038</v>
      </c>
      <c r="E501" s="29" t="n">
        <v>46041</v>
      </c>
      <c r="F501" s="29" t="n">
        <v>46041</v>
      </c>
      <c r="G501" s="21" t="n">
        <v>290</v>
      </c>
      <c r="H501" s="21" t="n">
        <v>290</v>
      </c>
      <c r="I501" s="21" t="n">
        <v>250</v>
      </c>
      <c r="J501" s="30" t="n">
        <v>16565</v>
      </c>
      <c r="K501" s="21" t="n">
        <v>2</v>
      </c>
      <c r="L501" s="14" t="n">
        <f aca="false">MAX(0,F501-E501)</f>
        <v>0</v>
      </c>
      <c r="M501" s="14" t="n">
        <f aca="false">IF(L501&lt;=Assumptions!$B$5,1,0)</f>
        <v>1</v>
      </c>
      <c r="N501" s="14" t="n">
        <f aca="false">IF(H501&gt;=G501,1,0)</f>
        <v>1</v>
      </c>
      <c r="O501" s="14" t="n">
        <f aca="false">M501*N501</f>
        <v>1</v>
      </c>
      <c r="P501" s="15" t="n">
        <f aca="false">L501*Assumptions!$B$6</f>
        <v>0</v>
      </c>
      <c r="Q501" s="31" t="n">
        <f aca="false">IF(I501=0,0,J501/I501)</f>
        <v>66.26</v>
      </c>
      <c r="R501" s="18" t="n">
        <f aca="false">IF(H501=0,0,K501/H501)</f>
        <v>0.00689655172413793</v>
      </c>
      <c r="S501" s="14" t="n">
        <f aca="false">MONTH(D501)</f>
        <v>1</v>
      </c>
    </row>
  </sheetData>
  <autoFilter ref="A1:S5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2026-10-01T10:53:00Z</dcterms:created>
  <dc:creator>openpyxl</dc:creator>
  <dc:description/>
  <dc:language>en-US</dc:language>
  <cp:lastModifiedBy/>
  <dcterms:modified xsi:type="dcterms:W3CDTF">2026-10-01T10:53:09Z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